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ld\Prall_etal.DiscretePrediction.CommunicationsBiology12\4_results_excel\"/>
    </mc:Choice>
  </mc:AlternateContent>
  <xr:revisionPtr revIDLastSave="0" documentId="13_ncr:1_{D7FB3B87-02FE-41F7-A0B0-FB7DB59E3EC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comparison_rj_nonrj" sheetId="5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52" l="1"/>
  <c r="I53" i="52"/>
  <c r="G53" i="52"/>
  <c r="D53" i="52"/>
  <c r="E53" i="52"/>
  <c r="C53" i="52"/>
  <c r="I35" i="52"/>
  <c r="H35" i="52"/>
  <c r="G35" i="52"/>
  <c r="D35" i="52"/>
  <c r="E35" i="52"/>
  <c r="C35" i="52"/>
  <c r="H17" i="52"/>
  <c r="I17" i="52"/>
  <c r="G17" i="52"/>
  <c r="D17" i="52"/>
  <c r="E17" i="52"/>
  <c r="C17" i="52"/>
  <c r="H52" i="52"/>
  <c r="G52" i="52"/>
  <c r="D52" i="52"/>
  <c r="C52" i="52"/>
  <c r="I51" i="52"/>
  <c r="E51" i="52"/>
  <c r="I50" i="52"/>
  <c r="E50" i="52"/>
  <c r="I49" i="52"/>
  <c r="E49" i="52"/>
  <c r="I48" i="52"/>
  <c r="E48" i="52"/>
  <c r="I47" i="52"/>
  <c r="E47" i="52"/>
  <c r="I46" i="52"/>
  <c r="E46" i="52"/>
  <c r="I45" i="52"/>
  <c r="E45" i="52"/>
  <c r="I44" i="52"/>
  <c r="E44" i="52"/>
  <c r="I43" i="52"/>
  <c r="E43" i="52"/>
  <c r="I42" i="52"/>
  <c r="E42" i="52"/>
  <c r="I41" i="52"/>
  <c r="E41" i="52"/>
  <c r="I40" i="52"/>
  <c r="E40" i="52"/>
  <c r="I39" i="52"/>
  <c r="E39" i="52"/>
  <c r="E52" i="52" l="1"/>
  <c r="I52" i="52"/>
  <c r="H34" i="52" l="1"/>
  <c r="G34" i="52"/>
  <c r="D34" i="52"/>
  <c r="C34" i="52"/>
  <c r="I33" i="52"/>
  <c r="E33" i="52"/>
  <c r="I32" i="52"/>
  <c r="E32" i="52"/>
  <c r="I31" i="52"/>
  <c r="E31" i="52"/>
  <c r="I30" i="52"/>
  <c r="E30" i="52"/>
  <c r="I29" i="52"/>
  <c r="E29" i="52"/>
  <c r="I28" i="52"/>
  <c r="E28" i="52"/>
  <c r="I27" i="52"/>
  <c r="E27" i="52"/>
  <c r="I26" i="52"/>
  <c r="E26" i="52"/>
  <c r="I25" i="52"/>
  <c r="E25" i="52"/>
  <c r="I24" i="52"/>
  <c r="E24" i="52"/>
  <c r="I23" i="52"/>
  <c r="E23" i="52"/>
  <c r="I22" i="52"/>
  <c r="E22" i="52"/>
  <c r="I21" i="52"/>
  <c r="E21" i="52"/>
  <c r="I34" i="52" l="1"/>
  <c r="E34" i="52"/>
  <c r="I4" i="52" l="1"/>
  <c r="I5" i="52"/>
  <c r="I6" i="52"/>
  <c r="I7" i="52"/>
  <c r="I8" i="52"/>
  <c r="I9" i="52"/>
  <c r="I10" i="52"/>
  <c r="I11" i="52"/>
  <c r="I12" i="52"/>
  <c r="I13" i="52"/>
  <c r="I14" i="52"/>
  <c r="I15" i="52"/>
  <c r="I3" i="52"/>
  <c r="E4" i="52"/>
  <c r="E5" i="52"/>
  <c r="E6" i="52"/>
  <c r="E7" i="52"/>
  <c r="E8" i="52"/>
  <c r="E9" i="52"/>
  <c r="E10" i="52"/>
  <c r="E11" i="52"/>
  <c r="E12" i="52"/>
  <c r="E13" i="52"/>
  <c r="E14" i="52"/>
  <c r="E15" i="52"/>
  <c r="E3" i="52"/>
  <c r="E16" i="52" s="1"/>
  <c r="H16" i="52"/>
  <c r="G16" i="52"/>
  <c r="D16" i="52"/>
  <c r="C16" i="52"/>
  <c r="I16" i="52" l="1"/>
</calcChain>
</file>

<file path=xl/sharedStrings.xml><?xml version="1.0" encoding="utf-8"?>
<sst xmlns="http://schemas.openxmlformats.org/spreadsheetml/2006/main" count="147" uniqueCount="66">
  <si>
    <t>scenario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</si>
  <si>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</si>
  <si>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</si>
  <si>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</si>
  <si>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</si>
  <si>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</si>
  <si>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</si>
  <si>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</si>
  <si>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</si>
  <si>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</si>
  <si>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</si>
  <si>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</si>
  <si>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</si>
  <si>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</si>
  <si>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</si>
  <si>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</si>
  <si>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</si>
  <si>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</si>
  <si>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</si>
  <si>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</si>
  <si>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</si>
  <si>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</si>
  <si>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</si>
  <si>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</si>
  <si>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</si>
  <si>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</si>
  <si>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</si>
  <si>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</si>
  <si>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</si>
  <si>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</si>
  <si>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</si>
  <si>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Color: 0</t>
  </si>
  <si>
    <t>Color: 0.5</t>
  </si>
  <si>
    <t>Color: 1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</si>
  <si>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</si>
  <si>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</si>
  <si>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</si>
  <si>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</si>
  <si>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</si>
  <si>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</si>
  <si>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</si>
  <si>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</si>
  <si>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</si>
  <si>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</si>
  <si>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</si>
  <si>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</si>
  <si>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</si>
  <si>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Evolutionary scenario (Q matrix) we used to simulate traits X and Y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</si>
  <si>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 tips</t>
    </r>
  </si>
  <si>
    <t>Mean (excluding random)</t>
  </si>
  <si>
    <t>comparison_rj_nonrj</t>
  </si>
  <si>
    <t>acc.dep.nonrj</t>
  </si>
  <si>
    <t>acc.dep.rj</t>
  </si>
  <si>
    <t>acc.diff</t>
  </si>
  <si>
    <t>mll.dep.nonrj</t>
  </si>
  <si>
    <t>mll.dep.rj</t>
  </si>
  <si>
    <t>Accuracy of the RJMCMC-Discrete-Dependent (BayesTraits) prediction method</t>
  </si>
  <si>
    <t>Accuracy of the MCMC-Discrete-Dependent (BayesTraits) prediction method</t>
  </si>
  <si>
    <t>2*SE (excluding random)</t>
  </si>
  <si>
    <t>Median log loss of the MCMC-Discrete-Dependent (BayesTraits) prediction method</t>
  </si>
  <si>
    <t>Median log loss of the RJMCMC-Discrete-Dependent (BayesTraits) prediction method</t>
  </si>
  <si>
    <t>mll.dep.nonrj / mll.dep.rj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</si>
  <si>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100 tips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</si>
  <si>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500 tips</t>
    </r>
  </si>
  <si>
    <t>mll.ratio</t>
  </si>
  <si>
    <t>Pairwise difference between "acc.dep.nonrj" and "acc.dep.rj" (acc.dep.rj - acc.dep.nonrj)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</si>
</sst>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0" fillId="5" borderId="0" xfId="0" applyFill="1"/>
    <xf numFmtId="49" fontId="0" fillId="0" borderId="0" xfId="0" applyNumberFormat="1"/>
    <xf numFmtId="0" fontId="4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28"/>
  <sheetViews>
    <sheetView tabSelected="1" workbookViewId="0">
      <selection sqref="A1:B1"/>
    </sheetView>
  </sheetViews>
  <sheetFormatPr defaultRowHeight="14.5" x14ac:dyDescent="0.35"/>
  <cols>
    <col min="1" max="1" width="12.26953125" style="1" bestFit="1" customWidth="1"/>
    <col min="2" max="2" width="110" bestFit="1" customWidth="1"/>
  </cols>
  <sheetData>
    <row r="1" spans="1:2" x14ac:dyDescent="0.35">
      <c r="A1" s="15" t="s">
        <v>50</v>
      </c>
      <c r="B1" s="15"/>
    </row>
    <row r="2" spans="1:2" x14ac:dyDescent="0.35">
      <c r="A2" s="1" t="s">
        <v>0</v>
      </c>
      <c r="B2" t="s">
        <v>47</v>
      </c>
    </row>
    <row r="3" spans="1:2" x14ac:dyDescent="0.35">
      <c r="A3" s="1" t="s">
        <v>4</v>
      </c>
      <c r="B3" t="s">
        <v>27</v>
      </c>
    </row>
    <row r="4" spans="1:2" x14ac:dyDescent="0.35">
      <c r="B4" t="s">
        <v>34</v>
      </c>
    </row>
    <row r="5" spans="1:2" x14ac:dyDescent="0.35">
      <c r="B5" t="s">
        <v>35</v>
      </c>
    </row>
    <row r="6" spans="1:2" x14ac:dyDescent="0.35">
      <c r="B6" t="s">
        <v>36</v>
      </c>
    </row>
    <row r="7" spans="1:2" x14ac:dyDescent="0.35">
      <c r="B7" t="s">
        <v>37</v>
      </c>
    </row>
    <row r="8" spans="1:2" x14ac:dyDescent="0.35">
      <c r="B8" t="s">
        <v>38</v>
      </c>
    </row>
    <row r="9" spans="1:2" x14ac:dyDescent="0.35">
      <c r="B9" t="s">
        <v>39</v>
      </c>
    </row>
    <row r="10" spans="1:2" x14ac:dyDescent="0.35">
      <c r="B10" t="s">
        <v>40</v>
      </c>
    </row>
    <row r="11" spans="1:2" x14ac:dyDescent="0.35">
      <c r="B11" t="s">
        <v>41</v>
      </c>
    </row>
    <row r="12" spans="1:2" x14ac:dyDescent="0.35">
      <c r="B12" t="s">
        <v>42</v>
      </c>
    </row>
    <row r="13" spans="1:2" x14ac:dyDescent="0.35">
      <c r="B13" t="s">
        <v>43</v>
      </c>
    </row>
    <row r="14" spans="1:2" x14ac:dyDescent="0.35">
      <c r="B14" t="s">
        <v>44</v>
      </c>
    </row>
    <row r="15" spans="1:2" x14ac:dyDescent="0.35">
      <c r="B15" t="s">
        <v>45</v>
      </c>
    </row>
    <row r="16" spans="1:2" x14ac:dyDescent="0.35">
      <c r="B16" t="s">
        <v>46</v>
      </c>
    </row>
    <row r="17" spans="1:2" x14ac:dyDescent="0.35">
      <c r="A17" s="1" t="s">
        <v>51</v>
      </c>
      <c r="B17" t="s">
        <v>57</v>
      </c>
    </row>
    <row r="18" spans="1:2" x14ac:dyDescent="0.35">
      <c r="A18" s="1" t="s">
        <v>52</v>
      </c>
      <c r="B18" t="s">
        <v>56</v>
      </c>
    </row>
    <row r="19" spans="1:2" x14ac:dyDescent="0.35">
      <c r="A19" s="1" t="s">
        <v>53</v>
      </c>
      <c r="B19" t="s">
        <v>65</v>
      </c>
    </row>
    <row r="20" spans="1:2" x14ac:dyDescent="0.35">
      <c r="B20" s="7" t="s">
        <v>31</v>
      </c>
    </row>
    <row r="21" spans="1:2" x14ac:dyDescent="0.35">
      <c r="B21" s="9" t="s">
        <v>32</v>
      </c>
    </row>
    <row r="22" spans="1:2" x14ac:dyDescent="0.35">
      <c r="B22" s="8" t="s">
        <v>33</v>
      </c>
    </row>
    <row r="23" spans="1:2" x14ac:dyDescent="0.35">
      <c r="A23" s="1" t="s">
        <v>54</v>
      </c>
      <c r="B23" t="s">
        <v>59</v>
      </c>
    </row>
    <row r="24" spans="1:2" x14ac:dyDescent="0.35">
      <c r="A24" s="1" t="s">
        <v>55</v>
      </c>
      <c r="B24" t="s">
        <v>60</v>
      </c>
    </row>
    <row r="25" spans="1:2" x14ac:dyDescent="0.35">
      <c r="A25" s="1" t="s">
        <v>64</v>
      </c>
      <c r="B25" t="s">
        <v>61</v>
      </c>
    </row>
    <row r="26" spans="1:2" x14ac:dyDescent="0.35">
      <c r="B26" s="7" t="s">
        <v>29</v>
      </c>
    </row>
    <row r="27" spans="1:2" x14ac:dyDescent="0.35">
      <c r="B27" s="11" t="s">
        <v>28</v>
      </c>
    </row>
    <row r="28" spans="1:2" x14ac:dyDescent="0.35">
      <c r="B28" s="8" t="s">
        <v>30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F911-1668-46D7-8E1E-8B1B07959405}">
  <dimension ref="A1:I53"/>
  <sheetViews>
    <sheetView workbookViewId="0">
      <selection sqref="A1:I1"/>
    </sheetView>
  </sheetViews>
  <sheetFormatPr defaultRowHeight="14.5" x14ac:dyDescent="0.35"/>
  <cols>
    <col min="1" max="1" width="11.81640625" customWidth="1"/>
    <col min="2" max="2" width="11.453125" customWidth="1"/>
    <col min="3" max="4" width="12.1796875" customWidth="1"/>
    <col min="5" max="5" width="6.81640625" bestFit="1" customWidth="1"/>
    <col min="6" max="6" width="0.81640625" customWidth="1"/>
    <col min="7" max="8" width="12.1796875" customWidth="1"/>
    <col min="9" max="9" width="7.90625" bestFit="1" customWidth="1"/>
  </cols>
  <sheetData>
    <row r="1" spans="1:9" x14ac:dyDescent="0.35">
      <c r="A1" s="15" t="s">
        <v>48</v>
      </c>
      <c r="B1" s="15"/>
      <c r="C1" s="15"/>
      <c r="D1" s="15"/>
      <c r="E1" s="15"/>
      <c r="F1" s="15"/>
      <c r="G1" s="15"/>
      <c r="H1" s="15"/>
      <c r="I1" s="15"/>
    </row>
    <row r="2" spans="1:9" s="1" customFormat="1" x14ac:dyDescent="0.35">
      <c r="A2" s="6" t="s">
        <v>0</v>
      </c>
      <c r="B2" s="3" t="s">
        <v>4</v>
      </c>
      <c r="C2" s="5" t="s">
        <v>51</v>
      </c>
      <c r="D2" s="5" t="s">
        <v>52</v>
      </c>
      <c r="E2" s="13" t="s">
        <v>53</v>
      </c>
      <c r="F2" s="13"/>
      <c r="G2" s="1" t="s">
        <v>54</v>
      </c>
      <c r="H2" s="1" t="s">
        <v>55</v>
      </c>
      <c r="I2" s="1" t="s">
        <v>64</v>
      </c>
    </row>
    <row r="3" spans="1:9" x14ac:dyDescent="0.35">
      <c r="A3" t="s">
        <v>1</v>
      </c>
      <c r="B3" s="2" t="s">
        <v>5</v>
      </c>
      <c r="C3" s="10">
        <v>0.73099999999999998</v>
      </c>
      <c r="D3" s="10">
        <v>0.80500000000000005</v>
      </c>
      <c r="E3" s="10">
        <f>D3-C3</f>
        <v>7.4000000000000066E-2</v>
      </c>
      <c r="F3" s="10"/>
      <c r="G3" s="10">
        <v>0.38934599855580199</v>
      </c>
      <c r="H3" s="10">
        <v>0.21505157359384849</v>
      </c>
      <c r="I3" s="10">
        <f>G3/H3</f>
        <v>1.8104773289923937</v>
      </c>
    </row>
    <row r="4" spans="1:9" x14ac:dyDescent="0.35">
      <c r="A4" t="s">
        <v>2</v>
      </c>
      <c r="B4" s="2" t="s">
        <v>6</v>
      </c>
      <c r="C4" s="10">
        <v>0.61799999999999999</v>
      </c>
      <c r="D4" s="10">
        <v>0.68</v>
      </c>
      <c r="E4" s="10">
        <f t="shared" ref="E4:E15" si="0">D4-C4</f>
        <v>6.2000000000000055E-2</v>
      </c>
      <c r="F4" s="10"/>
      <c r="G4" s="10">
        <v>0.608806032126194</v>
      </c>
      <c r="H4" s="10">
        <v>0.53187939511877547</v>
      </c>
      <c r="I4" s="10">
        <f t="shared" ref="I4:I15" si="1">G4/H4</f>
        <v>1.144631729887261</v>
      </c>
    </row>
    <row r="5" spans="1:9" x14ac:dyDescent="0.35">
      <c r="A5" t="s">
        <v>3</v>
      </c>
      <c r="B5" s="2" t="s">
        <v>7</v>
      </c>
      <c r="C5" s="10">
        <v>0.53100000000000003</v>
      </c>
      <c r="D5" s="10">
        <v>0.60099999999999998</v>
      </c>
      <c r="E5" s="10">
        <f t="shared" si="0"/>
        <v>6.9999999999999951E-2</v>
      </c>
      <c r="F5" s="10"/>
      <c r="G5" s="10">
        <v>0.66747943381136798</v>
      </c>
      <c r="H5" s="10">
        <v>0.65200523722877002</v>
      </c>
      <c r="I5" s="10">
        <f t="shared" si="1"/>
        <v>1.0237332397027488</v>
      </c>
    </row>
    <row r="6" spans="1:9" x14ac:dyDescent="0.35">
      <c r="A6" t="s">
        <v>19</v>
      </c>
      <c r="B6" s="2" t="s">
        <v>8</v>
      </c>
      <c r="C6" s="10">
        <v>0.72399999999999998</v>
      </c>
      <c r="D6" s="10">
        <v>0.751</v>
      </c>
      <c r="E6" s="10">
        <f t="shared" si="0"/>
        <v>2.7000000000000024E-2</v>
      </c>
      <c r="F6" s="10"/>
      <c r="G6" s="10">
        <v>0.37033956830264947</v>
      </c>
      <c r="H6" s="10">
        <v>0.28701584983489148</v>
      </c>
      <c r="I6" s="10">
        <f t="shared" si="1"/>
        <v>1.2903105125228824</v>
      </c>
    </row>
    <row r="7" spans="1:9" x14ac:dyDescent="0.35">
      <c r="A7" t="s">
        <v>18</v>
      </c>
      <c r="B7" s="2" t="s">
        <v>9</v>
      </c>
      <c r="C7" s="10">
        <v>0.80600000000000005</v>
      </c>
      <c r="D7" s="10">
        <v>0.82299999999999995</v>
      </c>
      <c r="E7" s="10">
        <f t="shared" si="0"/>
        <v>1.6999999999999904E-2</v>
      </c>
      <c r="F7" s="10"/>
      <c r="G7" s="10">
        <v>0.20887108184359149</v>
      </c>
      <c r="H7" s="10">
        <v>0.17673717850005399</v>
      </c>
      <c r="I7" s="10">
        <f t="shared" si="1"/>
        <v>1.18181745129267</v>
      </c>
    </row>
    <row r="8" spans="1:9" x14ac:dyDescent="0.35">
      <c r="A8" t="s">
        <v>20</v>
      </c>
      <c r="B8" s="2" t="s">
        <v>10</v>
      </c>
      <c r="C8" s="10">
        <v>0.67300000000000004</v>
      </c>
      <c r="D8" s="10">
        <v>0.68400000000000005</v>
      </c>
      <c r="E8" s="10">
        <f t="shared" si="0"/>
        <v>1.100000000000001E-2</v>
      </c>
      <c r="F8" s="10"/>
      <c r="G8" s="10">
        <v>0.47160491061270898</v>
      </c>
      <c r="H8" s="10">
        <v>0.4902093353227685</v>
      </c>
      <c r="I8" s="10">
        <f t="shared" si="1"/>
        <v>0.96204799996758572</v>
      </c>
    </row>
    <row r="9" spans="1:9" x14ac:dyDescent="0.35">
      <c r="A9" t="s">
        <v>21</v>
      </c>
      <c r="B9" s="2" t="s">
        <v>11</v>
      </c>
      <c r="C9" s="10">
        <v>0.73599999999999999</v>
      </c>
      <c r="D9" s="10">
        <v>0.79800000000000004</v>
      </c>
      <c r="E9" s="10">
        <f t="shared" si="0"/>
        <v>6.2000000000000055E-2</v>
      </c>
      <c r="F9" s="10"/>
      <c r="G9" s="10">
        <v>0.38272562113867498</v>
      </c>
      <c r="H9" s="10">
        <v>0.21629226901954149</v>
      </c>
      <c r="I9" s="10">
        <f t="shared" si="1"/>
        <v>1.7694835921486247</v>
      </c>
    </row>
    <row r="10" spans="1:9" x14ac:dyDescent="0.35">
      <c r="A10" t="s">
        <v>22</v>
      </c>
      <c r="B10" s="2" t="s">
        <v>12</v>
      </c>
      <c r="C10" s="10">
        <v>0.63700000000000001</v>
      </c>
      <c r="D10" s="10">
        <v>0.67400000000000004</v>
      </c>
      <c r="E10" s="10">
        <f t="shared" si="0"/>
        <v>3.7000000000000033E-2</v>
      </c>
      <c r="F10" s="10"/>
      <c r="G10" s="10">
        <v>0.56124249373983393</v>
      </c>
      <c r="H10" s="10">
        <v>0.46203545959655901</v>
      </c>
      <c r="I10" s="10">
        <f t="shared" si="1"/>
        <v>1.2147173600699408</v>
      </c>
    </row>
    <row r="11" spans="1:9" x14ac:dyDescent="0.35">
      <c r="A11" t="s">
        <v>23</v>
      </c>
      <c r="B11" s="2" t="s">
        <v>13</v>
      </c>
      <c r="C11" s="10">
        <v>0.64</v>
      </c>
      <c r="D11" s="10">
        <v>0.66500000000000004</v>
      </c>
      <c r="E11" s="10">
        <f t="shared" si="0"/>
        <v>2.5000000000000022E-2</v>
      </c>
      <c r="F11" s="10"/>
      <c r="G11" s="10">
        <v>0.56739597525438501</v>
      </c>
      <c r="H11" s="10">
        <v>0.53699886395209551</v>
      </c>
      <c r="I11" s="10">
        <f t="shared" si="1"/>
        <v>1.0566055411711284</v>
      </c>
    </row>
    <row r="12" spans="1:9" x14ac:dyDescent="0.35">
      <c r="A12" t="s">
        <v>24</v>
      </c>
      <c r="B12" s="2" t="s">
        <v>14</v>
      </c>
      <c r="C12" s="10">
        <v>0.80300000000000005</v>
      </c>
      <c r="D12" s="10">
        <v>0.83799999999999997</v>
      </c>
      <c r="E12" s="10">
        <f t="shared" si="0"/>
        <v>3.499999999999992E-2</v>
      </c>
      <c r="F12" s="10"/>
      <c r="G12" s="10">
        <v>0.185125484126689</v>
      </c>
      <c r="H12" s="10">
        <v>0.10925714146527399</v>
      </c>
      <c r="I12" s="10">
        <f t="shared" si="1"/>
        <v>1.694401680694976</v>
      </c>
    </row>
    <row r="13" spans="1:9" x14ac:dyDescent="0.35">
      <c r="A13" t="s">
        <v>25</v>
      </c>
      <c r="B13" s="2" t="s">
        <v>15</v>
      </c>
      <c r="C13" s="10">
        <v>0.77300000000000002</v>
      </c>
      <c r="D13" s="10">
        <v>0.80200000000000005</v>
      </c>
      <c r="E13" s="10">
        <f t="shared" si="0"/>
        <v>2.9000000000000026E-2</v>
      </c>
      <c r="F13" s="10"/>
      <c r="G13" s="10">
        <v>0.27246532220797098</v>
      </c>
      <c r="H13" s="10">
        <v>0.27312192112045097</v>
      </c>
      <c r="I13" s="10">
        <f t="shared" si="1"/>
        <v>0.99759594942146579</v>
      </c>
    </row>
    <row r="14" spans="1:9" x14ac:dyDescent="0.35">
      <c r="A14" t="s">
        <v>26</v>
      </c>
      <c r="B14" s="2" t="s">
        <v>16</v>
      </c>
      <c r="C14" s="10">
        <v>0.74099999999999999</v>
      </c>
      <c r="D14" s="10">
        <v>0.75900000000000001</v>
      </c>
      <c r="E14" s="10">
        <f t="shared" si="0"/>
        <v>1.8000000000000016E-2</v>
      </c>
      <c r="F14" s="10"/>
      <c r="G14" s="10">
        <v>0.35810556007924854</v>
      </c>
      <c r="H14" s="10">
        <v>0.36312452603253098</v>
      </c>
      <c r="I14" s="10">
        <f t="shared" si="1"/>
        <v>0.98617838897273269</v>
      </c>
    </row>
    <row r="15" spans="1:9" x14ac:dyDescent="0.35">
      <c r="A15" s="12" t="s">
        <v>17</v>
      </c>
      <c r="B15" s="4" t="s">
        <v>17</v>
      </c>
      <c r="C15" s="10">
        <v>0.48599999999999999</v>
      </c>
      <c r="D15" s="10">
        <v>0.505</v>
      </c>
      <c r="E15" s="10">
        <f t="shared" si="0"/>
        <v>1.9000000000000017E-2</v>
      </c>
      <c r="F15" s="10"/>
      <c r="G15" s="10">
        <v>0.69615219259405103</v>
      </c>
      <c r="H15" s="10">
        <v>0.69114917789727204</v>
      </c>
      <c r="I15" s="10">
        <f t="shared" si="1"/>
        <v>1.0072386900784573</v>
      </c>
    </row>
    <row r="16" spans="1:9" x14ac:dyDescent="0.35">
      <c r="A16" s="15" t="s">
        <v>49</v>
      </c>
      <c r="B16" s="15"/>
      <c r="C16" s="14">
        <f>AVERAGE(C3:C14)</f>
        <v>0.70108333333333317</v>
      </c>
      <c r="D16" s="14">
        <f t="shared" ref="D16:I16" si="2">AVERAGE(D3:D14)</f>
        <v>0.7400000000000001</v>
      </c>
      <c r="E16" s="14">
        <f t="shared" si="2"/>
        <v>3.8916666666666676E-2</v>
      </c>
      <c r="F16" s="10"/>
      <c r="G16" s="14">
        <f t="shared" si="2"/>
        <v>0.42029229014992636</v>
      </c>
      <c r="H16" s="14">
        <f t="shared" si="2"/>
        <v>0.35947739589879668</v>
      </c>
      <c r="I16" s="14">
        <f t="shared" si="2"/>
        <v>1.2610000645703676</v>
      </c>
    </row>
    <row r="17" spans="1:9" x14ac:dyDescent="0.35">
      <c r="A17" s="15" t="s">
        <v>58</v>
      </c>
      <c r="B17" s="15"/>
      <c r="C17" s="14">
        <f>2*_xlfn.STDEV.S(C3:C14)/SQRT(COUNT(C3:C14))</f>
        <v>4.7754713131403864E-2</v>
      </c>
      <c r="D17" s="14">
        <f t="shared" ref="D17:E17" si="3">2*_xlfn.STDEV.S(D3:D14)/SQRT(COUNT(D3:D14))</f>
        <v>4.4191731024130418E-2</v>
      </c>
      <c r="E17" s="14">
        <f t="shared" si="3"/>
        <v>1.280733296895876E-2</v>
      </c>
      <c r="F17" s="10"/>
      <c r="G17" s="14">
        <f>2*_xlfn.STDEV.S(G3:G14)/SQRT(COUNT(G3:G14))</f>
        <v>9.0681746487064632E-2</v>
      </c>
      <c r="H17" s="14">
        <f t="shared" ref="H17:I17" si="4">2*_xlfn.STDEV.S(H3:H14)/SQRT(COUNT(H3:H14))</f>
        <v>9.9163785859096409E-2</v>
      </c>
      <c r="I17" s="14">
        <f t="shared" si="4"/>
        <v>0.18286309459300656</v>
      </c>
    </row>
    <row r="19" spans="1:9" x14ac:dyDescent="0.35">
      <c r="A19" s="15" t="s">
        <v>62</v>
      </c>
      <c r="B19" s="15"/>
      <c r="C19" s="15"/>
      <c r="D19" s="15"/>
      <c r="E19" s="15"/>
      <c r="F19" s="15"/>
      <c r="G19" s="15"/>
      <c r="H19" s="15"/>
      <c r="I19" s="15"/>
    </row>
    <row r="20" spans="1:9" x14ac:dyDescent="0.35">
      <c r="A20" s="6" t="s">
        <v>0</v>
      </c>
      <c r="B20" s="3" t="s">
        <v>4</v>
      </c>
      <c r="C20" s="5" t="s">
        <v>51</v>
      </c>
      <c r="D20" s="5" t="s">
        <v>52</v>
      </c>
      <c r="E20" s="13" t="s">
        <v>53</v>
      </c>
      <c r="F20" s="13"/>
      <c r="G20" s="1" t="s">
        <v>54</v>
      </c>
      <c r="H20" s="1" t="s">
        <v>55</v>
      </c>
      <c r="I20" s="1" t="s">
        <v>64</v>
      </c>
    </row>
    <row r="21" spans="1:9" x14ac:dyDescent="0.35">
      <c r="A21" t="s">
        <v>1</v>
      </c>
      <c r="B21" s="2" t="s">
        <v>5</v>
      </c>
      <c r="C21" s="10">
        <v>0.88600000000000001</v>
      </c>
      <c r="D21" s="10">
        <v>0.89900000000000002</v>
      </c>
      <c r="E21" s="10">
        <f>D21-C21</f>
        <v>1.3000000000000012E-2</v>
      </c>
      <c r="F21" s="10"/>
      <c r="G21" s="10">
        <v>0.1103732133572445</v>
      </c>
      <c r="H21" s="10">
        <v>7.2570692834835498E-2</v>
      </c>
      <c r="I21" s="10">
        <f>G21/H21</f>
        <v>1.5209061543403506</v>
      </c>
    </row>
    <row r="22" spans="1:9" x14ac:dyDescent="0.35">
      <c r="A22" t="s">
        <v>2</v>
      </c>
      <c r="B22" s="2" t="s">
        <v>6</v>
      </c>
      <c r="C22" s="10">
        <v>0.76300000000000001</v>
      </c>
      <c r="D22" s="10">
        <v>0.77300000000000002</v>
      </c>
      <c r="E22" s="10">
        <f t="shared" ref="E22:E33" si="5">D22-C22</f>
        <v>1.0000000000000009E-2</v>
      </c>
      <c r="F22" s="10"/>
      <c r="G22" s="10">
        <v>0.37469371390429052</v>
      </c>
      <c r="H22" s="10">
        <v>0.27575350158650702</v>
      </c>
      <c r="I22" s="10">
        <f t="shared" ref="I22:I33" si="6">G22/H22</f>
        <v>1.3587994776078838</v>
      </c>
    </row>
    <row r="23" spans="1:9" x14ac:dyDescent="0.35">
      <c r="A23" t="s">
        <v>3</v>
      </c>
      <c r="B23" s="2" t="s">
        <v>7</v>
      </c>
      <c r="C23" s="10">
        <v>0.66</v>
      </c>
      <c r="D23" s="10">
        <v>0.66800000000000004</v>
      </c>
      <c r="E23" s="10">
        <f t="shared" si="5"/>
        <v>8.0000000000000071E-3</v>
      </c>
      <c r="F23" s="10"/>
      <c r="G23" s="10">
        <v>0.57536453996544656</v>
      </c>
      <c r="H23" s="10">
        <v>0.54645280140914199</v>
      </c>
      <c r="I23" s="10">
        <f t="shared" si="6"/>
        <v>1.0529080251427931</v>
      </c>
    </row>
    <row r="24" spans="1:9" x14ac:dyDescent="0.35">
      <c r="A24" t="s">
        <v>19</v>
      </c>
      <c r="B24" s="2" t="s">
        <v>8</v>
      </c>
      <c r="C24" s="10">
        <v>0.81</v>
      </c>
      <c r="D24" s="10">
        <v>0.83799999999999997</v>
      </c>
      <c r="E24" s="10">
        <f t="shared" si="5"/>
        <v>2.7999999999999914E-2</v>
      </c>
      <c r="F24" s="10"/>
      <c r="G24" s="10">
        <v>0.18092271537733601</v>
      </c>
      <c r="H24" s="10">
        <v>0.12897038129696001</v>
      </c>
      <c r="I24" s="10">
        <f t="shared" si="6"/>
        <v>1.4028237612227683</v>
      </c>
    </row>
    <row r="25" spans="1:9" x14ac:dyDescent="0.35">
      <c r="A25" t="s">
        <v>18</v>
      </c>
      <c r="B25" s="2" t="s">
        <v>9</v>
      </c>
      <c r="C25" s="10">
        <v>0.85199999999999998</v>
      </c>
      <c r="D25" s="10">
        <v>0.85699999999999998</v>
      </c>
      <c r="E25" s="10">
        <f t="shared" si="5"/>
        <v>5.0000000000000044E-3</v>
      </c>
      <c r="F25" s="10"/>
      <c r="G25" s="10">
        <v>0.13296029033513451</v>
      </c>
      <c r="H25" s="10">
        <v>0.10925714146527399</v>
      </c>
      <c r="I25" s="10">
        <f t="shared" si="6"/>
        <v>1.2169482795538291</v>
      </c>
    </row>
    <row r="26" spans="1:9" x14ac:dyDescent="0.35">
      <c r="A26" t="s">
        <v>20</v>
      </c>
      <c r="B26" s="2" t="s">
        <v>10</v>
      </c>
      <c r="C26" s="10">
        <v>0.746</v>
      </c>
      <c r="D26" s="10">
        <v>0.74199999999999999</v>
      </c>
      <c r="E26" s="10">
        <f t="shared" si="5"/>
        <v>-4.0000000000000036E-3</v>
      </c>
      <c r="F26" s="10"/>
      <c r="G26" s="10">
        <v>0.372514007968479</v>
      </c>
      <c r="H26" s="10">
        <v>0.34108284917889597</v>
      </c>
      <c r="I26" s="10">
        <f t="shared" si="6"/>
        <v>1.0921510972048247</v>
      </c>
    </row>
    <row r="27" spans="1:9" x14ac:dyDescent="0.35">
      <c r="A27" t="s">
        <v>21</v>
      </c>
      <c r="B27" s="2" t="s">
        <v>11</v>
      </c>
      <c r="C27" s="10">
        <v>0.85799999999999998</v>
      </c>
      <c r="D27" s="10">
        <v>0.873</v>
      </c>
      <c r="E27" s="10">
        <f t="shared" si="5"/>
        <v>1.5000000000000013E-2</v>
      </c>
      <c r="F27" s="10"/>
      <c r="G27" s="10">
        <v>0.12613043801065199</v>
      </c>
      <c r="H27" s="10">
        <v>8.6647806725672197E-2</v>
      </c>
      <c r="I27" s="10">
        <f t="shared" si="6"/>
        <v>1.4556679825720482</v>
      </c>
    </row>
    <row r="28" spans="1:9" x14ac:dyDescent="0.35">
      <c r="A28" t="s">
        <v>22</v>
      </c>
      <c r="B28" s="2" t="s">
        <v>12</v>
      </c>
      <c r="C28" s="10">
        <v>0.77200000000000002</v>
      </c>
      <c r="D28" s="10">
        <v>0.79500000000000004</v>
      </c>
      <c r="E28" s="10">
        <f t="shared" si="5"/>
        <v>2.300000000000002E-2</v>
      </c>
      <c r="F28" s="10"/>
      <c r="G28" s="10">
        <v>0.29504265237581151</v>
      </c>
      <c r="H28" s="10">
        <v>0.2376230736302605</v>
      </c>
      <c r="I28" s="10">
        <f t="shared" si="6"/>
        <v>1.2416414276119305</v>
      </c>
    </row>
    <row r="29" spans="1:9" x14ac:dyDescent="0.35">
      <c r="A29" t="s">
        <v>23</v>
      </c>
      <c r="B29" s="2" t="s">
        <v>13</v>
      </c>
      <c r="C29" s="10">
        <v>0.70199999999999996</v>
      </c>
      <c r="D29" s="10">
        <v>0.70699999999999996</v>
      </c>
      <c r="E29" s="10">
        <f t="shared" si="5"/>
        <v>5.0000000000000044E-3</v>
      </c>
      <c r="F29" s="10"/>
      <c r="G29" s="10">
        <v>0.45334349786573003</v>
      </c>
      <c r="H29" s="10">
        <v>0.42312004334688502</v>
      </c>
      <c r="I29" s="10">
        <f t="shared" si="6"/>
        <v>1.0714299759467245</v>
      </c>
    </row>
    <row r="30" spans="1:9" x14ac:dyDescent="0.35">
      <c r="A30" t="s">
        <v>24</v>
      </c>
      <c r="B30" s="2" t="s">
        <v>14</v>
      </c>
      <c r="C30" s="10">
        <v>0.88700000000000001</v>
      </c>
      <c r="D30" s="10">
        <v>0.90500000000000003</v>
      </c>
      <c r="E30" s="10">
        <f t="shared" si="5"/>
        <v>1.8000000000000016E-2</v>
      </c>
      <c r="F30" s="10"/>
      <c r="G30" s="10">
        <v>7.5801713416281793E-2</v>
      </c>
      <c r="H30" s="10">
        <v>5.5512709930258801E-2</v>
      </c>
      <c r="I30" s="10">
        <f t="shared" si="6"/>
        <v>1.365483931725046</v>
      </c>
    </row>
    <row r="31" spans="1:9" x14ac:dyDescent="0.35">
      <c r="A31" t="s">
        <v>25</v>
      </c>
      <c r="B31" s="2" t="s">
        <v>15</v>
      </c>
      <c r="C31" s="10">
        <v>0.85399999999999998</v>
      </c>
      <c r="D31" s="10">
        <v>0.85599999999999998</v>
      </c>
      <c r="E31" s="10">
        <f t="shared" si="5"/>
        <v>2.0000000000000018E-3</v>
      </c>
      <c r="F31" s="10"/>
      <c r="G31" s="10">
        <v>0.11991093218351151</v>
      </c>
      <c r="H31" s="10">
        <v>0.12613043801065199</v>
      </c>
      <c r="I31" s="10">
        <f t="shared" si="6"/>
        <v>0.95068988956801026</v>
      </c>
    </row>
    <row r="32" spans="1:9" x14ac:dyDescent="0.35">
      <c r="A32" t="s">
        <v>26</v>
      </c>
      <c r="B32" s="2" t="s">
        <v>16</v>
      </c>
      <c r="C32" s="10">
        <v>0.79</v>
      </c>
      <c r="D32" s="10">
        <v>0.80200000000000005</v>
      </c>
      <c r="E32" s="10">
        <f t="shared" si="5"/>
        <v>1.2000000000000011E-2</v>
      </c>
      <c r="F32" s="10"/>
      <c r="G32" s="10">
        <v>0.20211693319870999</v>
      </c>
      <c r="H32" s="10">
        <v>0.20456791849881351</v>
      </c>
      <c r="I32" s="10">
        <f t="shared" si="6"/>
        <v>0.98801872102874366</v>
      </c>
    </row>
    <row r="33" spans="1:9" x14ac:dyDescent="0.35">
      <c r="A33" s="12" t="s">
        <v>17</v>
      </c>
      <c r="B33" s="4" t="s">
        <v>17</v>
      </c>
      <c r="C33" s="10">
        <v>0.51600000000000001</v>
      </c>
      <c r="D33" s="10">
        <v>0.51700000000000002</v>
      </c>
      <c r="E33" s="10">
        <f t="shared" si="5"/>
        <v>1.0000000000000009E-3</v>
      </c>
      <c r="F33" s="10"/>
      <c r="G33" s="10">
        <v>0.68517901091076805</v>
      </c>
      <c r="H33" s="10">
        <v>0.68915515929040805</v>
      </c>
      <c r="I33" s="10">
        <f t="shared" si="6"/>
        <v>0.99423040178102406</v>
      </c>
    </row>
    <row r="34" spans="1:9" x14ac:dyDescent="0.35">
      <c r="A34" s="15" t="s">
        <v>49</v>
      </c>
      <c r="B34" s="15"/>
      <c r="C34" s="14">
        <f>AVERAGE(C21:C32)</f>
        <v>0.79833333333333323</v>
      </c>
      <c r="D34" s="14">
        <f t="shared" ref="D34:E34" si="7">AVERAGE(D21:D32)</f>
        <v>0.80958333333333332</v>
      </c>
      <c r="E34" s="14">
        <f t="shared" si="7"/>
        <v>1.1250000000000001E-2</v>
      </c>
      <c r="F34" s="10"/>
      <c r="G34" s="14">
        <f t="shared" ref="G34:I34" si="8">AVERAGE(G21:G32)</f>
        <v>0.25159788732988569</v>
      </c>
      <c r="H34" s="14">
        <f t="shared" si="8"/>
        <v>0.21730744649284639</v>
      </c>
      <c r="I34" s="14">
        <f t="shared" si="8"/>
        <v>1.2264557269604131</v>
      </c>
    </row>
    <row r="35" spans="1:9" x14ac:dyDescent="0.35">
      <c r="A35" s="15" t="s">
        <v>58</v>
      </c>
      <c r="B35" s="15"/>
      <c r="C35" s="14">
        <f>2*_xlfn.STDEV.S(C21:C32)/SQRT(COUNT(C21:C32))</f>
        <v>4.2063684281735667E-2</v>
      </c>
      <c r="D35" s="14">
        <f t="shared" ref="D35:E35" si="9">2*_xlfn.STDEV.S(D21:D32)/SQRT(COUNT(D21:D32))</f>
        <v>4.3719809207860422E-2</v>
      </c>
      <c r="E35" s="14">
        <f t="shared" si="9"/>
        <v>5.1939650294618523E-3</v>
      </c>
      <c r="F35" s="10"/>
      <c r="G35" s="14">
        <f>2*_xlfn.STDEV.S(G21:G32)/SQRT(COUNT(G21:G32))</f>
        <v>9.2546030734950713E-2</v>
      </c>
      <c r="H35" s="14">
        <f>2*_xlfn.STDEV.S(H21:H32)/SQRT(COUNT(H21:H32))</f>
        <v>8.9102691881082607E-2</v>
      </c>
      <c r="I35" s="14">
        <f>2*_xlfn.STDEV.S(I21:I32)/SQRT(COUNT(I21:I32))</f>
        <v>0.11181670982352933</v>
      </c>
    </row>
    <row r="37" spans="1:9" x14ac:dyDescent="0.35">
      <c r="A37" s="15" t="s">
        <v>63</v>
      </c>
      <c r="B37" s="15"/>
      <c r="C37" s="15"/>
      <c r="D37" s="15"/>
      <c r="E37" s="15"/>
      <c r="F37" s="15"/>
      <c r="G37" s="15"/>
      <c r="H37" s="15"/>
      <c r="I37" s="15"/>
    </row>
    <row r="38" spans="1:9" x14ac:dyDescent="0.35">
      <c r="A38" s="6" t="s">
        <v>0</v>
      </c>
      <c r="B38" s="3" t="s">
        <v>4</v>
      </c>
      <c r="C38" s="5" t="s">
        <v>51</v>
      </c>
      <c r="D38" s="5" t="s">
        <v>52</v>
      </c>
      <c r="E38" s="13" t="s">
        <v>53</v>
      </c>
      <c r="F38" s="13"/>
      <c r="G38" s="1" t="s">
        <v>54</v>
      </c>
      <c r="H38" s="1" t="s">
        <v>55</v>
      </c>
      <c r="I38" s="1" t="s">
        <v>64</v>
      </c>
    </row>
    <row r="39" spans="1:9" x14ac:dyDescent="0.35">
      <c r="A39" t="s">
        <v>1</v>
      </c>
      <c r="B39" s="2" t="s">
        <v>5</v>
      </c>
      <c r="C39" s="10">
        <v>0.96499999999999997</v>
      </c>
      <c r="D39" s="10">
        <v>0.96499999999999997</v>
      </c>
      <c r="E39" s="10">
        <f>D39-C39</f>
        <v>0</v>
      </c>
      <c r="F39" s="10"/>
      <c r="G39" s="10">
        <v>1.6129381929883599E-2</v>
      </c>
      <c r="H39" s="10">
        <v>1.1060947359424899E-2</v>
      </c>
      <c r="I39" s="10">
        <f>G39/H39</f>
        <v>1.458227890049576</v>
      </c>
    </row>
    <row r="40" spans="1:9" x14ac:dyDescent="0.35">
      <c r="A40" t="s">
        <v>2</v>
      </c>
      <c r="B40" s="2" t="s">
        <v>6</v>
      </c>
      <c r="C40" s="10">
        <v>0.92900000000000005</v>
      </c>
      <c r="D40" s="10">
        <v>0.92400000000000004</v>
      </c>
      <c r="E40" s="10">
        <f t="shared" ref="E40:E51" si="10">D40-C40</f>
        <v>-5.0000000000000044E-3</v>
      </c>
      <c r="F40" s="10"/>
      <c r="G40" s="10">
        <v>3.6663984371591497E-2</v>
      </c>
      <c r="H40" s="10">
        <v>3.3556783528842803E-2</v>
      </c>
      <c r="I40" s="10">
        <f t="shared" ref="I40:I51" si="11">G40/H40</f>
        <v>1.0925953120649357</v>
      </c>
    </row>
    <row r="41" spans="1:9" x14ac:dyDescent="0.35">
      <c r="A41" t="s">
        <v>3</v>
      </c>
      <c r="B41" s="2" t="s">
        <v>7</v>
      </c>
      <c r="C41" s="10">
        <v>0.876</v>
      </c>
      <c r="D41" s="10">
        <v>0.875</v>
      </c>
      <c r="E41" s="10">
        <f t="shared" si="10"/>
        <v>-1.0000000000000009E-3</v>
      </c>
      <c r="F41" s="10"/>
      <c r="G41" s="10">
        <v>8.2295242726830198E-2</v>
      </c>
      <c r="H41" s="10">
        <v>8.2295242726830198E-2</v>
      </c>
      <c r="I41" s="10">
        <f t="shared" si="11"/>
        <v>1</v>
      </c>
    </row>
    <row r="42" spans="1:9" x14ac:dyDescent="0.35">
      <c r="A42" t="s">
        <v>19</v>
      </c>
      <c r="B42" s="2" t="s">
        <v>8</v>
      </c>
      <c r="C42" s="10">
        <v>0.94399999999999995</v>
      </c>
      <c r="D42" s="10">
        <v>0.94799999999999995</v>
      </c>
      <c r="E42" s="10">
        <f t="shared" si="10"/>
        <v>4.0000000000000036E-3</v>
      </c>
      <c r="F42" s="10"/>
      <c r="G42" s="10">
        <v>2.8399474521698002E-2</v>
      </c>
      <c r="H42" s="10">
        <v>2.8399474521698002E-2</v>
      </c>
      <c r="I42" s="10">
        <f t="shared" si="11"/>
        <v>1</v>
      </c>
    </row>
    <row r="43" spans="1:9" x14ac:dyDescent="0.35">
      <c r="A43" t="s">
        <v>18</v>
      </c>
      <c r="B43" s="2" t="s">
        <v>9</v>
      </c>
      <c r="C43" s="10">
        <v>0.93700000000000006</v>
      </c>
      <c r="D43" s="10">
        <v>0.93799999999999994</v>
      </c>
      <c r="E43" s="10">
        <f t="shared" si="10"/>
        <v>9.9999999999988987E-4</v>
      </c>
      <c r="F43" s="10"/>
      <c r="G43" s="10">
        <v>3.2523191705560103E-2</v>
      </c>
      <c r="H43" s="10">
        <v>3.0459207484708602E-2</v>
      </c>
      <c r="I43" s="10">
        <f t="shared" si="11"/>
        <v>1.0677622430553284</v>
      </c>
    </row>
    <row r="44" spans="1:9" x14ac:dyDescent="0.35">
      <c r="A44" t="s">
        <v>20</v>
      </c>
      <c r="B44" s="2" t="s">
        <v>10</v>
      </c>
      <c r="C44" s="10">
        <v>0.92500000000000004</v>
      </c>
      <c r="D44" s="10">
        <v>0.92500000000000004</v>
      </c>
      <c r="E44" s="10">
        <f t="shared" si="10"/>
        <v>0</v>
      </c>
      <c r="F44" s="10"/>
      <c r="G44" s="10">
        <v>5.0241216436746797E-2</v>
      </c>
      <c r="H44" s="10">
        <v>5.2346480372209202E-2</v>
      </c>
      <c r="I44" s="10">
        <f t="shared" si="11"/>
        <v>0.95978213013572367</v>
      </c>
    </row>
    <row r="45" spans="1:9" x14ac:dyDescent="0.35">
      <c r="A45" t="s">
        <v>21</v>
      </c>
      <c r="B45" s="2" t="s">
        <v>11</v>
      </c>
      <c r="C45" s="10">
        <v>0.97599999999999998</v>
      </c>
      <c r="D45" s="10">
        <v>0.97699999999999998</v>
      </c>
      <c r="E45" s="10">
        <f t="shared" si="10"/>
        <v>1.0000000000000009E-3</v>
      </c>
      <c r="F45" s="10"/>
      <c r="G45" s="10">
        <v>1.9182819416774001E-2</v>
      </c>
      <c r="H45" s="10">
        <v>9.0407446521490707E-3</v>
      </c>
      <c r="I45" s="10">
        <f t="shared" si="11"/>
        <v>2.1218185177051829</v>
      </c>
    </row>
    <row r="46" spans="1:9" x14ac:dyDescent="0.35">
      <c r="A46" t="s">
        <v>22</v>
      </c>
      <c r="B46" s="2" t="s">
        <v>12</v>
      </c>
      <c r="C46" s="10">
        <v>0.92500000000000004</v>
      </c>
      <c r="D46" s="10">
        <v>0.92400000000000004</v>
      </c>
      <c r="E46" s="10">
        <f t="shared" si="10"/>
        <v>-1.0000000000000009E-3</v>
      </c>
      <c r="F46" s="10"/>
      <c r="G46" s="10">
        <v>4.2385852554987696E-2</v>
      </c>
      <c r="H46" s="10">
        <v>3.6663984371591497E-2</v>
      </c>
      <c r="I46" s="10">
        <f t="shared" si="11"/>
        <v>1.1560623669649417</v>
      </c>
    </row>
    <row r="47" spans="1:9" x14ac:dyDescent="0.35">
      <c r="A47" t="s">
        <v>23</v>
      </c>
      <c r="B47" s="2" t="s">
        <v>13</v>
      </c>
      <c r="C47" s="10">
        <v>0.872</v>
      </c>
      <c r="D47" s="10">
        <v>0.873</v>
      </c>
      <c r="E47" s="10">
        <f t="shared" si="10"/>
        <v>1.0000000000000009E-3</v>
      </c>
      <c r="F47" s="10"/>
      <c r="G47" s="10">
        <v>8.2295242726830198E-2</v>
      </c>
      <c r="H47" s="10">
        <v>8.2295242726830198E-2</v>
      </c>
      <c r="I47" s="10">
        <f t="shared" si="11"/>
        <v>1</v>
      </c>
    </row>
    <row r="48" spans="1:9" x14ac:dyDescent="0.35">
      <c r="A48" t="s">
        <v>24</v>
      </c>
      <c r="B48" s="2" t="s">
        <v>14</v>
      </c>
      <c r="C48" s="10">
        <v>0.96199999999999997</v>
      </c>
      <c r="D48" s="10">
        <v>0.95599999999999996</v>
      </c>
      <c r="E48" s="10">
        <f t="shared" si="10"/>
        <v>-6.0000000000000053E-3</v>
      </c>
      <c r="F48" s="10"/>
      <c r="G48" s="10">
        <v>2.4292692569044601E-2</v>
      </c>
      <c r="H48" s="10">
        <v>1.20725812342692E-2</v>
      </c>
      <c r="I48" s="10">
        <f t="shared" si="11"/>
        <v>2.0122202615698641</v>
      </c>
    </row>
    <row r="49" spans="1:9" x14ac:dyDescent="0.35">
      <c r="A49" t="s">
        <v>25</v>
      </c>
      <c r="B49" s="2" t="s">
        <v>15</v>
      </c>
      <c r="C49" s="10">
        <v>0.93500000000000005</v>
      </c>
      <c r="D49" s="10">
        <v>0.93600000000000005</v>
      </c>
      <c r="E49" s="10">
        <f t="shared" si="10"/>
        <v>1.0000000000000009E-3</v>
      </c>
      <c r="F49" s="10"/>
      <c r="G49" s="10">
        <v>2.7371196796132001E-2</v>
      </c>
      <c r="H49" s="10">
        <v>2.6343975339602001E-2</v>
      </c>
      <c r="I49" s="10">
        <f t="shared" si="11"/>
        <v>1.0389926517652714</v>
      </c>
    </row>
    <row r="50" spans="1:9" x14ac:dyDescent="0.35">
      <c r="A50" t="s">
        <v>26</v>
      </c>
      <c r="B50" s="2" t="s">
        <v>16</v>
      </c>
      <c r="C50" s="10">
        <v>0.92800000000000005</v>
      </c>
      <c r="D50" s="10">
        <v>0.92600000000000005</v>
      </c>
      <c r="E50" s="10">
        <f t="shared" si="10"/>
        <v>-2.0000000000000018E-3</v>
      </c>
      <c r="F50" s="10"/>
      <c r="G50" s="10">
        <v>3.6663984371591497E-2</v>
      </c>
      <c r="H50" s="10">
        <v>4.0301432266049902E-2</v>
      </c>
      <c r="I50" s="10">
        <f t="shared" si="11"/>
        <v>0.90974395474469016</v>
      </c>
    </row>
    <row r="51" spans="1:9" x14ac:dyDescent="0.35">
      <c r="A51" s="12" t="s">
        <v>17</v>
      </c>
      <c r="B51" s="4" t="s">
        <v>17</v>
      </c>
      <c r="C51" s="10">
        <v>0.49099999999999999</v>
      </c>
      <c r="D51" s="10">
        <v>0.504</v>
      </c>
      <c r="E51" s="10">
        <f t="shared" si="10"/>
        <v>1.3000000000000012E-2</v>
      </c>
      <c r="F51" s="10"/>
      <c r="G51" s="10">
        <v>0.69514918323061803</v>
      </c>
      <c r="H51" s="10">
        <v>0.69114917789727204</v>
      </c>
      <c r="I51" s="10">
        <f t="shared" si="11"/>
        <v>1.005787470290445</v>
      </c>
    </row>
    <row r="52" spans="1:9" x14ac:dyDescent="0.35">
      <c r="A52" s="15" t="s">
        <v>49</v>
      </c>
      <c r="B52" s="15"/>
      <c r="C52" s="14">
        <f>AVERAGE(C39:C50)</f>
        <v>0.93116666666666681</v>
      </c>
      <c r="D52" s="14">
        <f t="shared" ref="D52:E52" si="12">AVERAGE(D39:D50)</f>
        <v>0.93058333333333332</v>
      </c>
      <c r="E52" s="14">
        <f t="shared" si="12"/>
        <v>-5.8333333333334314E-4</v>
      </c>
      <c r="F52" s="10"/>
      <c r="G52" s="14">
        <f t="shared" ref="G52:I52" si="13">AVERAGE(G39:G50)</f>
        <v>3.9870356677305846E-2</v>
      </c>
      <c r="H52" s="14">
        <f t="shared" si="13"/>
        <v>3.7069674715350463E-2</v>
      </c>
      <c r="I52" s="14">
        <f t="shared" si="13"/>
        <v>1.234767110671293</v>
      </c>
    </row>
    <row r="53" spans="1:9" x14ac:dyDescent="0.35">
      <c r="A53" s="15" t="s">
        <v>58</v>
      </c>
      <c r="B53" s="15"/>
      <c r="C53" s="14">
        <f>2*_xlfn.STDEV.S(C39:C50)/SQRT(COUNT(C39:C50))</f>
        <v>1.8218926777647818E-2</v>
      </c>
      <c r="D53" s="14">
        <f t="shared" ref="D53:E53" si="14">2*_xlfn.STDEV.S(D39:D50)/SQRT(COUNT(D39:D50))</f>
        <v>1.8188338477322669E-2</v>
      </c>
      <c r="E53" s="14">
        <f t="shared" si="14"/>
        <v>1.5851265762159997E-3</v>
      </c>
      <c r="F53" s="10"/>
      <c r="G53" s="14">
        <f>2*_xlfn.STDEV.S(G39:G50)/SQRT(COUNT(G39:G50))</f>
        <v>1.2685291743321626E-2</v>
      </c>
      <c r="H53" s="14">
        <f t="shared" ref="H53:I53" si="15">2*_xlfn.STDEV.S(H39:H50)/SQRT(COUNT(H39:H50))</f>
        <v>1.421466892586894E-2</v>
      </c>
      <c r="I53" s="14">
        <f t="shared" si="15"/>
        <v>0.23871229178460734</v>
      </c>
    </row>
  </sheetData>
  <mergeCells count="9">
    <mergeCell ref="A52:B52"/>
    <mergeCell ref="A53:B53"/>
    <mergeCell ref="A17:B17"/>
    <mergeCell ref="A16:B16"/>
    <mergeCell ref="A1:I1"/>
    <mergeCell ref="A19:I19"/>
    <mergeCell ref="A34:B34"/>
    <mergeCell ref="A35:B35"/>
    <mergeCell ref="A37:I37"/>
  </mergeCells>
  <conditionalFormatting sqref="C3:D15">
    <cfRule type="colorScale" priority="99">
      <colorScale>
        <cfvo type="min"/>
        <cfvo type="max"/>
        <color rgb="FFFFEF9C"/>
        <color rgb="FF63BE7B"/>
      </colorScale>
    </cfRule>
    <cfRule type="colorScale" priority="98">
      <colorScale>
        <cfvo type="min"/>
        <cfvo type="max"/>
        <color rgb="FFFFEF9C"/>
        <color rgb="FF63BE7B"/>
      </colorScale>
    </cfRule>
    <cfRule type="colorScale" priority="97">
      <colorScale>
        <cfvo type="min"/>
        <cfvo type="max"/>
        <color rgb="FFFFEF9C"/>
        <color rgb="FF63BE7B"/>
      </colorScale>
    </cfRule>
    <cfRule type="colorScale" priority="9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1:D33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C39:D51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15">
    <cfRule type="colorScale" priority="104">
      <colorScale>
        <cfvo type="min"/>
        <cfvo type="max"/>
        <color rgb="FFFFEF9C"/>
        <color rgb="FF63BE7B"/>
      </colorScale>
    </cfRule>
    <cfRule type="colorScale" priority="103">
      <colorScale>
        <cfvo type="min"/>
        <cfvo type="max"/>
        <color rgb="FFFFEF9C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2">
      <colorScale>
        <cfvo type="min"/>
        <cfvo type="max"/>
        <color rgb="FFFFEF9C"/>
        <color rgb="FF63BE7B"/>
      </colorScale>
    </cfRule>
    <cfRule type="colorScale" priority="10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1:F33">
    <cfRule type="colorScale" priority="29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8">
      <colorScale>
        <cfvo type="min"/>
        <cfvo type="max"/>
        <color rgb="FFFFEF9C"/>
        <color rgb="FF63BE7B"/>
      </colorScale>
    </cfRule>
    <cfRule type="colorScale" priority="2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7">
      <colorScale>
        <cfvo type="min"/>
        <cfvo type="max"/>
        <color rgb="FFFFEF9C"/>
        <color rgb="FF63BE7B"/>
      </colorScale>
    </cfRule>
  </conditionalFormatting>
  <conditionalFormatting sqref="F39:F51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FEF9C"/>
        <color rgb="FF63BE7B"/>
      </colorScale>
    </cfRule>
    <cfRule type="colorScale" priority="13">
      <colorScale>
        <cfvo type="min"/>
        <cfvo type="max"/>
        <color rgb="FFFFEF9C"/>
        <color rgb="FF63BE7B"/>
      </colorScale>
    </cfRule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G3:H15">
    <cfRule type="colorScale" priority="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:H33">
    <cfRule type="colorScale" priority="1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</conditionalFormatting>
  <conditionalFormatting sqref="G39:H51">
    <cfRule type="colorScale" priority="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num" val="0.6929999999999999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C16:I16 C34:I34 C52:I52 F17 C17:E17 G17:I17 F35 C35:E35 G35:I35 F53 C53:E53 G53:I5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comparison_rj_nonrj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2026-05-05T04:29:25Z</dcterms:modified>
</cp:coreProperties>
</file>