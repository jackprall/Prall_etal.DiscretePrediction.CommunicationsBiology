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sadik\My Drive\Operation\ocean\Prall_etal.DiscretePrediction.CommunicationsBiology\4_results_excel\"/>
    </mc:Choice>
  </mc:AlternateContent>
  <xr:revisionPtr revIDLastSave="0" documentId="13_ncr:1_{594CD61C-CC54-474D-980C-8922F6C9D19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tadata" sheetId="2" r:id="rId1"/>
    <sheet name="comparison_terminal" sheetId="51" r:id="rId2"/>
    <sheet name="comparison_pred" sheetId="5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9" i="52" l="1"/>
  <c r="I89" i="52"/>
  <c r="G89" i="52"/>
  <c r="D89" i="52"/>
  <c r="E89" i="52"/>
  <c r="C89" i="52"/>
  <c r="H71" i="52"/>
  <c r="I71" i="52"/>
  <c r="G71" i="52"/>
  <c r="D71" i="52"/>
  <c r="E71" i="52"/>
  <c r="C71" i="52"/>
  <c r="H53" i="52"/>
  <c r="I53" i="52"/>
  <c r="G53" i="52"/>
  <c r="D53" i="52"/>
  <c r="E53" i="52"/>
  <c r="C53" i="52"/>
  <c r="H35" i="52"/>
  <c r="I35" i="52"/>
  <c r="G35" i="52"/>
  <c r="D35" i="52"/>
  <c r="E35" i="52"/>
  <c r="C35" i="52"/>
  <c r="H17" i="52"/>
  <c r="I17" i="52"/>
  <c r="G17" i="52"/>
  <c r="D17" i="52"/>
  <c r="E17" i="52"/>
  <c r="C17" i="52"/>
  <c r="Q17" i="51"/>
  <c r="P17" i="51"/>
  <c r="K17" i="51"/>
  <c r="J17" i="51"/>
  <c r="E17" i="51"/>
  <c r="D17" i="51"/>
  <c r="D88" i="52"/>
  <c r="E88" i="52"/>
  <c r="G88" i="52"/>
  <c r="H88" i="52"/>
  <c r="I88" i="52"/>
  <c r="C88" i="52"/>
  <c r="D70" i="52"/>
  <c r="E70" i="52"/>
  <c r="G70" i="52"/>
  <c r="H70" i="52"/>
  <c r="I70" i="52"/>
  <c r="C70" i="52"/>
  <c r="D52" i="52"/>
  <c r="E52" i="52"/>
  <c r="G52" i="52"/>
  <c r="H52" i="52"/>
  <c r="I52" i="52"/>
  <c r="C52" i="52"/>
  <c r="D34" i="52"/>
  <c r="E34" i="52"/>
  <c r="G34" i="52"/>
  <c r="H34" i="52"/>
  <c r="I34" i="52"/>
  <c r="C34" i="52"/>
  <c r="D16" i="52"/>
  <c r="E16" i="52"/>
  <c r="G16" i="52"/>
  <c r="H16" i="52"/>
  <c r="I16" i="52"/>
  <c r="C16" i="52"/>
  <c r="Q16" i="51"/>
  <c r="P16" i="51"/>
  <c r="K16" i="51"/>
  <c r="J16" i="51"/>
  <c r="E16" i="51"/>
  <c r="D16" i="51"/>
</calcChain>
</file>

<file path=xl/sharedStrings.xml><?xml version="1.0" encoding="utf-8"?>
<sst xmlns="http://schemas.openxmlformats.org/spreadsheetml/2006/main" count="347" uniqueCount="80">
  <si>
    <t>scenario</t>
  </si>
  <si>
    <t>ER.L</t>
  </si>
  <si>
    <t>ER.M</t>
  </si>
  <si>
    <t>ER.H</t>
  </si>
  <si>
    <t>matrix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</si>
  <si>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</si>
  <si>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</si>
  <si>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</si>
  <si>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</si>
  <si>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</si>
  <si>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</si>
  <si>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</si>
  <si>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</si>
  <si>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</si>
  <si>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</si>
  <si>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</si>
  <si>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</si>
  <si>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random</t>
  </si>
  <si>
    <t>DR.LH</t>
  </si>
  <si>
    <t>DR.LM</t>
  </si>
  <si>
    <t>DR.MH</t>
  </si>
  <si>
    <t>DEP1.L</t>
  </si>
  <si>
    <t>DEP1.M</t>
  </si>
  <si>
    <t>DEP1.H</t>
  </si>
  <si>
    <t>DEP2.L</t>
  </si>
  <si>
    <t>DEP2.M</t>
  </si>
  <si>
    <t>DEP2.H</t>
  </si>
  <si>
    <t>Matrix name designation, as in the manuscript</t>
  </si>
  <si>
    <t>terminal.med</t>
  </si>
  <si>
    <t>Color: Log-loss = 0.6931472 [equivalent to predicted P(Y=1) = 0.5]</t>
  </si>
  <si>
    <t>Color: Log-loss = 2.302585 [equivalent to predicted P(Y=1) = 0.1, when the true state of trait Y of the test taxon is 1, or vice versa]</t>
  </si>
  <si>
    <t>Color: Log-loss = 0.1053605 [equivalent to predicted P(Y=1) = 0.1, when the true state of trait Y of the test taxon is 0, or vice versa]</t>
  </si>
  <si>
    <t>Color: 0</t>
  </si>
  <si>
    <t>Color: 0.5</t>
  </si>
  <si>
    <t>Color: 1</t>
  </si>
  <si>
    <t>Q1 - ER.L: Independent, equal rates; low rates</t>
  </si>
  <si>
    <t>Q2 - ER.M: Independent, equal rates; medium rates</t>
  </si>
  <si>
    <t>Q3 - ER.H: Independent, equal rates; high rates</t>
  </si>
  <si>
    <t>Q4 - DR.LM: Independent, directional rates; low loss, medium gain</t>
  </si>
  <si>
    <t>Q5 - DR.LH: Independent, directional rates; low loss, high gain</t>
  </si>
  <si>
    <t>Q6 - DR.MH: Independent, directional rates; medium loss, high gain</t>
  </si>
  <si>
    <t>Q7 - DEP1.L: Low dependency, low rates</t>
  </si>
  <si>
    <t>Q8 - DEP1.M: Low dependency, medium rates</t>
  </si>
  <si>
    <t>Q9 - DEP1.H: Low dependency, high rates</t>
  </si>
  <si>
    <t>Q10 - DEP2.L: High dependency, low rates</t>
  </si>
  <si>
    <t>Q11 - DEP2.M: High dependency, medium rates</t>
  </si>
  <si>
    <t>Q12 - DEP2.H: High dependency, high rates</t>
  </si>
  <si>
    <t>random: traits X and Y were generated randomly, disregarding the tree</t>
  </si>
  <si>
    <t>Median terminal branch length of the 1,000 test taxa</t>
  </si>
  <si>
    <t>Evolutionary scenario (Q matrix) we used to simulate traits X and Y</t>
  </si>
  <si>
    <t>terminal.std.med</t>
  </si>
  <si>
    <t>tree.length</t>
  </si>
  <si>
    <r>
      <rPr>
        <b/>
        <i/>
        <sz val="11"/>
        <color theme="1"/>
        <rFont val="Calibri"/>
        <family val="2"/>
        <scheme val="minor"/>
      </rPr>
      <t>n</t>
    </r>
    <r>
      <rPr>
        <b/>
        <sz val="11"/>
        <color theme="1"/>
        <rFont val="Calibri"/>
        <family val="2"/>
        <scheme val="minor"/>
      </rPr>
      <t xml:space="preserve"> = 500 tips</t>
    </r>
  </si>
  <si>
    <r>
      <rPr>
        <b/>
        <i/>
        <sz val="11"/>
        <color theme="1"/>
        <rFont val="Calibri"/>
        <family val="2"/>
        <scheme val="minor"/>
      </rPr>
      <t>n</t>
    </r>
    <r>
      <rPr>
        <b/>
        <sz val="11"/>
        <color theme="1"/>
        <rFont val="Calibri"/>
        <family val="2"/>
        <scheme val="minor"/>
      </rPr>
      <t xml:space="preserve"> = 100 tips</t>
    </r>
  </si>
  <si>
    <r>
      <rPr>
        <b/>
        <i/>
        <sz val="11"/>
        <color theme="1"/>
        <rFont val="Calibri"/>
        <family val="2"/>
        <scheme val="minor"/>
      </rPr>
      <t>n</t>
    </r>
    <r>
      <rPr>
        <b/>
        <sz val="11"/>
        <color theme="1"/>
        <rFont val="Calibri"/>
        <family val="2"/>
        <scheme val="minor"/>
      </rPr>
      <t xml:space="preserve"> = 50 tips</t>
    </r>
  </si>
  <si>
    <t>comparison_terminal</t>
  </si>
  <si>
    <t>Tree length, standardized to 700 time units for all trees</t>
  </si>
  <si>
    <t>Median standardized terminal branch length (terminal branch length / tree height) of the 1,000 test taxa</t>
  </si>
  <si>
    <t>acc.dep.rj.n500</t>
  </si>
  <si>
    <t>acc.dep.rj.n50</t>
  </si>
  <si>
    <t>Mean (excluding random)</t>
  </si>
  <si>
    <t>acc.dep.rj.n100</t>
  </si>
  <si>
    <t>mll.dep.rj.n50</t>
  </si>
  <si>
    <t>mll.dep.rj.n100</t>
  </si>
  <si>
    <t>mll.dep.rj.n500</t>
  </si>
  <si>
    <t>comparison_pred</t>
  </si>
  <si>
    <r>
      <t>Accuracy of the RJMCMC-Discrete-Dependent (BayesTraits) prediction method (</t>
    </r>
    <r>
      <rPr>
        <i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 xml:space="preserve"> = 50 tips)</t>
    </r>
  </si>
  <si>
    <r>
      <t>Accuracy of the RJMCMC-Discrete-Dependent (BayesTraits) prediction method (</t>
    </r>
    <r>
      <rPr>
        <i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 xml:space="preserve"> = 100 tips)</t>
    </r>
  </si>
  <si>
    <r>
      <t>Accuracy of the RJMCMC-Discrete-Dependent (BayesTraits) prediction method (</t>
    </r>
    <r>
      <rPr>
        <i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 xml:space="preserve"> = 500 tips)</t>
    </r>
  </si>
  <si>
    <r>
      <t>Median log loss of the RJMCMC-Discrete-Dependent (BayesTraits) prediction method (</t>
    </r>
    <r>
      <rPr>
        <i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 xml:space="preserve"> = 50 tips)</t>
    </r>
  </si>
  <si>
    <r>
      <t>Median log loss of the RJMCMC-Discrete-Dependent (BayesTraits) prediction method (</t>
    </r>
    <r>
      <rPr>
        <i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 xml:space="preserve"> = 100 tips)</t>
    </r>
  </si>
  <si>
    <r>
      <t>Median log loss of the RJMCMC-Discrete-Dependent (BayesTraits) prediction method (</t>
    </r>
    <r>
      <rPr>
        <i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 xml:space="preserve"> = 500 tips)</t>
    </r>
  </si>
  <si>
    <t>ALL</t>
  </si>
  <si>
    <t>TRUE STATE OF TEST TAXON: 00</t>
  </si>
  <si>
    <t>TRUE STATE OF TEST TAXON: 01</t>
  </si>
  <si>
    <t>TRUE STATE OF TEST TAXON: 10</t>
  </si>
  <si>
    <t>TRUE STATE OF TEST TAXON: 11</t>
  </si>
  <si>
    <t>Mean</t>
  </si>
  <si>
    <t>2*SE (excluding random)</t>
  </si>
  <si>
    <t>2*SE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</si>
</sst>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8696B"/>
        <bgColor indexed="64"/>
      </patternFill>
    </fill>
    <fill>
      <patternFill patternType="solid">
        <fgColor rgb="FF63BE7B"/>
        <bgColor indexed="64"/>
      </patternFill>
    </fill>
    <fill>
      <patternFill patternType="solid">
        <fgColor rgb="FFFFEB84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3" fillId="0" borderId="0" xfId="0" applyFont="1"/>
    <xf numFmtId="49" fontId="2" fillId="0" borderId="0" xfId="0" applyNumberFormat="1" applyFont="1"/>
    <xf numFmtId="49" fontId="3" fillId="0" borderId="0" xfId="0" applyNumberFormat="1" applyFont="1"/>
    <xf numFmtId="49" fontId="4" fillId="0" borderId="0" xfId="0" applyNumberFormat="1" applyFont="1"/>
    <xf numFmtId="49" fontId="1" fillId="0" borderId="0" xfId="0" applyNumberFormat="1" applyFont="1"/>
    <xf numFmtId="0" fontId="0" fillId="2" borderId="0" xfId="0" applyFill="1"/>
    <xf numFmtId="0" fontId="0" fillId="3" borderId="0" xfId="0" applyFill="1"/>
    <xf numFmtId="0" fontId="0" fillId="4" borderId="0" xfId="0" applyFill="1"/>
    <xf numFmtId="164" fontId="0" fillId="0" borderId="0" xfId="0" applyNumberFormat="1"/>
    <xf numFmtId="0" fontId="0" fillId="5" borderId="0" xfId="0" applyFill="1"/>
    <xf numFmtId="0" fontId="5" fillId="0" borderId="0" xfId="0" applyFont="1"/>
    <xf numFmtId="49" fontId="0" fillId="0" borderId="0" xfId="0" applyNumberFormat="1"/>
    <xf numFmtId="0" fontId="2" fillId="0" borderId="0" xfId="0" applyFont="1"/>
    <xf numFmtId="0" fontId="4" fillId="0" borderId="0" xfId="0" applyFont="1"/>
    <xf numFmtId="164" fontId="5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/>
    <xf numFmtId="165" fontId="4" fillId="0" borderId="0" xfId="0" applyNumberFormat="1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8696B"/>
      <color rgb="FF63BE7B"/>
      <color rgb="FF7CAE00"/>
      <color rgb="FFF8766D"/>
      <color rgb="FFC77CFF"/>
      <color rgb="FF00BFC4"/>
      <color rgb="FFE1F3E6"/>
      <color rgb="FFCCCCFF"/>
      <color rgb="FF99CCFF"/>
      <color rgb="FFFFEB8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53A4E-B426-4D02-A5F1-14665BC27170}">
  <dimension ref="A1:B48"/>
  <sheetViews>
    <sheetView tabSelected="1" workbookViewId="0">
      <selection sqref="A1:B1"/>
    </sheetView>
  </sheetViews>
  <sheetFormatPr defaultRowHeight="14.4" x14ac:dyDescent="0.3"/>
  <cols>
    <col min="1" max="1" width="15.44140625" style="1" bestFit="1" customWidth="1"/>
    <col min="2" max="2" width="110" bestFit="1" customWidth="1"/>
  </cols>
  <sheetData>
    <row r="1" spans="1:2" x14ac:dyDescent="0.3">
      <c r="A1" s="20" t="s">
        <v>55</v>
      </c>
      <c r="B1" s="20"/>
    </row>
    <row r="2" spans="1:2" x14ac:dyDescent="0.3">
      <c r="A2" s="1" t="s">
        <v>0</v>
      </c>
      <c r="B2" t="s">
        <v>49</v>
      </c>
    </row>
    <row r="3" spans="1:2" x14ac:dyDescent="0.3">
      <c r="A3" s="1" t="s">
        <v>4</v>
      </c>
      <c r="B3" t="s">
        <v>27</v>
      </c>
    </row>
    <row r="4" spans="1:2" x14ac:dyDescent="0.3">
      <c r="B4" t="s">
        <v>35</v>
      </c>
    </row>
    <row r="5" spans="1:2" x14ac:dyDescent="0.3">
      <c r="B5" t="s">
        <v>36</v>
      </c>
    </row>
    <row r="6" spans="1:2" x14ac:dyDescent="0.3">
      <c r="B6" t="s">
        <v>37</v>
      </c>
    </row>
    <row r="7" spans="1:2" x14ac:dyDescent="0.3">
      <c r="B7" t="s">
        <v>38</v>
      </c>
    </row>
    <row r="8" spans="1:2" x14ac:dyDescent="0.3">
      <c r="B8" t="s">
        <v>39</v>
      </c>
    </row>
    <row r="9" spans="1:2" x14ac:dyDescent="0.3">
      <c r="B9" t="s">
        <v>40</v>
      </c>
    </row>
    <row r="10" spans="1:2" x14ac:dyDescent="0.3">
      <c r="B10" t="s">
        <v>41</v>
      </c>
    </row>
    <row r="11" spans="1:2" x14ac:dyDescent="0.3">
      <c r="B11" t="s">
        <v>42</v>
      </c>
    </row>
    <row r="12" spans="1:2" x14ac:dyDescent="0.3">
      <c r="B12" t="s">
        <v>43</v>
      </c>
    </row>
    <row r="13" spans="1:2" x14ac:dyDescent="0.3">
      <c r="B13" t="s">
        <v>44</v>
      </c>
    </row>
    <row r="14" spans="1:2" x14ac:dyDescent="0.3">
      <c r="B14" t="s">
        <v>45</v>
      </c>
    </row>
    <row r="15" spans="1:2" x14ac:dyDescent="0.3">
      <c r="B15" t="s">
        <v>46</v>
      </c>
    </row>
    <row r="16" spans="1:2" x14ac:dyDescent="0.3">
      <c r="B16" t="s">
        <v>47</v>
      </c>
    </row>
    <row r="17" spans="1:2" x14ac:dyDescent="0.3">
      <c r="A17" s="1" t="s">
        <v>51</v>
      </c>
      <c r="B17" t="s">
        <v>56</v>
      </c>
    </row>
    <row r="18" spans="1:2" x14ac:dyDescent="0.3">
      <c r="A18" s="1" t="s">
        <v>28</v>
      </c>
      <c r="B18" t="s">
        <v>48</v>
      </c>
    </row>
    <row r="19" spans="1:2" x14ac:dyDescent="0.3">
      <c r="A19" s="1" t="s">
        <v>50</v>
      </c>
      <c r="B19" t="s">
        <v>57</v>
      </c>
    </row>
    <row r="21" spans="1:2" x14ac:dyDescent="0.3">
      <c r="A21" s="20" t="s">
        <v>65</v>
      </c>
      <c r="B21" s="20"/>
    </row>
    <row r="22" spans="1:2" x14ac:dyDescent="0.3">
      <c r="A22" s="1" t="s">
        <v>0</v>
      </c>
      <c r="B22" t="s">
        <v>49</v>
      </c>
    </row>
    <row r="23" spans="1:2" x14ac:dyDescent="0.3">
      <c r="A23" s="1" t="s">
        <v>4</v>
      </c>
      <c r="B23" t="s">
        <v>27</v>
      </c>
    </row>
    <row r="24" spans="1:2" x14ac:dyDescent="0.3">
      <c r="B24" t="s">
        <v>35</v>
      </c>
    </row>
    <row r="25" spans="1:2" x14ac:dyDescent="0.3">
      <c r="B25" t="s">
        <v>36</v>
      </c>
    </row>
    <row r="26" spans="1:2" x14ac:dyDescent="0.3">
      <c r="B26" t="s">
        <v>37</v>
      </c>
    </row>
    <row r="27" spans="1:2" x14ac:dyDescent="0.3">
      <c r="B27" t="s">
        <v>38</v>
      </c>
    </row>
    <row r="28" spans="1:2" x14ac:dyDescent="0.3">
      <c r="B28" t="s">
        <v>39</v>
      </c>
    </row>
    <row r="29" spans="1:2" x14ac:dyDescent="0.3">
      <c r="B29" t="s">
        <v>40</v>
      </c>
    </row>
    <row r="30" spans="1:2" x14ac:dyDescent="0.3">
      <c r="B30" t="s">
        <v>41</v>
      </c>
    </row>
    <row r="31" spans="1:2" x14ac:dyDescent="0.3">
      <c r="B31" t="s">
        <v>42</v>
      </c>
    </row>
    <row r="32" spans="1:2" x14ac:dyDescent="0.3">
      <c r="B32" t="s">
        <v>43</v>
      </c>
    </row>
    <row r="33" spans="1:2" x14ac:dyDescent="0.3">
      <c r="B33" t="s">
        <v>44</v>
      </c>
    </row>
    <row r="34" spans="1:2" x14ac:dyDescent="0.3">
      <c r="B34" t="s">
        <v>45</v>
      </c>
    </row>
    <row r="35" spans="1:2" x14ac:dyDescent="0.3">
      <c r="B35" t="s">
        <v>46</v>
      </c>
    </row>
    <row r="36" spans="1:2" x14ac:dyDescent="0.3">
      <c r="B36" t="s">
        <v>47</v>
      </c>
    </row>
    <row r="37" spans="1:2" x14ac:dyDescent="0.3">
      <c r="A37" s="1" t="s">
        <v>59</v>
      </c>
      <c r="B37" t="s">
        <v>66</v>
      </c>
    </row>
    <row r="38" spans="1:2" x14ac:dyDescent="0.3">
      <c r="A38" s="1" t="s">
        <v>61</v>
      </c>
      <c r="B38" t="s">
        <v>67</v>
      </c>
    </row>
    <row r="39" spans="1:2" x14ac:dyDescent="0.3">
      <c r="A39" s="1" t="s">
        <v>58</v>
      </c>
      <c r="B39" t="s">
        <v>68</v>
      </c>
    </row>
    <row r="40" spans="1:2" x14ac:dyDescent="0.3">
      <c r="B40" s="7" t="s">
        <v>32</v>
      </c>
    </row>
    <row r="41" spans="1:2" x14ac:dyDescent="0.3">
      <c r="B41" s="9" t="s">
        <v>33</v>
      </c>
    </row>
    <row r="42" spans="1:2" x14ac:dyDescent="0.3">
      <c r="B42" s="8" t="s">
        <v>34</v>
      </c>
    </row>
    <row r="43" spans="1:2" x14ac:dyDescent="0.3">
      <c r="A43" s="1" t="s">
        <v>62</v>
      </c>
      <c r="B43" t="s">
        <v>69</v>
      </c>
    </row>
    <row r="44" spans="1:2" x14ac:dyDescent="0.3">
      <c r="A44" s="1" t="s">
        <v>63</v>
      </c>
      <c r="B44" t="s">
        <v>70</v>
      </c>
    </row>
    <row r="45" spans="1:2" x14ac:dyDescent="0.3">
      <c r="A45" s="1" t="s">
        <v>64</v>
      </c>
      <c r="B45" t="s">
        <v>71</v>
      </c>
    </row>
    <row r="46" spans="1:2" x14ac:dyDescent="0.3">
      <c r="B46" s="7" t="s">
        <v>30</v>
      </c>
    </row>
    <row r="47" spans="1:2" x14ac:dyDescent="0.3">
      <c r="B47" s="11" t="s">
        <v>29</v>
      </c>
    </row>
    <row r="48" spans="1:2" x14ac:dyDescent="0.3">
      <c r="B48" s="8" t="s">
        <v>31</v>
      </c>
    </row>
  </sheetData>
  <mergeCells count="2">
    <mergeCell ref="A1:B1"/>
    <mergeCell ref="A21:B2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74C9B-4AE5-4EE5-B762-F97942C73527}">
  <dimension ref="A1:Q17"/>
  <sheetViews>
    <sheetView workbookViewId="0">
      <selection sqref="A1:E1"/>
    </sheetView>
  </sheetViews>
  <sheetFormatPr defaultRowHeight="14.4" x14ac:dyDescent="0.3"/>
  <cols>
    <col min="1" max="1" width="7.77734375" bestFit="1" customWidth="1"/>
    <col min="2" max="2" width="7.44140625" bestFit="1" customWidth="1"/>
    <col min="3" max="3" width="10.109375" bestFit="1" customWidth="1"/>
    <col min="4" max="4" width="12.21875" bestFit="1" customWidth="1"/>
    <col min="5" max="5" width="15.44140625" bestFit="1" customWidth="1"/>
    <col min="6" max="6" width="2.21875" customWidth="1"/>
    <col min="7" max="7" width="7.77734375" bestFit="1" customWidth="1"/>
    <col min="8" max="8" width="7.44140625" bestFit="1" customWidth="1"/>
    <col min="9" max="9" width="10.109375" bestFit="1" customWidth="1"/>
    <col min="10" max="10" width="12.21875" bestFit="1" customWidth="1"/>
    <col min="11" max="11" width="15.44140625" bestFit="1" customWidth="1"/>
    <col min="12" max="12" width="2.21875" customWidth="1"/>
    <col min="13" max="13" width="7.77734375" bestFit="1" customWidth="1"/>
    <col min="14" max="14" width="7.44140625" style="2" bestFit="1" customWidth="1"/>
    <col min="15" max="15" width="10.109375" style="2" bestFit="1" customWidth="1"/>
    <col min="16" max="16" width="12.21875" style="12" bestFit="1" customWidth="1"/>
    <col min="17" max="17" width="15.44140625" bestFit="1" customWidth="1"/>
  </cols>
  <sheetData>
    <row r="1" spans="1:17" x14ac:dyDescent="0.3">
      <c r="A1" s="20" t="s">
        <v>54</v>
      </c>
      <c r="B1" s="20"/>
      <c r="C1" s="20"/>
      <c r="D1" s="20"/>
      <c r="E1" s="20"/>
      <c r="G1" s="20" t="s">
        <v>53</v>
      </c>
      <c r="H1" s="20"/>
      <c r="I1" s="20"/>
      <c r="J1" s="20"/>
      <c r="K1" s="20"/>
      <c r="M1" s="20" t="s">
        <v>52</v>
      </c>
      <c r="N1" s="20"/>
      <c r="O1" s="20"/>
      <c r="P1" s="20"/>
      <c r="Q1" s="20"/>
    </row>
    <row r="2" spans="1:17" s="1" customFormat="1" x14ac:dyDescent="0.3">
      <c r="A2" s="6" t="s">
        <v>0</v>
      </c>
      <c r="B2" s="3" t="s">
        <v>4</v>
      </c>
      <c r="C2" s="14" t="s">
        <v>51</v>
      </c>
      <c r="D2" s="15" t="s">
        <v>28</v>
      </c>
      <c r="E2" s="1" t="s">
        <v>50</v>
      </c>
      <c r="G2" s="6" t="s">
        <v>0</v>
      </c>
      <c r="H2" s="3" t="s">
        <v>4</v>
      </c>
      <c r="I2" s="14" t="s">
        <v>51</v>
      </c>
      <c r="J2" s="15" t="s">
        <v>28</v>
      </c>
      <c r="K2" s="1" t="s">
        <v>50</v>
      </c>
      <c r="M2" s="6" t="s">
        <v>0</v>
      </c>
      <c r="N2" s="3" t="s">
        <v>4</v>
      </c>
      <c r="O2" s="14" t="s">
        <v>51</v>
      </c>
      <c r="P2" s="15" t="s">
        <v>28</v>
      </c>
      <c r="Q2" s="1" t="s">
        <v>50</v>
      </c>
    </row>
    <row r="3" spans="1:17" x14ac:dyDescent="0.3">
      <c r="A3" t="s">
        <v>1</v>
      </c>
      <c r="B3" s="2" t="s">
        <v>5</v>
      </c>
      <c r="C3" s="2">
        <v>700</v>
      </c>
      <c r="D3" s="10">
        <v>5.1898778384999993</v>
      </c>
      <c r="E3" s="10">
        <v>0.10163161677835987</v>
      </c>
      <c r="G3" t="s">
        <v>1</v>
      </c>
      <c r="H3" s="2" t="s">
        <v>5</v>
      </c>
      <c r="I3" s="2">
        <v>700</v>
      </c>
      <c r="J3" s="10">
        <v>2.3293471989999999</v>
      </c>
      <c r="K3" s="10">
        <v>8.2413825934510479E-2</v>
      </c>
      <c r="M3" t="s">
        <v>1</v>
      </c>
      <c r="N3" s="2" t="s">
        <v>5</v>
      </c>
      <c r="O3" s="2">
        <v>700</v>
      </c>
      <c r="P3" s="16">
        <v>0.46497394174999995</v>
      </c>
      <c r="Q3" s="10">
        <v>5.9020766522400597E-2</v>
      </c>
    </row>
    <row r="4" spans="1:17" x14ac:dyDescent="0.3">
      <c r="A4" t="s">
        <v>2</v>
      </c>
      <c r="B4" s="2" t="s">
        <v>6</v>
      </c>
      <c r="C4" s="2">
        <v>700</v>
      </c>
      <c r="D4" s="10">
        <v>5.1231224700000002</v>
      </c>
      <c r="E4" s="10">
        <v>0.10022211980401932</v>
      </c>
      <c r="G4" t="s">
        <v>2</v>
      </c>
      <c r="H4" s="2" t="s">
        <v>6</v>
      </c>
      <c r="I4" s="2">
        <v>700</v>
      </c>
      <c r="J4" s="10">
        <v>2.4547152414999998</v>
      </c>
      <c r="K4" s="10">
        <v>8.2904085619224868E-2</v>
      </c>
      <c r="M4" t="s">
        <v>2</v>
      </c>
      <c r="N4" s="2" t="s">
        <v>6</v>
      </c>
      <c r="O4" s="2">
        <v>700</v>
      </c>
      <c r="P4" s="16">
        <v>0.48054042590000001</v>
      </c>
      <c r="Q4" s="10">
        <v>5.9769158007097867E-2</v>
      </c>
    </row>
    <row r="5" spans="1:17" x14ac:dyDescent="0.3">
      <c r="A5" t="s">
        <v>3</v>
      </c>
      <c r="B5" s="2" t="s">
        <v>7</v>
      </c>
      <c r="C5" s="2">
        <v>700</v>
      </c>
      <c r="D5" s="10">
        <v>4.6353398694999992</v>
      </c>
      <c r="E5" s="10">
        <v>9.143217617635982E-2</v>
      </c>
      <c r="G5" t="s">
        <v>3</v>
      </c>
      <c r="H5" s="2" t="s">
        <v>7</v>
      </c>
      <c r="I5" s="2">
        <v>700</v>
      </c>
      <c r="J5" s="10">
        <v>2.3768717705000002</v>
      </c>
      <c r="K5" s="10">
        <v>8.2158160948882786E-2</v>
      </c>
      <c r="M5" t="s">
        <v>3</v>
      </c>
      <c r="N5" s="2" t="s">
        <v>7</v>
      </c>
      <c r="O5" s="2">
        <v>700</v>
      </c>
      <c r="P5" s="16">
        <v>0.50905720580000002</v>
      </c>
      <c r="Q5" s="10">
        <v>6.3333139881252276E-2</v>
      </c>
    </row>
    <row r="6" spans="1:17" x14ac:dyDescent="0.3">
      <c r="A6" t="s">
        <v>19</v>
      </c>
      <c r="B6" s="2" t="s">
        <v>8</v>
      </c>
      <c r="C6" s="2">
        <v>700</v>
      </c>
      <c r="D6" s="10">
        <v>4.9085342969999992</v>
      </c>
      <c r="E6" s="10">
        <v>9.9742812461950159E-2</v>
      </c>
      <c r="G6" t="s">
        <v>19</v>
      </c>
      <c r="H6" s="2" t="s">
        <v>8</v>
      </c>
      <c r="I6" s="2">
        <v>700</v>
      </c>
      <c r="J6" s="10">
        <v>2.5651809805000001</v>
      </c>
      <c r="K6" s="10">
        <v>8.8567089406209526E-2</v>
      </c>
      <c r="M6" t="s">
        <v>19</v>
      </c>
      <c r="N6" s="2" t="s">
        <v>8</v>
      </c>
      <c r="O6" s="2">
        <v>700</v>
      </c>
      <c r="P6" s="16">
        <v>0.48814003655000004</v>
      </c>
      <c r="Q6" s="10">
        <v>5.9979981238657713E-2</v>
      </c>
    </row>
    <row r="7" spans="1:17" x14ac:dyDescent="0.3">
      <c r="A7" t="s">
        <v>18</v>
      </c>
      <c r="B7" s="2" t="s">
        <v>9</v>
      </c>
      <c r="C7" s="2">
        <v>700</v>
      </c>
      <c r="D7" s="10">
        <v>4.920694686</v>
      </c>
      <c r="E7" s="10">
        <v>9.6577590040254291E-2</v>
      </c>
      <c r="G7" t="s">
        <v>18</v>
      </c>
      <c r="H7" s="2" t="s">
        <v>9</v>
      </c>
      <c r="I7" s="2">
        <v>700</v>
      </c>
      <c r="J7" s="10">
        <v>2.5331559564999999</v>
      </c>
      <c r="K7" s="10">
        <v>8.7570120222553754E-2</v>
      </c>
      <c r="M7" t="s">
        <v>18</v>
      </c>
      <c r="N7" s="2" t="s">
        <v>9</v>
      </c>
      <c r="O7" s="2">
        <v>700</v>
      </c>
      <c r="P7" s="16">
        <v>0.47972102910000003</v>
      </c>
      <c r="Q7" s="10">
        <v>5.9807561957611374E-2</v>
      </c>
    </row>
    <row r="8" spans="1:17" x14ac:dyDescent="0.3">
      <c r="A8" t="s">
        <v>20</v>
      </c>
      <c r="B8" s="2" t="s">
        <v>10</v>
      </c>
      <c r="C8" s="2">
        <v>700</v>
      </c>
      <c r="D8" s="10">
        <v>4.6859191525000004</v>
      </c>
      <c r="E8" s="10">
        <v>8.9294628250901217E-2</v>
      </c>
      <c r="G8" t="s">
        <v>20</v>
      </c>
      <c r="H8" s="2" t="s">
        <v>10</v>
      </c>
      <c r="I8" s="2">
        <v>700</v>
      </c>
      <c r="J8" s="10">
        <v>2.5622571465000004</v>
      </c>
      <c r="K8" s="10">
        <v>8.604817888296612E-2</v>
      </c>
      <c r="M8" t="s">
        <v>20</v>
      </c>
      <c r="N8" s="2" t="s">
        <v>10</v>
      </c>
      <c r="O8" s="2">
        <v>700</v>
      </c>
      <c r="P8" s="16">
        <v>0.4826022036</v>
      </c>
      <c r="Q8" s="10">
        <v>6.0198184817072571E-2</v>
      </c>
    </row>
    <row r="9" spans="1:17" x14ac:dyDescent="0.3">
      <c r="A9" t="s">
        <v>21</v>
      </c>
      <c r="B9" s="2" t="s">
        <v>11</v>
      </c>
      <c r="C9" s="2">
        <v>700</v>
      </c>
      <c r="D9" s="10">
        <v>5.181961469</v>
      </c>
      <c r="E9" s="10">
        <v>9.84204856330472E-2</v>
      </c>
      <c r="G9" t="s">
        <v>21</v>
      </c>
      <c r="H9" s="2" t="s">
        <v>11</v>
      </c>
      <c r="I9" s="2">
        <v>700</v>
      </c>
      <c r="J9" s="10">
        <v>2.4460237265</v>
      </c>
      <c r="K9" s="10">
        <v>8.2433674710937682E-2</v>
      </c>
      <c r="M9" t="s">
        <v>21</v>
      </c>
      <c r="N9" s="2" t="s">
        <v>11</v>
      </c>
      <c r="O9" s="2">
        <v>700</v>
      </c>
      <c r="P9" s="16">
        <v>0.52024408685000001</v>
      </c>
      <c r="Q9" s="10">
        <v>6.2668079372145497E-2</v>
      </c>
    </row>
    <row r="10" spans="1:17" x14ac:dyDescent="0.3">
      <c r="A10" t="s">
        <v>22</v>
      </c>
      <c r="B10" s="2" t="s">
        <v>12</v>
      </c>
      <c r="C10" s="2">
        <v>700</v>
      </c>
      <c r="D10" s="10">
        <v>5.0018031404999999</v>
      </c>
      <c r="E10" s="10">
        <v>9.9144514530405167E-2</v>
      </c>
      <c r="G10" t="s">
        <v>22</v>
      </c>
      <c r="H10" s="2" t="s">
        <v>12</v>
      </c>
      <c r="I10" s="2">
        <v>700</v>
      </c>
      <c r="J10" s="10">
        <v>2.5464358945000001</v>
      </c>
      <c r="K10" s="10">
        <v>8.6966740109240076E-2</v>
      </c>
      <c r="M10" t="s">
        <v>22</v>
      </c>
      <c r="N10" s="2" t="s">
        <v>12</v>
      </c>
      <c r="O10" s="2">
        <v>700</v>
      </c>
      <c r="P10" s="16">
        <v>0.5337758212999999</v>
      </c>
      <c r="Q10" s="10">
        <v>6.6230497016806208E-2</v>
      </c>
    </row>
    <row r="11" spans="1:17" x14ac:dyDescent="0.3">
      <c r="A11" t="s">
        <v>23</v>
      </c>
      <c r="B11" s="2" t="s">
        <v>13</v>
      </c>
      <c r="C11" s="2">
        <v>700</v>
      </c>
      <c r="D11" s="10">
        <v>5.1125869490000007</v>
      </c>
      <c r="E11" s="10">
        <v>9.9307293626179877E-2</v>
      </c>
      <c r="G11" t="s">
        <v>23</v>
      </c>
      <c r="H11" s="2" t="s">
        <v>13</v>
      </c>
      <c r="I11" s="2">
        <v>700</v>
      </c>
      <c r="J11" s="10">
        <v>2.3726395619999998</v>
      </c>
      <c r="K11" s="10">
        <v>8.1043345762638427E-2</v>
      </c>
      <c r="M11" t="s">
        <v>23</v>
      </c>
      <c r="N11" s="2" t="s">
        <v>13</v>
      </c>
      <c r="O11" s="2">
        <v>700</v>
      </c>
      <c r="P11" s="16">
        <v>0.50349032874999999</v>
      </c>
      <c r="Q11" s="10">
        <v>6.1854197675503153E-2</v>
      </c>
    </row>
    <row r="12" spans="1:17" x14ac:dyDescent="0.3">
      <c r="A12" t="s">
        <v>24</v>
      </c>
      <c r="B12" s="2" t="s">
        <v>14</v>
      </c>
      <c r="C12" s="2">
        <v>700</v>
      </c>
      <c r="D12" s="10">
        <v>5.4778275949999999</v>
      </c>
      <c r="E12" s="10">
        <v>0.11085675259323585</v>
      </c>
      <c r="G12" t="s">
        <v>24</v>
      </c>
      <c r="H12" s="2" t="s">
        <v>14</v>
      </c>
      <c r="I12" s="2">
        <v>700</v>
      </c>
      <c r="J12" s="10">
        <v>2.659477195</v>
      </c>
      <c r="K12" s="10">
        <v>9.2310216783851429E-2</v>
      </c>
      <c r="M12" t="s">
        <v>24</v>
      </c>
      <c r="N12" s="2" t="s">
        <v>14</v>
      </c>
      <c r="O12" s="2">
        <v>700</v>
      </c>
      <c r="P12" s="16">
        <v>0.51597132170000004</v>
      </c>
      <c r="Q12" s="10">
        <v>6.1455048356063184E-2</v>
      </c>
    </row>
    <row r="13" spans="1:17" x14ac:dyDescent="0.3">
      <c r="A13" t="s">
        <v>25</v>
      </c>
      <c r="B13" s="2" t="s">
        <v>15</v>
      </c>
      <c r="C13" s="2">
        <v>700</v>
      </c>
      <c r="D13" s="10">
        <v>4.9434132755000002</v>
      </c>
      <c r="E13" s="10">
        <v>9.8406055267319451E-2</v>
      </c>
      <c r="G13" t="s">
        <v>25</v>
      </c>
      <c r="H13" s="2" t="s">
        <v>15</v>
      </c>
      <c r="I13" s="2">
        <v>700</v>
      </c>
      <c r="J13" s="10">
        <v>2.3816472824999999</v>
      </c>
      <c r="K13" s="10">
        <v>7.9486344859521454E-2</v>
      </c>
      <c r="M13" t="s">
        <v>25</v>
      </c>
      <c r="N13" s="2" t="s">
        <v>15</v>
      </c>
      <c r="O13" s="2">
        <v>700</v>
      </c>
      <c r="P13" s="16">
        <v>0.47604639564999995</v>
      </c>
      <c r="Q13" s="10">
        <v>5.8875800795431678E-2</v>
      </c>
    </row>
    <row r="14" spans="1:17" x14ac:dyDescent="0.3">
      <c r="A14" t="s">
        <v>26</v>
      </c>
      <c r="B14" s="2" t="s">
        <v>16</v>
      </c>
      <c r="C14" s="2">
        <v>700</v>
      </c>
      <c r="D14" s="10">
        <v>4.8898956785000003</v>
      </c>
      <c r="E14" s="10">
        <v>9.6742791754048499E-2</v>
      </c>
      <c r="G14" t="s">
        <v>26</v>
      </c>
      <c r="H14" s="2" t="s">
        <v>16</v>
      </c>
      <c r="I14" s="2">
        <v>700</v>
      </c>
      <c r="J14" s="10">
        <v>2.3943445285</v>
      </c>
      <c r="K14" s="10">
        <v>8.0324120616568989E-2</v>
      </c>
      <c r="M14" t="s">
        <v>26</v>
      </c>
      <c r="N14" s="2" t="s">
        <v>16</v>
      </c>
      <c r="O14" s="2">
        <v>700</v>
      </c>
      <c r="P14" s="16">
        <v>0.50398030275000005</v>
      </c>
      <c r="Q14" s="10">
        <v>6.2608411474277065E-2</v>
      </c>
    </row>
    <row r="15" spans="1:17" x14ac:dyDescent="0.3">
      <c r="A15" s="13" t="s">
        <v>17</v>
      </c>
      <c r="B15" s="4" t="s">
        <v>17</v>
      </c>
      <c r="C15" s="2">
        <v>700</v>
      </c>
      <c r="D15" s="10">
        <v>5.0247703015000003</v>
      </c>
      <c r="E15" s="10">
        <v>9.9786918043551193E-2</v>
      </c>
      <c r="G15" s="13" t="s">
        <v>17</v>
      </c>
      <c r="H15" s="4" t="s">
        <v>17</v>
      </c>
      <c r="I15" s="2">
        <v>700</v>
      </c>
      <c r="J15" s="10">
        <v>2.5649004165</v>
      </c>
      <c r="K15" s="10">
        <v>8.5709441730194791E-2</v>
      </c>
      <c r="M15" s="13" t="s">
        <v>17</v>
      </c>
      <c r="N15" s="4" t="s">
        <v>17</v>
      </c>
      <c r="O15" s="2">
        <v>700</v>
      </c>
      <c r="P15" s="16">
        <v>0.50195457629999995</v>
      </c>
      <c r="Q15" s="10">
        <v>6.4244562168702807E-2</v>
      </c>
    </row>
    <row r="16" spans="1:17" x14ac:dyDescent="0.3">
      <c r="A16" s="20" t="s">
        <v>77</v>
      </c>
      <c r="B16" s="20"/>
      <c r="C16" s="20"/>
      <c r="D16" s="19">
        <f>AVERAGE(D3:D15)</f>
        <v>5.0073651324999995</v>
      </c>
      <c r="E16" s="18">
        <f>AVERAGE(E3:E15)</f>
        <v>9.8581981150740905E-2</v>
      </c>
      <c r="G16" s="20" t="s">
        <v>77</v>
      </c>
      <c r="H16" s="20"/>
      <c r="I16" s="20"/>
      <c r="J16" s="19">
        <f>AVERAGE(J3:J15)</f>
        <v>2.4759228384615386</v>
      </c>
      <c r="K16" s="18">
        <f>AVERAGE(K3:K15)</f>
        <v>8.4456565045176943E-2</v>
      </c>
      <c r="M16" s="20" t="s">
        <v>77</v>
      </c>
      <c r="N16" s="20"/>
      <c r="O16" s="20"/>
      <c r="P16" s="19">
        <f>AVERAGE(P3:P15)</f>
        <v>0.4969613596923077</v>
      </c>
      <c r="Q16" s="18">
        <f>AVERAGE(Q3:Q15)</f>
        <v>6.1541953021770915E-2</v>
      </c>
    </row>
    <row r="17" spans="1:17" x14ac:dyDescent="0.3">
      <c r="A17" s="20" t="s">
        <v>79</v>
      </c>
      <c r="B17" s="20"/>
      <c r="C17" s="20"/>
      <c r="D17" s="18">
        <f>2*_xlfn.STDEV.S(D3:D15)/SQRT(COUNT(D3:D15))</f>
        <v>0.1226662651946252</v>
      </c>
      <c r="E17" s="18">
        <f>2*_xlfn.STDEV.S(E3:E15)/SQRT(COUNT(E3:E15))</f>
        <v>2.8244996725308798E-3</v>
      </c>
      <c r="G17" s="20" t="s">
        <v>79</v>
      </c>
      <c r="H17" s="20"/>
      <c r="I17" s="20"/>
      <c r="J17" s="18">
        <f>2*_xlfn.STDEV.S(J3:J15)/SQRT(COUNT(J3:J15))</f>
        <v>5.6415843440333735E-2</v>
      </c>
      <c r="K17" s="18">
        <f>2*_xlfn.STDEV.S(K3:K15)/SQRT(COUNT(K3:K15))</f>
        <v>2.0758833096925205E-3</v>
      </c>
      <c r="M17" s="20" t="s">
        <v>79</v>
      </c>
      <c r="N17" s="20"/>
      <c r="O17" s="20"/>
      <c r="P17" s="18">
        <f>2*_xlfn.STDEV.S(P3:P15)/SQRT(COUNT(P3:P15))</f>
        <v>1.1132547713761654E-2</v>
      </c>
      <c r="Q17" s="18">
        <f>2*_xlfn.STDEV.S(Q3:Q15)/SQRT(COUNT(Q3:Q15))</f>
        <v>1.2285760688176208E-3</v>
      </c>
    </row>
  </sheetData>
  <mergeCells count="9">
    <mergeCell ref="A17:C17"/>
    <mergeCell ref="G17:I17"/>
    <mergeCell ref="M17:O17"/>
    <mergeCell ref="A1:E1"/>
    <mergeCell ref="A16:C16"/>
    <mergeCell ref="M16:O16"/>
    <mergeCell ref="M1:Q1"/>
    <mergeCell ref="G1:K1"/>
    <mergeCell ref="G16:I1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4F911-1668-46D7-8E1E-8B1B07959405}">
  <dimension ref="A1:J89"/>
  <sheetViews>
    <sheetView workbookViewId="0">
      <selection sqref="A1:I1"/>
    </sheetView>
  </sheetViews>
  <sheetFormatPr defaultRowHeight="14.4" x14ac:dyDescent="0.3"/>
  <cols>
    <col min="1" max="1" width="11.77734375" customWidth="1"/>
    <col min="2" max="2" width="11.44140625" customWidth="1"/>
    <col min="3" max="4" width="13.77734375" customWidth="1"/>
    <col min="5" max="5" width="13.77734375" bestFit="1" customWidth="1"/>
    <col min="6" max="6" width="0.77734375" customWidth="1"/>
    <col min="7" max="8" width="13.6640625" customWidth="1"/>
    <col min="9" max="9" width="13.6640625" bestFit="1" customWidth="1"/>
  </cols>
  <sheetData>
    <row r="1" spans="1:9" x14ac:dyDescent="0.3">
      <c r="A1" s="20" t="s">
        <v>72</v>
      </c>
      <c r="B1" s="20"/>
      <c r="C1" s="20"/>
      <c r="D1" s="20"/>
      <c r="E1" s="20"/>
      <c r="F1" s="20"/>
      <c r="G1" s="20"/>
      <c r="H1" s="20"/>
      <c r="I1" s="20"/>
    </row>
    <row r="2" spans="1:9" s="1" customFormat="1" x14ac:dyDescent="0.3">
      <c r="A2" s="6" t="s">
        <v>0</v>
      </c>
      <c r="B2" s="3" t="s">
        <v>4</v>
      </c>
      <c r="C2" s="5" t="s">
        <v>59</v>
      </c>
      <c r="D2" s="5" t="s">
        <v>61</v>
      </c>
      <c r="E2" s="15" t="s">
        <v>58</v>
      </c>
      <c r="F2" s="12"/>
      <c r="G2" s="1" t="s">
        <v>62</v>
      </c>
      <c r="H2" s="1" t="s">
        <v>63</v>
      </c>
      <c r="I2" s="1" t="s">
        <v>64</v>
      </c>
    </row>
    <row r="3" spans="1:9" x14ac:dyDescent="0.3">
      <c r="A3" t="s">
        <v>1</v>
      </c>
      <c r="B3" s="2" t="s">
        <v>5</v>
      </c>
      <c r="C3" s="10">
        <v>0.80500000000000005</v>
      </c>
      <c r="D3" s="10">
        <v>0.89900000000000002</v>
      </c>
      <c r="E3" s="10">
        <v>0.96499999999999997</v>
      </c>
      <c r="F3" s="10"/>
      <c r="G3" s="10">
        <v>0.21505157359384849</v>
      </c>
      <c r="H3" s="10">
        <v>7.2570692834835498E-2</v>
      </c>
      <c r="I3" s="10">
        <v>1.1060947359424899E-2</v>
      </c>
    </row>
    <row r="4" spans="1:9" x14ac:dyDescent="0.3">
      <c r="A4" t="s">
        <v>2</v>
      </c>
      <c r="B4" s="2" t="s">
        <v>6</v>
      </c>
      <c r="C4" s="10">
        <v>0.68</v>
      </c>
      <c r="D4" s="10">
        <v>0.77300000000000002</v>
      </c>
      <c r="E4" s="10">
        <v>0.92400000000000004</v>
      </c>
      <c r="F4" s="10"/>
      <c r="G4" s="10">
        <v>0.53187939511877547</v>
      </c>
      <c r="H4" s="10">
        <v>0.27575350158650702</v>
      </c>
      <c r="I4" s="10">
        <v>3.3556783528842803E-2</v>
      </c>
    </row>
    <row r="5" spans="1:9" x14ac:dyDescent="0.3">
      <c r="A5" t="s">
        <v>3</v>
      </c>
      <c r="B5" s="2" t="s">
        <v>7</v>
      </c>
      <c r="C5" s="10">
        <v>0.60099999999999998</v>
      </c>
      <c r="D5" s="10">
        <v>0.66800000000000004</v>
      </c>
      <c r="E5" s="10">
        <v>0.875</v>
      </c>
      <c r="F5" s="10"/>
      <c r="G5" s="10">
        <v>0.65200523722877002</v>
      </c>
      <c r="H5" s="10">
        <v>0.54645280140914199</v>
      </c>
      <c r="I5" s="10">
        <v>8.2295242726830198E-2</v>
      </c>
    </row>
    <row r="6" spans="1:9" x14ac:dyDescent="0.3">
      <c r="A6" t="s">
        <v>19</v>
      </c>
      <c r="B6" s="2" t="s">
        <v>8</v>
      </c>
      <c r="C6" s="10">
        <v>0.751</v>
      </c>
      <c r="D6" s="10">
        <v>0.83799999999999997</v>
      </c>
      <c r="E6" s="10">
        <v>0.94799999999999995</v>
      </c>
      <c r="F6" s="10"/>
      <c r="G6" s="10">
        <v>0.28701584983489148</v>
      </c>
      <c r="H6" s="10">
        <v>0.12897038129696001</v>
      </c>
      <c r="I6" s="10">
        <v>2.8399474521698002E-2</v>
      </c>
    </row>
    <row r="7" spans="1:9" x14ac:dyDescent="0.3">
      <c r="A7" t="s">
        <v>18</v>
      </c>
      <c r="B7" s="2" t="s">
        <v>9</v>
      </c>
      <c r="C7" s="10">
        <v>0.82299999999999995</v>
      </c>
      <c r="D7" s="10">
        <v>0.85699999999999998</v>
      </c>
      <c r="E7" s="10">
        <v>0.93799999999999994</v>
      </c>
      <c r="F7" s="10"/>
      <c r="G7" s="10">
        <v>0.17673717850005399</v>
      </c>
      <c r="H7" s="10">
        <v>0.10925714146527399</v>
      </c>
      <c r="I7" s="10">
        <v>3.0459207484708602E-2</v>
      </c>
    </row>
    <row r="8" spans="1:9" x14ac:dyDescent="0.3">
      <c r="A8" t="s">
        <v>20</v>
      </c>
      <c r="B8" s="2" t="s">
        <v>10</v>
      </c>
      <c r="C8" s="10">
        <v>0.68400000000000005</v>
      </c>
      <c r="D8" s="10">
        <v>0.74199999999999999</v>
      </c>
      <c r="E8" s="10">
        <v>0.92500000000000004</v>
      </c>
      <c r="F8" s="10"/>
      <c r="G8" s="10">
        <v>0.4902093353227685</v>
      </c>
      <c r="H8" s="10">
        <v>0.34108284917889597</v>
      </c>
      <c r="I8" s="10">
        <v>5.2346480372209202E-2</v>
      </c>
    </row>
    <row r="9" spans="1:9" x14ac:dyDescent="0.3">
      <c r="A9" t="s">
        <v>21</v>
      </c>
      <c r="B9" s="2" t="s">
        <v>11</v>
      </c>
      <c r="C9" s="10">
        <v>0.79800000000000004</v>
      </c>
      <c r="D9" s="10">
        <v>0.873</v>
      </c>
      <c r="E9" s="10">
        <v>0.97699999999999998</v>
      </c>
      <c r="F9" s="10"/>
      <c r="G9" s="10">
        <v>0.21629226901954149</v>
      </c>
      <c r="H9" s="10">
        <v>8.6647806725672197E-2</v>
      </c>
      <c r="I9" s="10">
        <v>9.0407446521490707E-3</v>
      </c>
    </row>
    <row r="10" spans="1:9" x14ac:dyDescent="0.3">
      <c r="A10" t="s">
        <v>22</v>
      </c>
      <c r="B10" s="2" t="s">
        <v>12</v>
      </c>
      <c r="C10" s="10">
        <v>0.67400000000000004</v>
      </c>
      <c r="D10" s="10">
        <v>0.79500000000000004</v>
      </c>
      <c r="E10" s="10">
        <v>0.92400000000000004</v>
      </c>
      <c r="F10" s="10"/>
      <c r="G10" s="10">
        <v>0.46203545959655901</v>
      </c>
      <c r="H10" s="10">
        <v>0.2376230736302605</v>
      </c>
      <c r="I10" s="10">
        <v>3.6663984371591497E-2</v>
      </c>
    </row>
    <row r="11" spans="1:9" x14ac:dyDescent="0.3">
      <c r="A11" t="s">
        <v>23</v>
      </c>
      <c r="B11" s="2" t="s">
        <v>13</v>
      </c>
      <c r="C11" s="10">
        <v>0.66500000000000004</v>
      </c>
      <c r="D11" s="10">
        <v>0.70699999999999996</v>
      </c>
      <c r="E11" s="10">
        <v>0.873</v>
      </c>
      <c r="F11" s="10"/>
      <c r="G11" s="10">
        <v>0.53699886395209551</v>
      </c>
      <c r="H11" s="10">
        <v>0.42312004334688502</v>
      </c>
      <c r="I11" s="10">
        <v>8.2295242726830198E-2</v>
      </c>
    </row>
    <row r="12" spans="1:9" x14ac:dyDescent="0.3">
      <c r="A12" t="s">
        <v>24</v>
      </c>
      <c r="B12" s="2" t="s">
        <v>14</v>
      </c>
      <c r="C12" s="10">
        <v>0.83799999999999997</v>
      </c>
      <c r="D12" s="10">
        <v>0.90500000000000003</v>
      </c>
      <c r="E12" s="10">
        <v>0.95599999999999996</v>
      </c>
      <c r="F12" s="10"/>
      <c r="G12" s="10">
        <v>0.10925714146527399</v>
      </c>
      <c r="H12" s="10">
        <v>5.5512709930258801E-2</v>
      </c>
      <c r="I12" s="10">
        <v>1.20725812342692E-2</v>
      </c>
    </row>
    <row r="13" spans="1:9" x14ac:dyDescent="0.3">
      <c r="A13" t="s">
        <v>25</v>
      </c>
      <c r="B13" s="2" t="s">
        <v>15</v>
      </c>
      <c r="C13" s="10">
        <v>0.80200000000000005</v>
      </c>
      <c r="D13" s="10">
        <v>0.85599999999999998</v>
      </c>
      <c r="E13" s="10">
        <v>0.93600000000000005</v>
      </c>
      <c r="F13" s="10"/>
      <c r="G13" s="10">
        <v>0.27312192112045097</v>
      </c>
      <c r="H13" s="10">
        <v>0.12613043801065199</v>
      </c>
      <c r="I13" s="10">
        <v>2.6343975339602001E-2</v>
      </c>
    </row>
    <row r="14" spans="1:9" x14ac:dyDescent="0.3">
      <c r="A14" t="s">
        <v>26</v>
      </c>
      <c r="B14" s="2" t="s">
        <v>16</v>
      </c>
      <c r="C14" s="10">
        <v>0.75900000000000001</v>
      </c>
      <c r="D14" s="10">
        <v>0.80200000000000005</v>
      </c>
      <c r="E14" s="10">
        <v>0.92600000000000005</v>
      </c>
      <c r="F14" s="10"/>
      <c r="G14" s="10">
        <v>0.36312452603253098</v>
      </c>
      <c r="H14" s="10">
        <v>0.20456791849881351</v>
      </c>
      <c r="I14" s="10">
        <v>4.0301432266049902E-2</v>
      </c>
    </row>
    <row r="15" spans="1:9" x14ac:dyDescent="0.3">
      <c r="A15" s="13" t="s">
        <v>17</v>
      </c>
      <c r="B15" s="4" t="s">
        <v>17</v>
      </c>
      <c r="C15" s="10">
        <v>0.505</v>
      </c>
      <c r="D15" s="10">
        <v>0.51700000000000002</v>
      </c>
      <c r="E15" s="10">
        <v>0.504</v>
      </c>
      <c r="F15" s="10"/>
      <c r="G15" s="10">
        <v>0.69114917789727204</v>
      </c>
      <c r="H15" s="10">
        <v>0.68915515929040805</v>
      </c>
      <c r="I15" s="10">
        <v>0.69114917789727204</v>
      </c>
    </row>
    <row r="16" spans="1:9" x14ac:dyDescent="0.3">
      <c r="A16" s="20" t="s">
        <v>60</v>
      </c>
      <c r="B16" s="20"/>
      <c r="C16" s="17">
        <f>AVERAGE(C3:C14)</f>
        <v>0.7400000000000001</v>
      </c>
      <c r="D16" s="17">
        <f t="shared" ref="D16:I16" si="0">AVERAGE(D3:D14)</f>
        <v>0.80958333333333332</v>
      </c>
      <c r="E16" s="17">
        <f t="shared" si="0"/>
        <v>0.93058333333333332</v>
      </c>
      <c r="F16" s="10"/>
      <c r="G16" s="17">
        <f t="shared" si="0"/>
        <v>0.35947739589879668</v>
      </c>
      <c r="H16" s="17">
        <f t="shared" si="0"/>
        <v>0.21730744649284639</v>
      </c>
      <c r="I16" s="17">
        <f t="shared" si="0"/>
        <v>3.7069674715350463E-2</v>
      </c>
    </row>
    <row r="17" spans="1:10" x14ac:dyDescent="0.3">
      <c r="A17" s="20" t="s">
        <v>78</v>
      </c>
      <c r="B17" s="20"/>
      <c r="C17" s="17">
        <f>2*_xlfn.STDEV.S(C3:C14)/SQRT(COUNT(C3:C14))</f>
        <v>4.4191731024130418E-2</v>
      </c>
      <c r="D17" s="17">
        <f t="shared" ref="D17:E17" si="1">2*_xlfn.STDEV.S(D3:D14)/SQRT(COUNT(D3:D14))</f>
        <v>4.3719809207860422E-2</v>
      </c>
      <c r="E17" s="17">
        <f t="shared" si="1"/>
        <v>1.8188338477322669E-2</v>
      </c>
      <c r="F17" s="10"/>
      <c r="G17" s="17">
        <f>2*_xlfn.STDEV.S(G3:G14)/SQRT(COUNT(G3:G14))</f>
        <v>9.9163785859096409E-2</v>
      </c>
      <c r="H17" s="17">
        <f t="shared" ref="H17:I17" si="2">2*_xlfn.STDEV.S(H3:H14)/SQRT(COUNT(H3:H14))</f>
        <v>8.9102691881082607E-2</v>
      </c>
      <c r="I17" s="17">
        <f t="shared" si="2"/>
        <v>1.421466892586894E-2</v>
      </c>
    </row>
    <row r="19" spans="1:10" x14ac:dyDescent="0.3">
      <c r="A19" s="20" t="s">
        <v>73</v>
      </c>
      <c r="B19" s="20"/>
      <c r="C19" s="20"/>
      <c r="D19" s="20"/>
      <c r="E19" s="20"/>
      <c r="F19" s="20"/>
      <c r="G19" s="20"/>
      <c r="H19" s="20"/>
      <c r="I19" s="20"/>
      <c r="J19" s="1"/>
    </row>
    <row r="20" spans="1:10" x14ac:dyDescent="0.3">
      <c r="A20" s="6" t="s">
        <v>0</v>
      </c>
      <c r="B20" s="3" t="s">
        <v>4</v>
      </c>
      <c r="C20" s="5" t="s">
        <v>59</v>
      </c>
      <c r="D20" s="5" t="s">
        <v>61</v>
      </c>
      <c r="E20" s="15" t="s">
        <v>58</v>
      </c>
      <c r="F20" s="12"/>
      <c r="G20" s="1" t="s">
        <v>62</v>
      </c>
      <c r="H20" s="1" t="s">
        <v>63</v>
      </c>
      <c r="I20" s="1" t="s">
        <v>64</v>
      </c>
    </row>
    <row r="21" spans="1:10" x14ac:dyDescent="0.3">
      <c r="A21" t="s">
        <v>1</v>
      </c>
      <c r="B21" s="2" t="s">
        <v>5</v>
      </c>
      <c r="C21" s="10">
        <v>0.81147540983606559</v>
      </c>
      <c r="D21" s="10">
        <v>0.95081967213114749</v>
      </c>
      <c r="E21" s="10">
        <v>0.99004975124378114</v>
      </c>
      <c r="F21" s="10"/>
      <c r="G21" s="10">
        <v>0.226901387335041</v>
      </c>
      <c r="H21" s="10">
        <v>6.4005329975912406E-2</v>
      </c>
      <c r="I21" s="10">
        <v>1.20725812342692E-2</v>
      </c>
    </row>
    <row r="22" spans="1:10" x14ac:dyDescent="0.3">
      <c r="A22" t="s">
        <v>2</v>
      </c>
      <c r="B22" s="2" t="s">
        <v>6</v>
      </c>
      <c r="C22" s="10">
        <v>0.68595041322314054</v>
      </c>
      <c r="D22" s="10">
        <v>0.77966101694915257</v>
      </c>
      <c r="E22" s="10">
        <v>0.95953757225433522</v>
      </c>
      <c r="F22" s="10"/>
      <c r="G22" s="10">
        <v>0.53785576219096298</v>
      </c>
      <c r="H22" s="10">
        <v>0.30856736867437351</v>
      </c>
      <c r="I22" s="10">
        <v>3.3556783528842803E-2</v>
      </c>
    </row>
    <row r="23" spans="1:10" x14ac:dyDescent="0.3">
      <c r="A23" t="s">
        <v>3</v>
      </c>
      <c r="B23" s="2" t="s">
        <v>7</v>
      </c>
      <c r="C23" s="10">
        <v>0.61538461538461542</v>
      </c>
      <c r="D23" s="10">
        <v>0.66808510638297869</v>
      </c>
      <c r="E23" s="10">
        <v>0.90068493150684936</v>
      </c>
      <c r="F23" s="10"/>
      <c r="G23" s="10">
        <v>0.6282966474191175</v>
      </c>
      <c r="H23" s="10">
        <v>0.58519003905485301</v>
      </c>
      <c r="I23" s="10">
        <v>7.6881044335957605E-2</v>
      </c>
    </row>
    <row r="24" spans="1:10" x14ac:dyDescent="0.3">
      <c r="A24" t="s">
        <v>19</v>
      </c>
      <c r="B24" s="2" t="s">
        <v>8</v>
      </c>
      <c r="C24" s="10">
        <v>0.55882352941176472</v>
      </c>
      <c r="D24" s="10">
        <v>0.73684210526315785</v>
      </c>
      <c r="E24" s="10">
        <v>0.97904191616766467</v>
      </c>
      <c r="F24" s="10"/>
      <c r="G24" s="10">
        <v>0.54818290694159</v>
      </c>
      <c r="H24" s="10">
        <v>0.22127205817479251</v>
      </c>
      <c r="I24" s="10">
        <v>3.0459207484708602E-2</v>
      </c>
    </row>
    <row r="25" spans="1:10" x14ac:dyDescent="0.3">
      <c r="A25" t="s">
        <v>18</v>
      </c>
      <c r="B25" s="2" t="s">
        <v>9</v>
      </c>
      <c r="C25" s="10">
        <v>0.30927835051546393</v>
      </c>
      <c r="D25" s="10">
        <v>0.35483870967741937</v>
      </c>
      <c r="E25" s="10">
        <v>0.93693693693693691</v>
      </c>
      <c r="F25" s="10"/>
      <c r="G25" s="10">
        <v>1.1363141558521199</v>
      </c>
      <c r="H25" s="10">
        <v>1.3167682984712801</v>
      </c>
      <c r="I25" s="10">
        <v>6.5071996743714805E-2</v>
      </c>
    </row>
    <row r="26" spans="1:10" x14ac:dyDescent="0.3">
      <c r="A26" t="s">
        <v>20</v>
      </c>
      <c r="B26" s="2" t="s">
        <v>10</v>
      </c>
      <c r="C26" s="10">
        <v>0.43125000000000002</v>
      </c>
      <c r="D26" s="10">
        <v>0.5300546448087432</v>
      </c>
      <c r="E26" s="10">
        <v>0.9358974358974359</v>
      </c>
      <c r="F26" s="10"/>
      <c r="G26" s="10">
        <v>0.76896344042098996</v>
      </c>
      <c r="H26" s="10">
        <v>0.59783700075561996</v>
      </c>
      <c r="I26" s="10">
        <v>5.1293294387550599E-2</v>
      </c>
    </row>
    <row r="27" spans="1:10" x14ac:dyDescent="0.3">
      <c r="A27" t="s">
        <v>21</v>
      </c>
      <c r="B27" s="2" t="s">
        <v>11</v>
      </c>
      <c r="C27" s="10">
        <v>0.82578397212543553</v>
      </c>
      <c r="D27" s="10">
        <v>0.89820359281437123</v>
      </c>
      <c r="E27" s="10">
        <v>0.99036144578313257</v>
      </c>
      <c r="F27" s="10"/>
      <c r="G27" s="10">
        <v>0.220646671115623</v>
      </c>
      <c r="H27" s="10">
        <v>7.9584625909868895E-2</v>
      </c>
      <c r="I27" s="10">
        <v>1.20725812342692E-2</v>
      </c>
    </row>
    <row r="28" spans="1:10" x14ac:dyDescent="0.3">
      <c r="A28" t="s">
        <v>22</v>
      </c>
      <c r="B28" s="2" t="s">
        <v>12</v>
      </c>
      <c r="C28" s="10">
        <v>0.64453125</v>
      </c>
      <c r="D28" s="10">
        <v>0.78358208955223885</v>
      </c>
      <c r="E28" s="10">
        <v>0.93731343283582091</v>
      </c>
      <c r="F28" s="10"/>
      <c r="G28" s="10">
        <v>0.54472866176968404</v>
      </c>
      <c r="H28" s="10">
        <v>0.283690051182243</v>
      </c>
      <c r="I28" s="10">
        <v>3.9780870011844598E-2</v>
      </c>
    </row>
    <row r="29" spans="1:10" x14ac:dyDescent="0.3">
      <c r="A29" t="s">
        <v>23</v>
      </c>
      <c r="B29" s="2" t="s">
        <v>13</v>
      </c>
      <c r="C29" s="10">
        <v>0.66535433070866146</v>
      </c>
      <c r="D29" s="10">
        <v>0.66007905138339917</v>
      </c>
      <c r="E29" s="10">
        <v>0.88524590163934425</v>
      </c>
      <c r="F29" s="10"/>
      <c r="G29" s="10">
        <v>0.60330647656015601</v>
      </c>
      <c r="H29" s="10">
        <v>0.55164761828624598</v>
      </c>
      <c r="I29" s="10">
        <v>9.4310679471241304E-2</v>
      </c>
    </row>
    <row r="30" spans="1:10" x14ac:dyDescent="0.3">
      <c r="A30" t="s">
        <v>24</v>
      </c>
      <c r="B30" s="2" t="s">
        <v>14</v>
      </c>
      <c r="C30" s="10">
        <v>0.7931034482758621</v>
      </c>
      <c r="D30" s="10">
        <v>0.93114754098360653</v>
      </c>
      <c r="E30" s="10">
        <v>0.98630136986301364</v>
      </c>
      <c r="F30" s="10"/>
      <c r="G30" s="10">
        <v>0.26136476413440801</v>
      </c>
      <c r="H30" s="10">
        <v>0.107585210679937</v>
      </c>
      <c r="I30" s="10">
        <v>1.6129381929883599E-2</v>
      </c>
    </row>
    <row r="31" spans="1:10" x14ac:dyDescent="0.3">
      <c r="A31" t="s">
        <v>25</v>
      </c>
      <c r="B31" s="2" t="s">
        <v>15</v>
      </c>
      <c r="C31" s="10">
        <v>0.68924302788844627</v>
      </c>
      <c r="D31" s="10">
        <v>0.81300813008130079</v>
      </c>
      <c r="E31" s="10">
        <v>0.95548961424332346</v>
      </c>
      <c r="F31" s="10"/>
      <c r="G31" s="10">
        <v>0.50087529291282296</v>
      </c>
      <c r="H31" s="10">
        <v>0.29035319465711901</v>
      </c>
      <c r="I31" s="10">
        <v>4.3951887529182797E-2</v>
      </c>
    </row>
    <row r="32" spans="1:10" x14ac:dyDescent="0.3">
      <c r="A32" t="s">
        <v>26</v>
      </c>
      <c r="B32" s="2" t="s">
        <v>16</v>
      </c>
      <c r="C32" s="10">
        <v>0.58364312267657992</v>
      </c>
      <c r="D32" s="10">
        <v>0.66030534351145043</v>
      </c>
      <c r="E32" s="10">
        <v>0.91489361702127658</v>
      </c>
      <c r="F32" s="10"/>
      <c r="G32" s="10">
        <v>0.665532013526972</v>
      </c>
      <c r="H32" s="10">
        <v>0.57536770047175945</v>
      </c>
      <c r="I32" s="10">
        <v>0.107585210679937</v>
      </c>
    </row>
    <row r="33" spans="1:9" x14ac:dyDescent="0.3">
      <c r="A33" s="13" t="s">
        <v>17</v>
      </c>
      <c r="B33" s="4" t="s">
        <v>17</v>
      </c>
      <c r="C33" s="10">
        <v>0.57528957528957525</v>
      </c>
      <c r="D33" s="10">
        <v>0.52459016393442626</v>
      </c>
      <c r="E33" s="10">
        <v>0.47307692307692306</v>
      </c>
      <c r="F33" s="10"/>
      <c r="G33" s="10">
        <v>0.68121860969467196</v>
      </c>
      <c r="H33" s="10">
        <v>0.68915515929040805</v>
      </c>
      <c r="I33" s="10">
        <v>0.69514918323061803</v>
      </c>
    </row>
    <row r="34" spans="1:9" x14ac:dyDescent="0.3">
      <c r="A34" s="20" t="s">
        <v>60</v>
      </c>
      <c r="B34" s="20"/>
      <c r="C34" s="17">
        <f>AVERAGE(C21:C32)</f>
        <v>0.63448512250383615</v>
      </c>
      <c r="D34" s="17">
        <f t="shared" ref="D34:I34" si="3">AVERAGE(D21:D32)</f>
        <v>0.73055225029491389</v>
      </c>
      <c r="E34" s="17">
        <f t="shared" si="3"/>
        <v>0.94764616044940952</v>
      </c>
      <c r="F34" s="10"/>
      <c r="G34" s="17">
        <f t="shared" si="3"/>
        <v>0.55358068168162389</v>
      </c>
      <c r="H34" s="17">
        <f t="shared" si="3"/>
        <v>0.41515570802450047</v>
      </c>
      <c r="I34" s="17">
        <f t="shared" si="3"/>
        <v>4.8597126547616838E-2</v>
      </c>
    </row>
    <row r="35" spans="1:9" x14ac:dyDescent="0.3">
      <c r="A35" s="20" t="s">
        <v>78</v>
      </c>
      <c r="B35" s="20"/>
      <c r="C35" s="17">
        <f>2*_xlfn.STDEV.S(C21:C32)/SQRT(COUNT(C21:C32))</f>
        <v>8.7994472372043372E-2</v>
      </c>
      <c r="D35" s="17">
        <f t="shared" ref="D35:E35" si="4">2*_xlfn.STDEV.S(D21:D32)/SQRT(COUNT(D21:D32))</f>
        <v>9.9100308499239856E-2</v>
      </c>
      <c r="E35" s="17">
        <f t="shared" si="4"/>
        <v>2.0476792428003369E-2</v>
      </c>
      <c r="F35" s="10"/>
      <c r="G35" s="17">
        <f>2*_xlfn.STDEV.S(G21:G32)/SQRT(COUNT(G21:G32))</f>
        <v>0.14695324448525882</v>
      </c>
      <c r="H35" s="17">
        <f t="shared" ref="H35:I35" si="5">2*_xlfn.STDEV.S(H21:H32)/SQRT(COUNT(H21:H32))</f>
        <v>0.20089287781801304</v>
      </c>
      <c r="I35" s="17">
        <f t="shared" si="5"/>
        <v>1.8277933025101799E-2</v>
      </c>
    </row>
    <row r="37" spans="1:9" x14ac:dyDescent="0.3">
      <c r="A37" s="20" t="s">
        <v>74</v>
      </c>
      <c r="B37" s="20"/>
      <c r="C37" s="20"/>
      <c r="D37" s="20"/>
      <c r="E37" s="20"/>
      <c r="F37" s="20"/>
      <c r="G37" s="20"/>
      <c r="H37" s="20"/>
      <c r="I37" s="20"/>
    </row>
    <row r="38" spans="1:9" x14ac:dyDescent="0.3">
      <c r="A38" s="6" t="s">
        <v>0</v>
      </c>
      <c r="B38" s="3" t="s">
        <v>4</v>
      </c>
      <c r="C38" s="5" t="s">
        <v>59</v>
      </c>
      <c r="D38" s="5" t="s">
        <v>61</v>
      </c>
      <c r="E38" s="15" t="s">
        <v>58</v>
      </c>
      <c r="F38" s="12"/>
      <c r="G38" s="1" t="s">
        <v>62</v>
      </c>
      <c r="H38" s="1" t="s">
        <v>63</v>
      </c>
      <c r="I38" s="1" t="s">
        <v>64</v>
      </c>
    </row>
    <row r="39" spans="1:9" x14ac:dyDescent="0.3">
      <c r="A39" t="s">
        <v>1</v>
      </c>
      <c r="B39" s="2" t="s">
        <v>5</v>
      </c>
      <c r="C39" s="10">
        <v>0.80078125</v>
      </c>
      <c r="D39" s="10">
        <v>0.8666666666666667</v>
      </c>
      <c r="E39" s="10">
        <v>0.86734693877551017</v>
      </c>
      <c r="F39" s="10"/>
      <c r="G39" s="10">
        <v>0.22002517085847451</v>
      </c>
      <c r="H39" s="10">
        <v>6.6139802504544903E-2</v>
      </c>
      <c r="I39" s="10">
        <v>1.359208196407855E-2</v>
      </c>
    </row>
    <row r="40" spans="1:9" x14ac:dyDescent="0.3">
      <c r="A40" t="s">
        <v>2</v>
      </c>
      <c r="B40" s="2" t="s">
        <v>6</v>
      </c>
      <c r="C40" s="10">
        <v>0.65891472868217049</v>
      </c>
      <c r="D40" s="10">
        <v>0.79545454545454541</v>
      </c>
      <c r="E40" s="10">
        <v>0.83116883116883122</v>
      </c>
      <c r="F40" s="10"/>
      <c r="G40" s="10">
        <v>0.53699886395209551</v>
      </c>
      <c r="H40" s="10">
        <v>0.28105156440225454</v>
      </c>
      <c r="I40" s="10">
        <v>3.7182925777801495E-2</v>
      </c>
    </row>
    <row r="41" spans="1:9" x14ac:dyDescent="0.3">
      <c r="A41" t="s">
        <v>3</v>
      </c>
      <c r="B41" s="2" t="s">
        <v>7</v>
      </c>
      <c r="C41" s="10">
        <v>0.58333333333333337</v>
      </c>
      <c r="D41" s="10">
        <v>0.67924528301886788</v>
      </c>
      <c r="E41" s="10">
        <v>0.86057692307692313</v>
      </c>
      <c r="F41" s="10"/>
      <c r="G41" s="10">
        <v>0.65778003672265395</v>
      </c>
      <c r="H41" s="10">
        <v>0.54300452213022599</v>
      </c>
      <c r="I41" s="10">
        <v>8.8831810917996856E-2</v>
      </c>
    </row>
    <row r="42" spans="1:9" x14ac:dyDescent="0.3">
      <c r="A42" t="s">
        <v>19</v>
      </c>
      <c r="B42" s="2" t="s">
        <v>8</v>
      </c>
      <c r="C42" s="10">
        <v>0.85164835164835162</v>
      </c>
      <c r="D42" s="10">
        <v>0.90645161290322585</v>
      </c>
      <c r="E42" s="10">
        <v>0.85542168674698793</v>
      </c>
      <c r="F42" s="10"/>
      <c r="G42" s="10">
        <v>0.1929783208600605</v>
      </c>
      <c r="H42" s="10">
        <v>8.6647806725672197E-2</v>
      </c>
      <c r="I42" s="10">
        <v>2.5317807984289901E-2</v>
      </c>
    </row>
    <row r="43" spans="1:9" x14ac:dyDescent="0.3">
      <c r="A43" t="s">
        <v>18</v>
      </c>
      <c r="B43" s="2" t="s">
        <v>9</v>
      </c>
      <c r="C43" s="10">
        <v>0.95024875621890548</v>
      </c>
      <c r="D43" s="10">
        <v>0.96314496314496312</v>
      </c>
      <c r="E43" s="10">
        <v>0.93165467625899279</v>
      </c>
      <c r="F43" s="10"/>
      <c r="G43" s="10">
        <v>0.17614087550749249</v>
      </c>
      <c r="H43" s="10">
        <v>9.7612828867000401E-2</v>
      </c>
      <c r="I43" s="10">
        <v>2.0202707317519501E-2</v>
      </c>
    </row>
    <row r="44" spans="1:9" x14ac:dyDescent="0.3">
      <c r="A44" t="s">
        <v>20</v>
      </c>
      <c r="B44" s="2" t="s">
        <v>10</v>
      </c>
      <c r="C44" s="10">
        <v>0.79117647058823526</v>
      </c>
      <c r="D44" s="10">
        <v>0.80126182965299686</v>
      </c>
      <c r="E44" s="10">
        <v>0.92481203007518797</v>
      </c>
      <c r="F44" s="10"/>
      <c r="G44" s="10">
        <v>0.41475844154605851</v>
      </c>
      <c r="H44" s="10">
        <v>0.27443684570176002</v>
      </c>
      <c r="I44" s="10">
        <v>4.1343099309477049E-2</v>
      </c>
    </row>
    <row r="45" spans="1:9" x14ac:dyDescent="0.3">
      <c r="A45" t="s">
        <v>21</v>
      </c>
      <c r="B45" s="2" t="s">
        <v>11</v>
      </c>
      <c r="C45" s="10">
        <v>0.77464788732394363</v>
      </c>
      <c r="D45" s="10">
        <v>0.77710843373493976</v>
      </c>
      <c r="E45" s="10">
        <v>0.87058823529411766</v>
      </c>
      <c r="F45" s="10"/>
      <c r="G45" s="10">
        <v>0.21691300156357399</v>
      </c>
      <c r="H45" s="10">
        <v>0.172583563934288</v>
      </c>
      <c r="I45" s="10">
        <v>2.0202707317519501E-2</v>
      </c>
    </row>
    <row r="46" spans="1:9" x14ac:dyDescent="0.3">
      <c r="A46" t="s">
        <v>22</v>
      </c>
      <c r="B46" s="2" t="s">
        <v>12</v>
      </c>
      <c r="C46" s="10">
        <v>0.59426229508196726</v>
      </c>
      <c r="D46" s="10">
        <v>0.74568965517241381</v>
      </c>
      <c r="E46" s="10">
        <v>0.87878787878787878</v>
      </c>
      <c r="F46" s="10"/>
      <c r="G46" s="10">
        <v>0.56036606932612698</v>
      </c>
      <c r="H46" s="10">
        <v>0.3524074927138135</v>
      </c>
      <c r="I46" s="10">
        <v>3.8740828316430602E-2</v>
      </c>
    </row>
    <row r="47" spans="1:9" x14ac:dyDescent="0.3">
      <c r="A47" t="s">
        <v>23</v>
      </c>
      <c r="B47" s="2" t="s">
        <v>13</v>
      </c>
      <c r="C47" s="10">
        <v>0.53658536585365857</v>
      </c>
      <c r="D47" s="10">
        <v>0.65991902834008098</v>
      </c>
      <c r="E47" s="10">
        <v>0.85641025641025637</v>
      </c>
      <c r="F47" s="10"/>
      <c r="G47" s="10">
        <v>0.665532013526972</v>
      </c>
      <c r="H47" s="10">
        <v>0.52424864409813099</v>
      </c>
      <c r="I47" s="10">
        <v>9.65109003808437E-2</v>
      </c>
    </row>
    <row r="48" spans="1:9" x14ac:dyDescent="0.3">
      <c r="A48" t="s">
        <v>24</v>
      </c>
      <c r="B48" s="2" t="s">
        <v>14</v>
      </c>
      <c r="C48" s="10">
        <v>0.7119341563786008</v>
      </c>
      <c r="D48" s="10">
        <v>0.79396984924623115</v>
      </c>
      <c r="E48" s="10">
        <v>0.88297872340425532</v>
      </c>
      <c r="F48" s="10"/>
      <c r="G48" s="10">
        <v>0.353821874956326</v>
      </c>
      <c r="H48" s="10">
        <v>0.14156356432178699</v>
      </c>
      <c r="I48" s="10">
        <v>2.2757117943336999E-2</v>
      </c>
    </row>
    <row r="49" spans="1:9" x14ac:dyDescent="0.3">
      <c r="A49" t="s">
        <v>25</v>
      </c>
      <c r="B49" s="2" t="s">
        <v>15</v>
      </c>
      <c r="C49" s="10">
        <v>0.64257028112449799</v>
      </c>
      <c r="D49" s="10">
        <v>0.72047244094488194</v>
      </c>
      <c r="E49" s="10">
        <v>0.84662576687116564</v>
      </c>
      <c r="F49" s="10"/>
      <c r="G49" s="10">
        <v>0.57270102748407803</v>
      </c>
      <c r="H49" s="10">
        <v>0.332714453001134</v>
      </c>
      <c r="I49" s="10">
        <v>6.5071996743714805E-2</v>
      </c>
    </row>
    <row r="50" spans="1:9" x14ac:dyDescent="0.3">
      <c r="A50" t="s">
        <v>26</v>
      </c>
      <c r="B50" s="2" t="s">
        <v>16</v>
      </c>
      <c r="C50" s="10">
        <v>0.59740259740259738</v>
      </c>
      <c r="D50" s="10">
        <v>0.68487394957983194</v>
      </c>
      <c r="E50" s="10">
        <v>0.85321100917431192</v>
      </c>
      <c r="F50" s="10"/>
      <c r="G50" s="10">
        <v>0.638658995275876</v>
      </c>
      <c r="H50" s="10">
        <v>0.5141659232281115</v>
      </c>
      <c r="I50" s="10">
        <v>0.12556386571206751</v>
      </c>
    </row>
    <row r="51" spans="1:9" x14ac:dyDescent="0.3">
      <c r="A51" s="13" t="s">
        <v>17</v>
      </c>
      <c r="B51" s="4" t="s">
        <v>17</v>
      </c>
      <c r="C51" s="10">
        <v>0.48962655601659749</v>
      </c>
      <c r="D51" s="10">
        <v>0.53125</v>
      </c>
      <c r="E51" s="10">
        <v>0.5</v>
      </c>
      <c r="F51" s="10"/>
      <c r="G51" s="10">
        <v>0.69514918323061803</v>
      </c>
      <c r="H51" s="10">
        <v>0.68816013408640297</v>
      </c>
      <c r="I51" s="10">
        <v>0.6921481792286085</v>
      </c>
    </row>
    <row r="52" spans="1:9" x14ac:dyDescent="0.3">
      <c r="A52" s="20" t="s">
        <v>60</v>
      </c>
      <c r="B52" s="20"/>
      <c r="C52" s="17">
        <f>AVERAGE(C39:C50)</f>
        <v>0.70779212280302195</v>
      </c>
      <c r="D52" s="17">
        <f t="shared" ref="D52:I52" si="6">AVERAGE(D39:D50)</f>
        <v>0.78285485482163708</v>
      </c>
      <c r="E52" s="17">
        <f t="shared" si="6"/>
        <v>0.87163191300370146</v>
      </c>
      <c r="F52" s="10"/>
      <c r="G52" s="17">
        <f t="shared" si="6"/>
        <v>0.4338895576316491</v>
      </c>
      <c r="H52" s="17">
        <f t="shared" si="6"/>
        <v>0.28221475096906029</v>
      </c>
      <c r="I52" s="17">
        <f t="shared" si="6"/>
        <v>4.96098208070897E-2</v>
      </c>
    </row>
    <row r="53" spans="1:9" x14ac:dyDescent="0.3">
      <c r="A53" s="20" t="s">
        <v>78</v>
      </c>
      <c r="B53" s="20"/>
      <c r="C53" s="17">
        <f>2*_xlfn.STDEV.S(C39:C50)/SQRT(COUNT(C39:C50))</f>
        <v>7.3047537838137583E-2</v>
      </c>
      <c r="D53" s="17">
        <f t="shared" ref="D53:E53" si="7">2*_xlfn.STDEV.S(D39:D50)/SQRT(COUNT(D39:D50))</f>
        <v>5.3986662543416421E-2</v>
      </c>
      <c r="E53" s="17">
        <f t="shared" si="7"/>
        <v>1.7275702223414117E-2</v>
      </c>
      <c r="F53" s="10"/>
      <c r="G53" s="17">
        <f>2*_xlfn.STDEV.S(G39:G50)/SQRT(COUNT(G39:G50))</f>
        <v>0.11223330680775062</v>
      </c>
      <c r="H53" s="17">
        <f t="shared" ref="H53:I53" si="8">2*_xlfn.STDEV.S(H39:H50)/SQRT(COUNT(H39:H50))</f>
        <v>0.10131657292779858</v>
      </c>
      <c r="I53" s="17">
        <f t="shared" si="8"/>
        <v>2.0907499520600212E-2</v>
      </c>
    </row>
    <row r="55" spans="1:9" x14ac:dyDescent="0.3">
      <c r="A55" s="20" t="s">
        <v>75</v>
      </c>
      <c r="B55" s="20"/>
      <c r="C55" s="20"/>
      <c r="D55" s="20"/>
      <c r="E55" s="20"/>
      <c r="F55" s="20"/>
      <c r="G55" s="20"/>
      <c r="H55" s="20"/>
      <c r="I55" s="20"/>
    </row>
    <row r="56" spans="1:9" x14ac:dyDescent="0.3">
      <c r="A56" s="6" t="s">
        <v>0</v>
      </c>
      <c r="B56" s="3" t="s">
        <v>4</v>
      </c>
      <c r="C56" s="5" t="s">
        <v>59</v>
      </c>
      <c r="D56" s="5" t="s">
        <v>61</v>
      </c>
      <c r="E56" s="15" t="s">
        <v>58</v>
      </c>
      <c r="F56" s="12"/>
      <c r="G56" s="1" t="s">
        <v>62</v>
      </c>
      <c r="H56" s="1" t="s">
        <v>63</v>
      </c>
      <c r="I56" s="1" t="s">
        <v>64</v>
      </c>
    </row>
    <row r="57" spans="1:9" x14ac:dyDescent="0.3">
      <c r="A57" t="s">
        <v>1</v>
      </c>
      <c r="B57" s="2" t="s">
        <v>5</v>
      </c>
      <c r="C57" s="10">
        <v>0.83629893238434161</v>
      </c>
      <c r="D57" s="10">
        <v>0.9</v>
      </c>
      <c r="E57" s="10">
        <v>0.98789346246973364</v>
      </c>
      <c r="F57" s="10"/>
      <c r="G57" s="10">
        <v>0.183922838160928</v>
      </c>
      <c r="H57" s="10">
        <v>7.2033347269952697E-2</v>
      </c>
      <c r="I57" s="10">
        <v>9.0407446521490707E-3</v>
      </c>
    </row>
    <row r="58" spans="1:9" x14ac:dyDescent="0.3">
      <c r="A58" t="s">
        <v>2</v>
      </c>
      <c r="B58" s="2" t="s">
        <v>6</v>
      </c>
      <c r="C58" s="10">
        <v>0.66923076923076918</v>
      </c>
      <c r="D58" s="10">
        <v>0.76470588235294112</v>
      </c>
      <c r="E58" s="10">
        <v>0.95798319327731096</v>
      </c>
      <c r="F58" s="10"/>
      <c r="G58" s="10">
        <v>0.55512740022609253</v>
      </c>
      <c r="H58" s="10">
        <v>0.279058206280344</v>
      </c>
      <c r="I58" s="10">
        <v>3.2523191705560103E-2</v>
      </c>
    </row>
    <row r="59" spans="1:9" x14ac:dyDescent="0.3">
      <c r="A59" t="s">
        <v>3</v>
      </c>
      <c r="B59" s="2" t="s">
        <v>7</v>
      </c>
      <c r="C59" s="10">
        <v>0.57551020408163267</v>
      </c>
      <c r="D59" s="10">
        <v>0.6428571428571429</v>
      </c>
      <c r="E59" s="10">
        <v>0.89619377162629754</v>
      </c>
      <c r="F59" s="10"/>
      <c r="G59" s="10">
        <v>0.65392646740666405</v>
      </c>
      <c r="H59" s="10">
        <v>0.53273626354041548</v>
      </c>
      <c r="I59" s="10">
        <v>7.3646540168298497E-2</v>
      </c>
    </row>
    <row r="60" spans="1:9" x14ac:dyDescent="0.3">
      <c r="A60" t="s">
        <v>19</v>
      </c>
      <c r="B60" s="2" t="s">
        <v>8</v>
      </c>
      <c r="C60" s="10">
        <v>0.38775510204081631</v>
      </c>
      <c r="D60" s="10">
        <v>0.70833333333333337</v>
      </c>
      <c r="E60" s="10">
        <v>0.97941176470588232</v>
      </c>
      <c r="F60" s="10"/>
      <c r="G60" s="10">
        <v>0.82325586590696598</v>
      </c>
      <c r="H60" s="10">
        <v>0.34531218276778652</v>
      </c>
      <c r="I60" s="10">
        <v>3.14906670913708E-2</v>
      </c>
    </row>
    <row r="61" spans="1:9" x14ac:dyDescent="0.3">
      <c r="A61" t="s">
        <v>18</v>
      </c>
      <c r="B61" s="2" t="s">
        <v>9</v>
      </c>
      <c r="C61" s="10">
        <v>0.19191919191919191</v>
      </c>
      <c r="D61" s="10">
        <v>0.45833333333333331</v>
      </c>
      <c r="E61" s="10">
        <v>0.94786729857819907</v>
      </c>
      <c r="F61" s="10"/>
      <c r="G61" s="10">
        <v>1.7429693050586199</v>
      </c>
      <c r="H61" s="10">
        <v>0.89930745709251858</v>
      </c>
      <c r="I61" s="10">
        <v>5.5512709930258801E-2</v>
      </c>
    </row>
    <row r="62" spans="1:9" x14ac:dyDescent="0.3">
      <c r="A62" t="s">
        <v>20</v>
      </c>
      <c r="B62" s="2" t="s">
        <v>10</v>
      </c>
      <c r="C62" s="10">
        <v>0.42613636363636365</v>
      </c>
      <c r="D62" s="10">
        <v>0.52531645569620256</v>
      </c>
      <c r="E62" s="10">
        <v>0.91629955947136565</v>
      </c>
      <c r="F62" s="10"/>
      <c r="G62" s="10">
        <v>0.79296812632450453</v>
      </c>
      <c r="H62" s="10">
        <v>0.65681571626945101</v>
      </c>
      <c r="I62" s="10">
        <v>6.8278840753294504E-2</v>
      </c>
    </row>
    <row r="63" spans="1:9" x14ac:dyDescent="0.3">
      <c r="A63" t="s">
        <v>21</v>
      </c>
      <c r="B63" s="2" t="s">
        <v>11</v>
      </c>
      <c r="C63" s="10">
        <v>0.62566844919786091</v>
      </c>
      <c r="D63" s="10">
        <v>0.86915887850467288</v>
      </c>
      <c r="E63" s="10">
        <v>0.99423631123919309</v>
      </c>
      <c r="F63" s="10"/>
      <c r="G63" s="10">
        <v>0.39898614201045501</v>
      </c>
      <c r="H63" s="10">
        <v>8.9377960617301355E-2</v>
      </c>
      <c r="I63" s="10">
        <v>8.03217169726427E-3</v>
      </c>
    </row>
    <row r="64" spans="1:9" x14ac:dyDescent="0.3">
      <c r="A64" t="s">
        <v>22</v>
      </c>
      <c r="B64" s="2" t="s">
        <v>12</v>
      </c>
      <c r="C64" s="10">
        <v>0.39263803680981596</v>
      </c>
      <c r="D64" s="10">
        <v>0.64779874213836475</v>
      </c>
      <c r="E64" s="10">
        <v>0.9550561797752809</v>
      </c>
      <c r="F64" s="10"/>
      <c r="G64" s="10">
        <v>0.96233467037556197</v>
      </c>
      <c r="H64" s="10">
        <v>0.40346710544549103</v>
      </c>
      <c r="I64" s="10">
        <v>3.8740828316430602E-2</v>
      </c>
    </row>
    <row r="65" spans="1:9" x14ac:dyDescent="0.3">
      <c r="A65" t="s">
        <v>23</v>
      </c>
      <c r="B65" s="2" t="s">
        <v>13</v>
      </c>
      <c r="C65" s="10">
        <v>0.2446043165467626</v>
      </c>
      <c r="D65" s="10">
        <v>0.36842105263157893</v>
      </c>
      <c r="E65" s="10">
        <v>0.8707865168539326</v>
      </c>
      <c r="F65" s="10"/>
      <c r="G65" s="10">
        <v>1.09661428600544</v>
      </c>
      <c r="H65" s="10">
        <v>0.94546293736127751</v>
      </c>
      <c r="I65" s="10">
        <v>0.10369539014665601</v>
      </c>
    </row>
    <row r="66" spans="1:9" x14ac:dyDescent="0.3">
      <c r="A66" t="s">
        <v>24</v>
      </c>
      <c r="B66" s="2" t="s">
        <v>14</v>
      </c>
      <c r="C66" s="10">
        <v>0.44897959183673469</v>
      </c>
      <c r="D66" s="10">
        <v>0.70833333333333337</v>
      </c>
      <c r="E66" s="10">
        <v>0.89937106918238996</v>
      </c>
      <c r="F66" s="10"/>
      <c r="G66" s="10">
        <v>1.07880966137193</v>
      </c>
      <c r="H66" s="10">
        <v>0.18512838033106799</v>
      </c>
      <c r="I66" s="10">
        <v>1.4098924379501601E-2</v>
      </c>
    </row>
    <row r="67" spans="1:9" x14ac:dyDescent="0.3">
      <c r="A67" t="s">
        <v>25</v>
      </c>
      <c r="B67" s="2" t="s">
        <v>15</v>
      </c>
      <c r="C67" s="10">
        <v>0.27027027027027029</v>
      </c>
      <c r="D67" s="10">
        <v>0.46153846153846156</v>
      </c>
      <c r="E67" s="10">
        <v>0.82352941176470584</v>
      </c>
      <c r="F67" s="10"/>
      <c r="G67" s="10">
        <v>1.3130438993803</v>
      </c>
      <c r="H67" s="10">
        <v>0.74023878809379595</v>
      </c>
      <c r="I67" s="10">
        <v>2.7373309337551048E-2</v>
      </c>
    </row>
    <row r="68" spans="1:9" x14ac:dyDescent="0.3">
      <c r="A68" t="s">
        <v>26</v>
      </c>
      <c r="B68" s="2" t="s">
        <v>16</v>
      </c>
      <c r="C68" s="10">
        <v>0.10526315789473684</v>
      </c>
      <c r="D68" s="10">
        <v>0.22500000000000001</v>
      </c>
      <c r="E68" s="10">
        <v>0.7678571428571429</v>
      </c>
      <c r="F68" s="10"/>
      <c r="G68" s="10">
        <v>1.9074481473487099</v>
      </c>
      <c r="H68" s="10">
        <v>1.7489642853109602</v>
      </c>
      <c r="I68" s="10">
        <v>5.7099732162515404E-2</v>
      </c>
    </row>
    <row r="69" spans="1:9" x14ac:dyDescent="0.3">
      <c r="A69" s="13" t="s">
        <v>17</v>
      </c>
      <c r="B69" s="4" t="s">
        <v>17</v>
      </c>
      <c r="C69" s="10">
        <v>0.51330798479087447</v>
      </c>
      <c r="D69" s="10">
        <v>0.51340996168582376</v>
      </c>
      <c r="E69" s="10">
        <v>0.52173913043478259</v>
      </c>
      <c r="F69" s="10"/>
      <c r="G69" s="10">
        <v>0.69114917789727204</v>
      </c>
      <c r="H69" s="10">
        <v>0.68915515929040805</v>
      </c>
      <c r="I69" s="10">
        <v>0.69114917789727204</v>
      </c>
    </row>
    <row r="70" spans="1:9" x14ac:dyDescent="0.3">
      <c r="A70" s="20" t="s">
        <v>60</v>
      </c>
      <c r="B70" s="20"/>
      <c r="C70" s="17">
        <f>AVERAGE(C57:C68)</f>
        <v>0.43118953215410816</v>
      </c>
      <c r="D70" s="17">
        <f t="shared" ref="D70:I70" si="9">AVERAGE(D57:D68)</f>
        <v>0.60664971797661371</v>
      </c>
      <c r="E70" s="17">
        <f t="shared" si="9"/>
        <v>0.91637380681678626</v>
      </c>
      <c r="F70" s="10"/>
      <c r="G70" s="17">
        <f t="shared" si="9"/>
        <v>0.95911723413134764</v>
      </c>
      <c r="H70" s="17">
        <f t="shared" si="9"/>
        <v>0.57482521919836349</v>
      </c>
      <c r="I70" s="17">
        <f t="shared" si="9"/>
        <v>4.3294420861737563E-2</v>
      </c>
    </row>
    <row r="71" spans="1:9" x14ac:dyDescent="0.3">
      <c r="A71" s="20" t="s">
        <v>78</v>
      </c>
      <c r="B71" s="20"/>
      <c r="C71" s="17">
        <f>2*_xlfn.STDEV.S(C57:C68)/SQRT(COUNT(C57:C68))</f>
        <v>0.12399045651869892</v>
      </c>
      <c r="D71" s="17">
        <f t="shared" ref="D71:E71" si="10">2*_xlfn.STDEV.S(D57:D68)/SQRT(COUNT(D57:D68))</f>
        <v>0.11751338595154147</v>
      </c>
      <c r="E71" s="17">
        <f t="shared" si="10"/>
        <v>4.0008611387287979E-2</v>
      </c>
      <c r="F71" s="10"/>
      <c r="G71" s="17">
        <f>2*_xlfn.STDEV.S(G57:G68)/SQRT(COUNT(G57:G68))</f>
        <v>0.29589862934753691</v>
      </c>
      <c r="H71" s="17">
        <f t="shared" ref="H71:I71" si="11">2*_xlfn.STDEV.S(H57:H68)/SQRT(COUNT(H57:H68))</f>
        <v>0.27341606958348724</v>
      </c>
      <c r="I71" s="17">
        <f t="shared" si="11"/>
        <v>1.6816573016685422E-2</v>
      </c>
    </row>
    <row r="73" spans="1:9" x14ac:dyDescent="0.3">
      <c r="A73" s="20" t="s">
        <v>76</v>
      </c>
      <c r="B73" s="20"/>
      <c r="C73" s="20"/>
      <c r="D73" s="20"/>
      <c r="E73" s="20"/>
      <c r="F73" s="20"/>
      <c r="G73" s="20"/>
      <c r="H73" s="20"/>
      <c r="I73" s="20"/>
    </row>
    <row r="74" spans="1:9" x14ac:dyDescent="0.3">
      <c r="A74" s="6" t="s">
        <v>0</v>
      </c>
      <c r="B74" s="3" t="s">
        <v>4</v>
      </c>
      <c r="C74" s="5" t="s">
        <v>59</v>
      </c>
      <c r="D74" s="5" t="s">
        <v>61</v>
      </c>
      <c r="E74" s="15" t="s">
        <v>58</v>
      </c>
      <c r="F74" s="12"/>
      <c r="G74" s="1" t="s">
        <v>62</v>
      </c>
      <c r="H74" s="1" t="s">
        <v>63</v>
      </c>
      <c r="I74" s="1" t="s">
        <v>64</v>
      </c>
    </row>
    <row r="75" spans="1:9" x14ac:dyDescent="0.3">
      <c r="A75" t="s">
        <v>1</v>
      </c>
      <c r="B75" s="2" t="s">
        <v>5</v>
      </c>
      <c r="C75" s="10">
        <v>0.76255707762557079</v>
      </c>
      <c r="D75" s="10">
        <v>0.85</v>
      </c>
      <c r="E75" s="10">
        <v>0.85057471264367812</v>
      </c>
      <c r="F75" s="10"/>
      <c r="G75" s="10">
        <v>0.26396554583446502</v>
      </c>
      <c r="H75" s="10">
        <v>9.5410184804658196E-2</v>
      </c>
      <c r="I75" s="10">
        <v>1.20725812342692E-2</v>
      </c>
    </row>
    <row r="76" spans="1:9" x14ac:dyDescent="0.3">
      <c r="A76" t="s">
        <v>2</v>
      </c>
      <c r="B76" s="2" t="s">
        <v>6</v>
      </c>
      <c r="C76" s="10">
        <v>0.70833333333333337</v>
      </c>
      <c r="D76" s="10">
        <v>0.75</v>
      </c>
      <c r="E76" s="10">
        <v>0.85314685314685312</v>
      </c>
      <c r="F76" s="10"/>
      <c r="G76" s="10">
        <v>0.47482035577785453</v>
      </c>
      <c r="H76" s="10">
        <v>0.23952703056473401</v>
      </c>
      <c r="I76" s="10">
        <v>3.9780870011844598E-2</v>
      </c>
    </row>
    <row r="77" spans="1:9" x14ac:dyDescent="0.3">
      <c r="A77" t="s">
        <v>3</v>
      </c>
      <c r="B77" s="2" t="s">
        <v>7</v>
      </c>
      <c r="C77" s="10">
        <v>0.62745098039215685</v>
      </c>
      <c r="D77" s="10">
        <v>0.68376068376068377</v>
      </c>
      <c r="E77" s="10">
        <v>0.82464454976303314</v>
      </c>
      <c r="F77" s="10"/>
      <c r="G77" s="10">
        <v>0.65778003672265395</v>
      </c>
      <c r="H77" s="10">
        <v>0.5268032093867665</v>
      </c>
      <c r="I77" s="10">
        <v>0.107585210679937</v>
      </c>
    </row>
    <row r="78" spans="1:9" x14ac:dyDescent="0.3">
      <c r="A78" t="s">
        <v>19</v>
      </c>
      <c r="B78" s="2" t="s">
        <v>8</v>
      </c>
      <c r="C78" s="10">
        <v>0.87252124645892348</v>
      </c>
      <c r="D78" s="10">
        <v>0.91233766233766234</v>
      </c>
      <c r="E78" s="10">
        <v>0.91249999999999998</v>
      </c>
      <c r="F78" s="10"/>
      <c r="G78" s="10">
        <v>0.22314355131420999</v>
      </c>
      <c r="H78" s="10">
        <v>8.4469156626450007E-2</v>
      </c>
      <c r="I78" s="10">
        <v>1.3085752806885401E-2</v>
      </c>
    </row>
    <row r="79" spans="1:9" x14ac:dyDescent="0.3">
      <c r="A79" t="s">
        <v>18</v>
      </c>
      <c r="B79" s="2" t="s">
        <v>9</v>
      </c>
      <c r="C79" s="10">
        <v>0.97512437810945274</v>
      </c>
      <c r="D79" s="10">
        <v>0.96039603960396036</v>
      </c>
      <c r="E79" s="10">
        <v>0.93771626297577859</v>
      </c>
      <c r="F79" s="10"/>
      <c r="G79" s="10">
        <v>0.11991029667255799</v>
      </c>
      <c r="H79" s="10">
        <v>8.3381608939051E-2</v>
      </c>
      <c r="I79" s="10">
        <v>1.7146158834970501E-2</v>
      </c>
    </row>
    <row r="80" spans="1:9" x14ac:dyDescent="0.3">
      <c r="A80" t="s">
        <v>20</v>
      </c>
      <c r="B80" s="2" t="s">
        <v>10</v>
      </c>
      <c r="C80" s="10">
        <v>0.8364197530864198</v>
      </c>
      <c r="D80" s="10">
        <v>0.90058479532163738</v>
      </c>
      <c r="E80" s="10">
        <v>0.92307692307692313</v>
      </c>
      <c r="F80" s="10"/>
      <c r="G80" s="10">
        <v>0.40872068391599303</v>
      </c>
      <c r="H80" s="10">
        <v>0.26722798371524903</v>
      </c>
      <c r="I80" s="10">
        <v>5.4456185796058897E-2</v>
      </c>
    </row>
    <row r="81" spans="1:9" x14ac:dyDescent="0.3">
      <c r="A81" t="s">
        <v>21</v>
      </c>
      <c r="B81" s="2" t="s">
        <v>11</v>
      </c>
      <c r="C81" s="10">
        <v>0.89137380191693294</v>
      </c>
      <c r="D81" s="10">
        <v>0.90209790209790208</v>
      </c>
      <c r="E81" s="10">
        <v>0.96078431372549022</v>
      </c>
      <c r="F81" s="10"/>
      <c r="G81" s="10">
        <v>0.13238918804574601</v>
      </c>
      <c r="H81" s="10">
        <v>5.8689558621205201E-2</v>
      </c>
      <c r="I81" s="10">
        <v>6.0180723255630203E-3</v>
      </c>
    </row>
    <row r="82" spans="1:9" x14ac:dyDescent="0.3">
      <c r="A82" t="s">
        <v>22</v>
      </c>
      <c r="B82" s="2" t="s">
        <v>12</v>
      </c>
      <c r="C82" s="10">
        <v>0.89020771513353114</v>
      </c>
      <c r="D82" s="10">
        <v>0.90615835777126097</v>
      </c>
      <c r="E82" s="10">
        <v>0.90128755364806867</v>
      </c>
      <c r="F82" s="10"/>
      <c r="G82" s="10">
        <v>0.29571424414904501</v>
      </c>
      <c r="H82" s="10">
        <v>0.15082288973458399</v>
      </c>
      <c r="I82" s="10">
        <v>2.2245608947319698E-2</v>
      </c>
    </row>
    <row r="83" spans="1:9" x14ac:dyDescent="0.3">
      <c r="A83" t="s">
        <v>23</v>
      </c>
      <c r="B83" s="2" t="s">
        <v>13</v>
      </c>
      <c r="C83" s="10">
        <v>0.91412742382271472</v>
      </c>
      <c r="D83" s="10">
        <v>0.92241379310344829</v>
      </c>
      <c r="E83" s="10">
        <v>0.87267080745341619</v>
      </c>
      <c r="F83" s="10"/>
      <c r="G83" s="10">
        <v>0.34531118528841698</v>
      </c>
      <c r="H83" s="10">
        <v>0.26136560744765047</v>
      </c>
      <c r="I83" s="10">
        <v>5.0767255412148701E-2</v>
      </c>
    </row>
    <row r="84" spans="1:9" x14ac:dyDescent="0.3">
      <c r="A84" t="s">
        <v>24</v>
      </c>
      <c r="B84" s="2" t="s">
        <v>14</v>
      </c>
      <c r="C84" s="10">
        <v>0.97539149888143173</v>
      </c>
      <c r="D84" s="10">
        <v>0.97169811320754718</v>
      </c>
      <c r="E84" s="10">
        <v>0.96440129449838186</v>
      </c>
      <c r="F84" s="10"/>
      <c r="G84" s="10">
        <v>1.1060947359424899E-2</v>
      </c>
      <c r="H84" s="10">
        <v>1.1060947359424899E-2</v>
      </c>
      <c r="I84" s="10">
        <v>4.0080213975388201E-3</v>
      </c>
    </row>
    <row r="85" spans="1:9" x14ac:dyDescent="0.3">
      <c r="A85" t="s">
        <v>25</v>
      </c>
      <c r="B85" s="2" t="s">
        <v>15</v>
      </c>
      <c r="C85" s="10">
        <v>0.99136069114470837</v>
      </c>
      <c r="D85" s="10">
        <v>0.98698481561822127</v>
      </c>
      <c r="E85" s="10">
        <v>0.98492462311557794</v>
      </c>
      <c r="F85" s="10"/>
      <c r="G85" s="10">
        <v>2.8399474521698002E-2</v>
      </c>
      <c r="H85" s="10">
        <v>2.6343975339602001E-2</v>
      </c>
      <c r="I85" s="10">
        <v>6.0180723255630203E-3</v>
      </c>
    </row>
    <row r="86" spans="1:9" x14ac:dyDescent="0.3">
      <c r="A86" t="s">
        <v>26</v>
      </c>
      <c r="B86" s="2" t="s">
        <v>16</v>
      </c>
      <c r="C86" s="10">
        <v>0.99567099567099571</v>
      </c>
      <c r="D86" s="10">
        <v>0.99347826086956526</v>
      </c>
      <c r="E86" s="10">
        <v>0.98873873873873874</v>
      </c>
      <c r="F86" s="10"/>
      <c r="G86" s="10">
        <v>9.4311283263418449E-2</v>
      </c>
      <c r="H86" s="10">
        <v>3.7701867184011501E-2</v>
      </c>
      <c r="I86" s="10">
        <v>7.0246149369644698E-3</v>
      </c>
    </row>
    <row r="87" spans="1:9" x14ac:dyDescent="0.3">
      <c r="A87" s="13" t="s">
        <v>17</v>
      </c>
      <c r="B87" s="4" t="s">
        <v>17</v>
      </c>
      <c r="C87" s="10">
        <v>0.43459915611814348</v>
      </c>
      <c r="D87" s="10">
        <v>0.497907949790795</v>
      </c>
      <c r="E87" s="10">
        <v>0.52226720647773284</v>
      </c>
      <c r="F87" s="10"/>
      <c r="G87" s="10">
        <v>0.70319751641344697</v>
      </c>
      <c r="H87" s="10">
        <v>0.69314718055994495</v>
      </c>
      <c r="I87" s="10">
        <v>0.69114917789727204</v>
      </c>
    </row>
    <row r="88" spans="1:9" x14ac:dyDescent="0.3">
      <c r="A88" s="20" t="s">
        <v>60</v>
      </c>
      <c r="B88" s="20"/>
      <c r="C88" s="17">
        <f>AVERAGE(C75:C86)</f>
        <v>0.87004490796468081</v>
      </c>
      <c r="D88" s="17">
        <f t="shared" ref="D88:I88" si="12">AVERAGE(D75:D86)</f>
        <v>0.89499253530765743</v>
      </c>
      <c r="E88" s="17">
        <f t="shared" si="12"/>
        <v>0.91453888606549505</v>
      </c>
      <c r="F88" s="10"/>
      <c r="G88" s="17">
        <f t="shared" si="12"/>
        <v>0.25462723273879034</v>
      </c>
      <c r="H88" s="17">
        <f t="shared" si="12"/>
        <v>0.15356700164361556</v>
      </c>
      <c r="I88" s="17">
        <f t="shared" si="12"/>
        <v>2.8350700392421945E-2</v>
      </c>
    </row>
    <row r="89" spans="1:9" x14ac:dyDescent="0.3">
      <c r="A89" s="20" t="s">
        <v>78</v>
      </c>
      <c r="B89" s="20"/>
      <c r="C89" s="17">
        <f>2*_xlfn.STDEV.S(C75:C86)/SQRT(COUNT(C75:C86))</f>
        <v>6.81212433310487E-2</v>
      </c>
      <c r="D89" s="17">
        <f t="shared" ref="D89:E89" si="13">2*_xlfn.STDEV.S(D75:D86)/SQRT(COUNT(D75:D86))</f>
        <v>5.4285623544434759E-2</v>
      </c>
      <c r="E89" s="17">
        <f t="shared" si="13"/>
        <v>3.1894161196445787E-2</v>
      </c>
      <c r="F89" s="10"/>
      <c r="G89" s="17">
        <f>2*_xlfn.STDEV.S(G75:G86)/SQRT(COUNT(G75:G86))</f>
        <v>0.11214812507176328</v>
      </c>
      <c r="H89" s="17">
        <f t="shared" ref="H89:I89" si="14">2*_xlfn.STDEV.S(H75:H86)/SQRT(COUNT(H75:H86))</f>
        <v>8.585472774947836E-2</v>
      </c>
      <c r="I89" s="17">
        <f t="shared" si="14"/>
        <v>1.7665601637913281E-2</v>
      </c>
    </row>
  </sheetData>
  <mergeCells count="15">
    <mergeCell ref="A1:I1"/>
    <mergeCell ref="A19:I19"/>
    <mergeCell ref="A34:B34"/>
    <mergeCell ref="A35:B35"/>
    <mergeCell ref="A16:B16"/>
    <mergeCell ref="A17:B17"/>
    <mergeCell ref="A71:B71"/>
    <mergeCell ref="A89:B89"/>
    <mergeCell ref="A73:I73"/>
    <mergeCell ref="A88:B88"/>
    <mergeCell ref="A37:I37"/>
    <mergeCell ref="A52:B52"/>
    <mergeCell ref="A53:B53"/>
    <mergeCell ref="A55:I55"/>
    <mergeCell ref="A70:B70"/>
  </mergeCells>
  <conditionalFormatting sqref="C3:D15">
    <cfRule type="colorScale" priority="68">
      <colorScale>
        <cfvo type="min"/>
        <cfvo type="max"/>
        <color rgb="FFFFEF9C"/>
        <color rgb="FF63BE7B"/>
      </colorScale>
    </cfRule>
    <cfRule type="colorScale" priority="67">
      <colorScale>
        <cfvo type="min"/>
        <cfvo type="max"/>
        <color rgb="FFFFEF9C"/>
        <color rgb="FF63BE7B"/>
      </colorScale>
    </cfRule>
    <cfRule type="colorScale" priority="66">
      <colorScale>
        <cfvo type="num" val="0"/>
        <cfvo type="num" val="0.5"/>
        <cfvo type="num" val="1"/>
        <color rgb="FFF8696B"/>
        <color rgb="FFFFEB84"/>
        <color rgb="FF63BE7B"/>
      </colorScale>
    </cfRule>
    <cfRule type="colorScale" priority="69">
      <colorScale>
        <cfvo type="min"/>
        <cfvo type="max"/>
        <color rgb="FFFFEF9C"/>
        <color rgb="FF63BE7B"/>
      </colorScale>
    </cfRule>
    <cfRule type="colorScale" priority="70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C21:D33">
    <cfRule type="colorScale" priority="52">
      <colorScale>
        <cfvo type="min"/>
        <cfvo type="max"/>
        <color rgb="FFFFEF9C"/>
        <color rgb="FF63BE7B"/>
      </colorScale>
    </cfRule>
    <cfRule type="colorScale" priority="51">
      <colorScale>
        <cfvo type="num" val="0"/>
        <cfvo type="num" val="0.5"/>
        <cfvo type="num" val="1"/>
        <color rgb="FFF8696B"/>
        <color rgb="FFFFEB84"/>
        <color rgb="FF63BE7B"/>
      </colorScale>
    </cfRule>
    <cfRule type="colorScale" priority="55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54">
      <colorScale>
        <cfvo type="min"/>
        <cfvo type="max"/>
        <color rgb="FFFFEF9C"/>
        <color rgb="FF63BE7B"/>
      </colorScale>
    </cfRule>
    <cfRule type="colorScale" priority="53">
      <colorScale>
        <cfvo type="min"/>
        <cfvo type="max"/>
        <color rgb="FFFFEF9C"/>
        <color rgb="FF63BE7B"/>
      </colorScale>
    </cfRule>
  </conditionalFormatting>
  <conditionalFormatting sqref="C39:D51">
    <cfRule type="colorScale" priority="36">
      <colorScale>
        <cfvo type="num" val="0"/>
        <cfvo type="num" val="0.5"/>
        <cfvo type="num" val="1"/>
        <color rgb="FFF8696B"/>
        <color rgb="FFFFEB84"/>
        <color rgb="FF63BE7B"/>
      </colorScale>
    </cfRule>
    <cfRule type="colorScale" priority="39">
      <colorScale>
        <cfvo type="min"/>
        <cfvo type="max"/>
        <color rgb="FFFFEF9C"/>
        <color rgb="FF63BE7B"/>
      </colorScale>
    </cfRule>
    <cfRule type="colorScale" priority="40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38">
      <colorScale>
        <cfvo type="min"/>
        <cfvo type="max"/>
        <color rgb="FFFFEF9C"/>
        <color rgb="FF63BE7B"/>
      </colorScale>
    </cfRule>
    <cfRule type="colorScale" priority="37">
      <colorScale>
        <cfvo type="min"/>
        <cfvo type="max"/>
        <color rgb="FFFFEF9C"/>
        <color rgb="FF63BE7B"/>
      </colorScale>
    </cfRule>
  </conditionalFormatting>
  <conditionalFormatting sqref="C57:D69">
    <cfRule type="colorScale" priority="21">
      <colorScale>
        <cfvo type="num" val="0"/>
        <cfvo type="num" val="0.5"/>
        <cfvo type="num" val="1"/>
        <color rgb="FFF8696B"/>
        <color rgb="FFFFEB84"/>
        <color rgb="FF63BE7B"/>
      </colorScale>
    </cfRule>
    <cfRule type="colorScale" priority="23">
      <colorScale>
        <cfvo type="min"/>
        <cfvo type="max"/>
        <color rgb="FFFFEF9C"/>
        <color rgb="FF63BE7B"/>
      </colorScale>
    </cfRule>
    <cfRule type="colorScale" priority="22">
      <colorScale>
        <cfvo type="min"/>
        <cfvo type="max"/>
        <color rgb="FFFFEF9C"/>
        <color rgb="FF63BE7B"/>
      </colorScale>
    </cfRule>
    <cfRule type="colorScale" priority="25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24">
      <colorScale>
        <cfvo type="min"/>
        <cfvo type="max"/>
        <color rgb="FFFFEF9C"/>
        <color rgb="FF63BE7B"/>
      </colorScale>
    </cfRule>
  </conditionalFormatting>
  <conditionalFormatting sqref="C75:D87">
    <cfRule type="colorScale" priority="10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6">
      <colorScale>
        <cfvo type="num" val="0"/>
        <cfvo type="num" val="0.5"/>
        <cfvo type="num" val="1"/>
        <color rgb="FFF8696B"/>
        <color rgb="FFFFEB84"/>
        <color rgb="FF63BE7B"/>
      </colorScale>
    </cfRule>
    <cfRule type="colorScale" priority="7">
      <colorScale>
        <cfvo type="min"/>
        <cfvo type="max"/>
        <color rgb="FFFFEF9C"/>
        <color rgb="FF63BE7B"/>
      </colorScale>
    </cfRule>
    <cfRule type="colorScale" priority="8">
      <colorScale>
        <cfvo type="min"/>
        <cfvo type="max"/>
        <color rgb="FFFFEF9C"/>
        <color rgb="FF63BE7B"/>
      </colorScale>
    </cfRule>
    <cfRule type="colorScale" priority="9">
      <colorScale>
        <cfvo type="min"/>
        <cfvo type="max"/>
        <color rgb="FFFFEF9C"/>
        <color rgb="FF63BE7B"/>
      </colorScale>
    </cfRule>
  </conditionalFormatting>
  <conditionalFormatting sqref="E3:F15">
    <cfRule type="colorScale" priority="75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71">
      <colorScale>
        <cfvo type="num" val="0"/>
        <cfvo type="num" val="0.5"/>
        <cfvo type="num" val="1"/>
        <color rgb="FFF8696B"/>
        <color rgb="FFFFEB84"/>
        <color rgb="FF63BE7B"/>
      </colorScale>
    </cfRule>
    <cfRule type="colorScale" priority="72">
      <colorScale>
        <cfvo type="min"/>
        <cfvo type="max"/>
        <color rgb="FFFFEF9C"/>
        <color rgb="FF63BE7B"/>
      </colorScale>
    </cfRule>
    <cfRule type="colorScale" priority="73">
      <colorScale>
        <cfvo type="min"/>
        <cfvo type="max"/>
        <color rgb="FFFFEF9C"/>
        <color rgb="FF63BE7B"/>
      </colorScale>
    </cfRule>
    <cfRule type="colorScale" priority="74">
      <colorScale>
        <cfvo type="min"/>
        <cfvo type="max"/>
        <color rgb="FFFFEF9C"/>
        <color rgb="FF63BE7B"/>
      </colorScale>
    </cfRule>
  </conditionalFormatting>
  <conditionalFormatting sqref="E21:F33">
    <cfRule type="colorScale" priority="59">
      <colorScale>
        <cfvo type="min"/>
        <cfvo type="max"/>
        <color rgb="FFFFEF9C"/>
        <color rgb="FF63BE7B"/>
      </colorScale>
    </cfRule>
    <cfRule type="colorScale" priority="60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56">
      <colorScale>
        <cfvo type="num" val="0"/>
        <cfvo type="num" val="0.5"/>
        <cfvo type="num" val="1"/>
        <color rgb="FFF8696B"/>
        <color rgb="FFFFEB84"/>
        <color rgb="FF63BE7B"/>
      </colorScale>
    </cfRule>
    <cfRule type="colorScale" priority="58">
      <colorScale>
        <cfvo type="min"/>
        <cfvo type="max"/>
        <color rgb="FFFFEF9C"/>
        <color rgb="FF63BE7B"/>
      </colorScale>
    </cfRule>
    <cfRule type="colorScale" priority="57">
      <colorScale>
        <cfvo type="min"/>
        <cfvo type="max"/>
        <color rgb="FFFFEF9C"/>
        <color rgb="FF63BE7B"/>
      </colorScale>
    </cfRule>
  </conditionalFormatting>
  <conditionalFormatting sqref="E39:F51">
    <cfRule type="colorScale" priority="44">
      <colorScale>
        <cfvo type="min"/>
        <cfvo type="max"/>
        <color rgb="FFFFEF9C"/>
        <color rgb="FF63BE7B"/>
      </colorScale>
    </cfRule>
    <cfRule type="colorScale" priority="45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43">
      <colorScale>
        <cfvo type="min"/>
        <cfvo type="max"/>
        <color rgb="FFFFEF9C"/>
        <color rgb="FF63BE7B"/>
      </colorScale>
    </cfRule>
    <cfRule type="colorScale" priority="42">
      <colorScale>
        <cfvo type="min"/>
        <cfvo type="max"/>
        <color rgb="FFFFEF9C"/>
        <color rgb="FF63BE7B"/>
      </colorScale>
    </cfRule>
    <cfRule type="colorScale" priority="41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E57:F69">
    <cfRule type="colorScale" priority="28">
      <colorScale>
        <cfvo type="min"/>
        <cfvo type="max"/>
        <color rgb="FFFFEF9C"/>
        <color rgb="FF63BE7B"/>
      </colorScale>
    </cfRule>
    <cfRule type="colorScale" priority="30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29">
      <colorScale>
        <cfvo type="min"/>
        <cfvo type="max"/>
        <color rgb="FFFFEF9C"/>
        <color rgb="FF63BE7B"/>
      </colorScale>
    </cfRule>
    <cfRule type="colorScale" priority="26">
      <colorScale>
        <cfvo type="num" val="0"/>
        <cfvo type="num" val="0.5"/>
        <cfvo type="num" val="1"/>
        <color rgb="FFF8696B"/>
        <color rgb="FFFFEB84"/>
        <color rgb="FF63BE7B"/>
      </colorScale>
    </cfRule>
    <cfRule type="colorScale" priority="27">
      <colorScale>
        <cfvo type="min"/>
        <cfvo type="max"/>
        <color rgb="FFFFEF9C"/>
        <color rgb="FF63BE7B"/>
      </colorScale>
    </cfRule>
  </conditionalFormatting>
  <conditionalFormatting sqref="E75:F87">
    <cfRule type="colorScale" priority="15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14">
      <colorScale>
        <cfvo type="min"/>
        <cfvo type="max"/>
        <color rgb="FFFFEF9C"/>
        <color rgb="FF63BE7B"/>
      </colorScale>
    </cfRule>
    <cfRule type="colorScale" priority="13">
      <colorScale>
        <cfvo type="min"/>
        <cfvo type="max"/>
        <color rgb="FFFFEF9C"/>
        <color rgb="FF63BE7B"/>
      </colorScale>
    </cfRule>
    <cfRule type="colorScale" priority="12">
      <colorScale>
        <cfvo type="min"/>
        <cfvo type="max"/>
        <color rgb="FFFFEF9C"/>
        <color rgb="FF63BE7B"/>
      </colorScale>
    </cfRule>
    <cfRule type="colorScale" priority="11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G3:I15">
    <cfRule type="colorScale" priority="61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62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63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64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21:I33">
    <cfRule type="colorScale" priority="46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47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48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49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39:I51">
    <cfRule type="colorScale" priority="3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4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33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32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31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</conditionalFormatting>
  <conditionalFormatting sqref="G57:I69">
    <cfRule type="colorScale" priority="18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17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16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19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75:I87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3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2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1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</conditionalFormatting>
  <pageMargins left="0.7" right="0.7" top="0.75" bottom="0.75" header="0.3" footer="0.3"/>
  <ignoredErrors>
    <ignoredError sqref="C16:I16 C34:I34 F35 C52:E52 G52:I52 F53 C70:I70 F71 C88:E88 G88:I88 F89 C17:E17 G17:I17 C35:E35 G35:I35 C53:E53 G53:I53 C71:E71 G71 H71:I71 C89:E89 G89:I89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comparison_terminal</vt:lpstr>
      <vt:lpstr>comparison_pred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Surya</dc:creator>
  <cp:lastModifiedBy>Kevin Surya</cp:lastModifiedBy>
  <dcterms:created xsi:type="dcterms:W3CDTF">2015-06-05T18:17:20Z</dcterms:created>
  <dcterms:modified xsi:type="dcterms:W3CDTF">2026-03-12T18:37:58Z</dcterms:modified>
</cp:coreProperties>
</file>