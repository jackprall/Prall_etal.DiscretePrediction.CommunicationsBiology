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adik\My Drive\Operation\ocean\Prall_etal.DiscretePrediction.CommunicationsBiology\4_results_excel\"/>
    </mc:Choice>
  </mc:AlternateContent>
  <xr:revisionPtr revIDLastSave="0" documentId="13_ncr:1_{877DD830-3EA8-4B8E-BE55-B71AFA469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comparison_rates" sheetId="5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52" l="1"/>
  <c r="I53" i="52"/>
  <c r="G53" i="52"/>
  <c r="D53" i="52"/>
  <c r="E53" i="52"/>
  <c r="C53" i="52"/>
  <c r="H35" i="52"/>
  <c r="I35" i="52"/>
  <c r="G35" i="52"/>
  <c r="D35" i="52"/>
  <c r="E35" i="52"/>
  <c r="C35" i="52"/>
  <c r="H17" i="52"/>
  <c r="I17" i="52"/>
  <c r="G17" i="52"/>
  <c r="D17" i="52"/>
  <c r="E17" i="52"/>
  <c r="C17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39" i="52"/>
  <c r="E40" i="52"/>
  <c r="E41" i="52"/>
  <c r="E42" i="52"/>
  <c r="E43" i="52"/>
  <c r="E44" i="52"/>
  <c r="E45" i="52"/>
  <c r="E46" i="52"/>
  <c r="E47" i="52"/>
  <c r="E48" i="52"/>
  <c r="E49" i="52"/>
  <c r="E50" i="52"/>
  <c r="E51" i="52"/>
  <c r="E39" i="52"/>
  <c r="I22" i="52" l="1"/>
  <c r="I23" i="52"/>
  <c r="I24" i="52"/>
  <c r="I25" i="52"/>
  <c r="I26" i="52"/>
  <c r="I27" i="52"/>
  <c r="I28" i="52"/>
  <c r="I29" i="52"/>
  <c r="I30" i="52"/>
  <c r="I31" i="52"/>
  <c r="I32" i="52"/>
  <c r="I33" i="52"/>
  <c r="I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21" i="52"/>
  <c r="I4" i="52" l="1"/>
  <c r="I5" i="52"/>
  <c r="I6" i="52"/>
  <c r="I7" i="52"/>
  <c r="I8" i="52"/>
  <c r="I9" i="52"/>
  <c r="I10" i="52"/>
  <c r="I11" i="52"/>
  <c r="I12" i="52"/>
  <c r="I13" i="52"/>
  <c r="I14" i="52"/>
  <c r="I15" i="52"/>
  <c r="I3" i="52"/>
  <c r="E4" i="52"/>
  <c r="E5" i="52"/>
  <c r="E6" i="52"/>
  <c r="E7" i="52"/>
  <c r="E8" i="52"/>
  <c r="E9" i="52"/>
  <c r="E10" i="52"/>
  <c r="E11" i="52"/>
  <c r="E12" i="52"/>
  <c r="E13" i="52"/>
  <c r="E14" i="52"/>
  <c r="E15" i="52"/>
  <c r="E3" i="52"/>
  <c r="H52" i="52" l="1"/>
  <c r="G52" i="52"/>
  <c r="D52" i="52"/>
  <c r="C52" i="52"/>
  <c r="E52" i="52" l="1"/>
  <c r="I52" i="52"/>
  <c r="H34" i="52" l="1"/>
  <c r="G34" i="52"/>
  <c r="D34" i="52"/>
  <c r="C34" i="52"/>
  <c r="I34" i="52" l="1"/>
  <c r="E34" i="52"/>
  <c r="H16" i="52" l="1"/>
  <c r="G16" i="52"/>
  <c r="D16" i="52"/>
  <c r="C16" i="52"/>
  <c r="E16" i="52" l="1"/>
  <c r="I16" i="52"/>
</calcChain>
</file>

<file path=xl/sharedStrings.xml><?xml version="1.0" encoding="utf-8"?>
<sst xmlns="http://schemas.openxmlformats.org/spreadsheetml/2006/main" count="147" uniqueCount="67">
  <si>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</si>
  <si>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</si>
  <si>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</si>
  <si>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</si>
  <si>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</si>
  <si>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</si>
  <si>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</si>
  <si>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</si>
  <si>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</si>
  <si>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</si>
  <si>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</si>
  <si>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</si>
  <si>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</si>
  <si>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</si>
  <si>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</si>
  <si>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</si>
  <si>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</si>
  <si>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</si>
  <si>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</si>
  <si>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</si>
  <si>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</si>
  <si>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</si>
  <si>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</si>
  <si>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</si>
  <si>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</si>
  <si>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</si>
  <si>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</si>
  <si>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</si>
  <si>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</si>
  <si>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</si>
  <si>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</si>
  <si>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Color: 0</t>
  </si>
  <si>
    <t>Color: 0.5</t>
  </si>
  <si>
    <t>Color: 1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</si>
  <si>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</si>
  <si>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</si>
  <si>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</si>
  <si>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</si>
  <si>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</si>
  <si>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</si>
  <si>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</si>
  <si>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</si>
  <si>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</si>
  <si>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</si>
  <si>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</si>
  <si>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</si>
  <si>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</si>
  <si>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</si>
  <si>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 tips</t>
    </r>
  </si>
  <si>
    <t>Mean (excluding random)</t>
  </si>
  <si>
    <t>acc.diff</t>
  </si>
  <si>
    <t>mll.dep.ratio</t>
  </si>
  <si>
    <t>2*SE (excluding random)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</si>
  <si>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100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</si>
  <si>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500 tips</t>
    </r>
  </si>
  <si>
    <t>comparison_rates</t>
  </si>
  <si>
    <t>acc.dep.con</t>
  </si>
  <si>
    <t>acc.dep.var</t>
  </si>
  <si>
    <t>mll.dep.con</t>
  </si>
  <si>
    <t>mll.dep.var</t>
  </si>
  <si>
    <t>mll.ratio</t>
  </si>
  <si>
    <t>Accuracy of the RJMCMC-Discrete-Dependent (BayesTraits) prediction method, where the trait data were simulated under a constant rates scenario</t>
  </si>
  <si>
    <t>Accuracy of the RJMCMC-Discrete-Dependent (BayesTraits) prediction method, where the trait data were simulated under a variable rates scenario</t>
  </si>
  <si>
    <t>Pairwise difference between "acc.dep.con" and "acc.dep.var" ("acc.dep.con" - "acc.dep.var")</t>
  </si>
  <si>
    <t>Median log loss of the RJMCMC-Discrete-Dependent (BayesTraits) prediction method, where the trait data were simulated under a constant rates scenario</t>
  </si>
  <si>
    <t>Median log loss of the RJMCMC-Discrete-Dependent (BayesTraits) prediction method, where the trait data were simulated under a variable rates scenario</t>
  </si>
  <si>
    <t>mll.dep.var / mll.dep.con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</si>
</sst>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49" fontId="0" fillId="0" borderId="0" xfId="0" applyNumberFormat="1"/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28"/>
  <sheetViews>
    <sheetView tabSelected="1" workbookViewId="0">
      <selection sqref="A1:B1"/>
    </sheetView>
  </sheetViews>
  <sheetFormatPr defaultRowHeight="14.4" x14ac:dyDescent="0.3"/>
  <cols>
    <col min="1" max="1" width="10.77734375" style="1" bestFit="1" customWidth="1"/>
    <col min="2" max="2" width="131.21875" bestFit="1" customWidth="1"/>
  </cols>
  <sheetData>
    <row r="1" spans="1:2" x14ac:dyDescent="0.3">
      <c r="A1" s="15" t="s">
        <v>55</v>
      </c>
      <c r="B1" s="15"/>
    </row>
    <row r="2" spans="1:2" x14ac:dyDescent="0.3">
      <c r="A2" s="1" t="s">
        <v>0</v>
      </c>
      <c r="B2" t="s">
        <v>47</v>
      </c>
    </row>
    <row r="3" spans="1:2" x14ac:dyDescent="0.3">
      <c r="A3" s="1" t="s">
        <v>4</v>
      </c>
      <c r="B3" t="s">
        <v>27</v>
      </c>
    </row>
    <row r="4" spans="1:2" x14ac:dyDescent="0.3">
      <c r="B4" t="s">
        <v>34</v>
      </c>
    </row>
    <row r="5" spans="1:2" x14ac:dyDescent="0.3">
      <c r="B5" t="s">
        <v>35</v>
      </c>
    </row>
    <row r="6" spans="1:2" x14ac:dyDescent="0.3">
      <c r="B6" t="s">
        <v>36</v>
      </c>
    </row>
    <row r="7" spans="1:2" x14ac:dyDescent="0.3">
      <c r="B7" t="s">
        <v>37</v>
      </c>
    </row>
    <row r="8" spans="1:2" x14ac:dyDescent="0.3">
      <c r="B8" t="s">
        <v>38</v>
      </c>
    </row>
    <row r="9" spans="1:2" x14ac:dyDescent="0.3">
      <c r="B9" t="s">
        <v>39</v>
      </c>
    </row>
    <row r="10" spans="1:2" x14ac:dyDescent="0.3">
      <c r="B10" t="s">
        <v>40</v>
      </c>
    </row>
    <row r="11" spans="1:2" x14ac:dyDescent="0.3">
      <c r="B11" t="s">
        <v>41</v>
      </c>
    </row>
    <row r="12" spans="1:2" x14ac:dyDescent="0.3">
      <c r="B12" t="s">
        <v>42</v>
      </c>
    </row>
    <row r="13" spans="1:2" x14ac:dyDescent="0.3">
      <c r="B13" t="s">
        <v>43</v>
      </c>
    </row>
    <row r="14" spans="1:2" x14ac:dyDescent="0.3">
      <c r="B14" t="s">
        <v>44</v>
      </c>
    </row>
    <row r="15" spans="1:2" x14ac:dyDescent="0.3">
      <c r="B15" t="s">
        <v>45</v>
      </c>
    </row>
    <row r="16" spans="1:2" x14ac:dyDescent="0.3">
      <c r="B16" t="s">
        <v>46</v>
      </c>
    </row>
    <row r="17" spans="1:2" x14ac:dyDescent="0.3">
      <c r="A17" s="1" t="s">
        <v>56</v>
      </c>
      <c r="B17" t="s">
        <v>61</v>
      </c>
    </row>
    <row r="18" spans="1:2" x14ac:dyDescent="0.3">
      <c r="A18" s="1" t="s">
        <v>57</v>
      </c>
      <c r="B18" t="s">
        <v>62</v>
      </c>
    </row>
    <row r="19" spans="1:2" x14ac:dyDescent="0.3">
      <c r="A19" s="1" t="s">
        <v>50</v>
      </c>
      <c r="B19" t="s">
        <v>63</v>
      </c>
    </row>
    <row r="20" spans="1:2" x14ac:dyDescent="0.3">
      <c r="B20" s="7" t="s">
        <v>31</v>
      </c>
    </row>
    <row r="21" spans="1:2" x14ac:dyDescent="0.3">
      <c r="B21" s="9" t="s">
        <v>32</v>
      </c>
    </row>
    <row r="22" spans="1:2" x14ac:dyDescent="0.3">
      <c r="B22" s="8" t="s">
        <v>33</v>
      </c>
    </row>
    <row r="23" spans="1:2" x14ac:dyDescent="0.3">
      <c r="A23" s="1" t="s">
        <v>58</v>
      </c>
      <c r="B23" t="s">
        <v>64</v>
      </c>
    </row>
    <row r="24" spans="1:2" x14ac:dyDescent="0.3">
      <c r="A24" s="1" t="s">
        <v>59</v>
      </c>
      <c r="B24" t="s">
        <v>65</v>
      </c>
    </row>
    <row r="25" spans="1:2" x14ac:dyDescent="0.3">
      <c r="A25" s="1" t="s">
        <v>60</v>
      </c>
      <c r="B25" t="s">
        <v>66</v>
      </c>
    </row>
    <row r="26" spans="1:2" x14ac:dyDescent="0.3">
      <c r="B26" s="7" t="s">
        <v>29</v>
      </c>
    </row>
    <row r="27" spans="1:2" x14ac:dyDescent="0.3">
      <c r="B27" s="11" t="s">
        <v>28</v>
      </c>
    </row>
    <row r="28" spans="1:2" x14ac:dyDescent="0.3">
      <c r="B28" s="8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911-1668-46D7-8E1E-8B1B07959405}">
  <dimension ref="A1:I53"/>
  <sheetViews>
    <sheetView workbookViewId="0">
      <selection sqref="A1:I1"/>
    </sheetView>
  </sheetViews>
  <sheetFormatPr defaultRowHeight="14.4" x14ac:dyDescent="0.3"/>
  <cols>
    <col min="1" max="1" width="11.77734375" customWidth="1"/>
    <col min="2" max="2" width="11.44140625" customWidth="1"/>
    <col min="3" max="3" width="10.77734375" bestFit="1" customWidth="1"/>
    <col min="4" max="4" width="10.77734375" customWidth="1"/>
    <col min="5" max="5" width="6.77734375" bestFit="1" customWidth="1"/>
    <col min="6" max="6" width="0.77734375" customWidth="1"/>
    <col min="7" max="7" width="10.6640625" bestFit="1" customWidth="1"/>
    <col min="8" max="8" width="10.6640625" customWidth="1"/>
    <col min="9" max="9" width="11.6640625" bestFit="1" customWidth="1"/>
  </cols>
  <sheetData>
    <row r="1" spans="1:9" x14ac:dyDescent="0.3">
      <c r="A1" s="15" t="s">
        <v>48</v>
      </c>
      <c r="B1" s="15"/>
      <c r="C1" s="15"/>
      <c r="D1" s="15"/>
      <c r="E1" s="15"/>
      <c r="F1" s="15"/>
      <c r="G1" s="15"/>
      <c r="H1" s="15"/>
      <c r="I1" s="15"/>
    </row>
    <row r="2" spans="1:9" s="1" customFormat="1" x14ac:dyDescent="0.3">
      <c r="A2" s="6" t="s">
        <v>0</v>
      </c>
      <c r="B2" s="3" t="s">
        <v>4</v>
      </c>
      <c r="C2" s="5" t="s">
        <v>56</v>
      </c>
      <c r="D2" s="5" t="s">
        <v>57</v>
      </c>
      <c r="E2" s="13" t="s">
        <v>50</v>
      </c>
      <c r="F2" s="13"/>
      <c r="G2" s="1" t="s">
        <v>58</v>
      </c>
      <c r="H2" s="1" t="s">
        <v>59</v>
      </c>
      <c r="I2" s="1" t="s">
        <v>51</v>
      </c>
    </row>
    <row r="3" spans="1:9" x14ac:dyDescent="0.3">
      <c r="A3" t="s">
        <v>1</v>
      </c>
      <c r="B3" s="2" t="s">
        <v>5</v>
      </c>
      <c r="C3" s="10">
        <v>0.80500000000000005</v>
      </c>
      <c r="D3" s="10">
        <v>0.76500000000000001</v>
      </c>
      <c r="E3" s="10">
        <f>C3-D3</f>
        <v>4.0000000000000036E-2</v>
      </c>
      <c r="F3" s="10"/>
      <c r="G3" s="10">
        <v>0.21505157359384849</v>
      </c>
      <c r="H3" s="10">
        <v>0.30517106890161749</v>
      </c>
      <c r="I3" s="10">
        <f>H3/G3</f>
        <v>1.4190599203797076</v>
      </c>
    </row>
    <row r="4" spans="1:9" x14ac:dyDescent="0.3">
      <c r="A4" t="s">
        <v>2</v>
      </c>
      <c r="B4" s="2" t="s">
        <v>6</v>
      </c>
      <c r="C4" s="10">
        <v>0.68</v>
      </c>
      <c r="D4" s="10">
        <v>0.65100000000000002</v>
      </c>
      <c r="E4" s="10">
        <f t="shared" ref="E4:E15" si="0">C4-D4</f>
        <v>2.9000000000000026E-2</v>
      </c>
      <c r="F4" s="10"/>
      <c r="G4" s="10">
        <v>0.53187939511877547</v>
      </c>
      <c r="H4" s="10">
        <v>0.58608851189320399</v>
      </c>
      <c r="I4" s="10">
        <f t="shared" ref="I4:I15" si="1">H4/G4</f>
        <v>1.1019199413850633</v>
      </c>
    </row>
    <row r="5" spans="1:9" x14ac:dyDescent="0.3">
      <c r="A5" t="s">
        <v>3</v>
      </c>
      <c r="B5" s="2" t="s">
        <v>7</v>
      </c>
      <c r="C5" s="10">
        <v>0.60099999999999998</v>
      </c>
      <c r="D5" s="10">
        <v>0.58599999999999997</v>
      </c>
      <c r="E5" s="10">
        <f t="shared" si="0"/>
        <v>1.5000000000000013E-2</v>
      </c>
      <c r="F5" s="10"/>
      <c r="G5" s="10">
        <v>0.65200523722877002</v>
      </c>
      <c r="H5" s="10">
        <v>0.65778003672265395</v>
      </c>
      <c r="I5" s="10">
        <f t="shared" si="1"/>
        <v>1.0088569832942273</v>
      </c>
    </row>
    <row r="6" spans="1:9" x14ac:dyDescent="0.3">
      <c r="A6" t="s">
        <v>19</v>
      </c>
      <c r="B6" s="2" t="s">
        <v>8</v>
      </c>
      <c r="C6" s="10">
        <v>0.751</v>
      </c>
      <c r="D6" s="10">
        <v>0.753</v>
      </c>
      <c r="E6" s="10">
        <f t="shared" si="0"/>
        <v>-2.0000000000000018E-3</v>
      </c>
      <c r="F6" s="10"/>
      <c r="G6" s="10">
        <v>0.28701584983489148</v>
      </c>
      <c r="H6" s="10">
        <v>0.321583624127462</v>
      </c>
      <c r="I6" s="10">
        <f t="shared" si="1"/>
        <v>1.1204385552660452</v>
      </c>
    </row>
    <row r="7" spans="1:9" x14ac:dyDescent="0.3">
      <c r="A7" t="s">
        <v>18</v>
      </c>
      <c r="B7" s="2" t="s">
        <v>9</v>
      </c>
      <c r="C7" s="10">
        <v>0.82299999999999995</v>
      </c>
      <c r="D7" s="10">
        <v>0.81599999999999995</v>
      </c>
      <c r="E7" s="10">
        <f t="shared" si="0"/>
        <v>7.0000000000000062E-3</v>
      </c>
      <c r="F7" s="10"/>
      <c r="G7" s="10">
        <v>0.17673717850005399</v>
      </c>
      <c r="H7" s="10">
        <v>0.19116050546115901</v>
      </c>
      <c r="I7" s="10">
        <f t="shared" si="1"/>
        <v>1.0816089013274623</v>
      </c>
    </row>
    <row r="8" spans="1:9" x14ac:dyDescent="0.3">
      <c r="A8" t="s">
        <v>20</v>
      </c>
      <c r="B8" s="2" t="s">
        <v>10</v>
      </c>
      <c r="C8" s="10">
        <v>0.68400000000000005</v>
      </c>
      <c r="D8" s="10">
        <v>0.66200000000000003</v>
      </c>
      <c r="E8" s="10">
        <f t="shared" si="0"/>
        <v>2.200000000000002E-2</v>
      </c>
      <c r="F8" s="10"/>
      <c r="G8" s="10">
        <v>0.4902093353227685</v>
      </c>
      <c r="H8" s="10">
        <v>0.51583816558953499</v>
      </c>
      <c r="I8" s="10">
        <f t="shared" si="1"/>
        <v>1.0522813998429705</v>
      </c>
    </row>
    <row r="9" spans="1:9" x14ac:dyDescent="0.3">
      <c r="A9" t="s">
        <v>21</v>
      </c>
      <c r="B9" s="2" t="s">
        <v>11</v>
      </c>
      <c r="C9" s="10">
        <v>0.79800000000000004</v>
      </c>
      <c r="D9" s="10">
        <v>0.77700000000000002</v>
      </c>
      <c r="E9" s="10">
        <f t="shared" si="0"/>
        <v>2.1000000000000019E-2</v>
      </c>
      <c r="F9" s="10"/>
      <c r="G9" s="10">
        <v>0.21629226901954149</v>
      </c>
      <c r="H9" s="10">
        <v>0.29773263503956748</v>
      </c>
      <c r="I9" s="10">
        <f t="shared" si="1"/>
        <v>1.3765292508567102</v>
      </c>
    </row>
    <row r="10" spans="1:9" x14ac:dyDescent="0.3">
      <c r="A10" t="s">
        <v>22</v>
      </c>
      <c r="B10" s="2" t="s">
        <v>12</v>
      </c>
      <c r="C10" s="10">
        <v>0.67400000000000004</v>
      </c>
      <c r="D10" s="10">
        <v>0.67200000000000004</v>
      </c>
      <c r="E10" s="10">
        <f t="shared" si="0"/>
        <v>2.0000000000000018E-3</v>
      </c>
      <c r="F10" s="10"/>
      <c r="G10" s="10">
        <v>0.46203545959655901</v>
      </c>
      <c r="H10" s="10">
        <v>0.50916172871965348</v>
      </c>
      <c r="I10" s="10">
        <f t="shared" si="1"/>
        <v>1.1019970830036385</v>
      </c>
    </row>
    <row r="11" spans="1:9" x14ac:dyDescent="0.3">
      <c r="A11" t="s">
        <v>23</v>
      </c>
      <c r="B11" s="2" t="s">
        <v>13</v>
      </c>
      <c r="C11" s="10">
        <v>0.66500000000000004</v>
      </c>
      <c r="D11" s="10">
        <v>0.63700000000000001</v>
      </c>
      <c r="E11" s="10">
        <f t="shared" si="0"/>
        <v>2.8000000000000025E-2</v>
      </c>
      <c r="F11" s="10"/>
      <c r="G11" s="10">
        <v>0.53699886395209551</v>
      </c>
      <c r="H11" s="10">
        <v>0.57358833916326257</v>
      </c>
      <c r="I11" s="10">
        <f t="shared" si="1"/>
        <v>1.0681369694935354</v>
      </c>
    </row>
    <row r="12" spans="1:9" x14ac:dyDescent="0.3">
      <c r="A12" t="s">
        <v>24</v>
      </c>
      <c r="B12" s="2" t="s">
        <v>14</v>
      </c>
      <c r="C12" s="10">
        <v>0.83799999999999997</v>
      </c>
      <c r="D12" s="10">
        <v>0.82299999999999995</v>
      </c>
      <c r="E12" s="10">
        <f t="shared" si="0"/>
        <v>1.5000000000000013E-2</v>
      </c>
      <c r="F12" s="10"/>
      <c r="G12" s="10">
        <v>0.10925714146527399</v>
      </c>
      <c r="H12" s="10">
        <v>0.13811330212963399</v>
      </c>
      <c r="I12" s="10">
        <f t="shared" si="1"/>
        <v>1.2641123525415643</v>
      </c>
    </row>
    <row r="13" spans="1:9" x14ac:dyDescent="0.3">
      <c r="A13" t="s">
        <v>25</v>
      </c>
      <c r="B13" s="2" t="s">
        <v>15</v>
      </c>
      <c r="C13" s="10">
        <v>0.80200000000000005</v>
      </c>
      <c r="D13" s="10">
        <v>0.79100000000000004</v>
      </c>
      <c r="E13" s="10">
        <f t="shared" si="0"/>
        <v>1.100000000000001E-2</v>
      </c>
      <c r="F13" s="10"/>
      <c r="G13" s="10">
        <v>0.27312192112045097</v>
      </c>
      <c r="H13" s="10">
        <v>0.279052964173646</v>
      </c>
      <c r="I13" s="10">
        <f t="shared" si="1"/>
        <v>1.0217157342364305</v>
      </c>
    </row>
    <row r="14" spans="1:9" x14ac:dyDescent="0.3">
      <c r="A14" t="s">
        <v>26</v>
      </c>
      <c r="B14" s="2" t="s">
        <v>16</v>
      </c>
      <c r="C14" s="10">
        <v>0.75900000000000001</v>
      </c>
      <c r="D14" s="10">
        <v>0.76300000000000001</v>
      </c>
      <c r="E14" s="10">
        <f t="shared" si="0"/>
        <v>-4.0000000000000036E-3</v>
      </c>
      <c r="F14" s="10"/>
      <c r="G14" s="10">
        <v>0.36312452603253098</v>
      </c>
      <c r="H14" s="10">
        <v>0.37469371390429052</v>
      </c>
      <c r="I14" s="10">
        <f t="shared" si="1"/>
        <v>1.0318601114558785</v>
      </c>
    </row>
    <row r="15" spans="1:9" x14ac:dyDescent="0.3">
      <c r="A15" s="12" t="s">
        <v>17</v>
      </c>
      <c r="B15" s="4" t="s">
        <v>17</v>
      </c>
      <c r="C15" s="10">
        <v>0.505</v>
      </c>
      <c r="D15" s="10">
        <v>0.505</v>
      </c>
      <c r="E15" s="10">
        <f t="shared" si="0"/>
        <v>0</v>
      </c>
      <c r="F15" s="10"/>
      <c r="G15" s="10">
        <v>0.69114917789727204</v>
      </c>
      <c r="H15" s="10">
        <v>0.69114917789727204</v>
      </c>
      <c r="I15" s="10">
        <f t="shared" si="1"/>
        <v>1</v>
      </c>
    </row>
    <row r="16" spans="1:9" x14ac:dyDescent="0.3">
      <c r="A16" s="15" t="s">
        <v>49</v>
      </c>
      <c r="B16" s="15"/>
      <c r="C16" s="14">
        <f>AVERAGE(C3:C14)</f>
        <v>0.7400000000000001</v>
      </c>
      <c r="D16" s="14">
        <f t="shared" ref="D16:I16" si="2">AVERAGE(D3:D14)</f>
        <v>0.72466666666666668</v>
      </c>
      <c r="E16" s="14">
        <f t="shared" si="2"/>
        <v>1.5333333333333346E-2</v>
      </c>
      <c r="F16" s="10"/>
      <c r="G16" s="14">
        <f t="shared" si="2"/>
        <v>0.35947739589879668</v>
      </c>
      <c r="H16" s="14">
        <f t="shared" si="2"/>
        <v>0.39583038298547385</v>
      </c>
      <c r="I16" s="14">
        <f t="shared" si="2"/>
        <v>1.1373764335902696</v>
      </c>
    </row>
    <row r="17" spans="1:9" x14ac:dyDescent="0.3">
      <c r="A17" s="15" t="s">
        <v>52</v>
      </c>
      <c r="B17" s="15"/>
      <c r="C17" s="14">
        <f>2*_xlfn.STDEV.S(C3:C14)/SQRT(COUNT(C3:C14))</f>
        <v>4.4191731024130418E-2</v>
      </c>
      <c r="D17" s="14">
        <f t="shared" ref="D17:E17" si="3">2*_xlfn.STDEV.S(D3:D14)/SQRT(COUNT(D3:D14))</f>
        <v>4.5424151454414474E-2</v>
      </c>
      <c r="E17" s="14">
        <f t="shared" si="3"/>
        <v>7.7316090031621437E-3</v>
      </c>
      <c r="F17" s="10"/>
      <c r="G17" s="14">
        <f>2*_xlfn.STDEV.S(G3:G14)/SQRT(COUNT(G3:G14))</f>
        <v>9.9163785859096409E-2</v>
      </c>
      <c r="H17" s="14">
        <f t="shared" ref="H17:I17" si="4">2*_xlfn.STDEV.S(H3:H14)/SQRT(COUNT(H3:H14))</f>
        <v>9.6829429370394446E-2</v>
      </c>
      <c r="I17" s="14">
        <f t="shared" si="4"/>
        <v>8.007023988936518E-2</v>
      </c>
    </row>
    <row r="19" spans="1:9" x14ac:dyDescent="0.3">
      <c r="A19" s="15" t="s">
        <v>53</v>
      </c>
      <c r="B19" s="15"/>
      <c r="C19" s="15"/>
      <c r="D19" s="15"/>
      <c r="E19" s="15"/>
      <c r="F19" s="15"/>
      <c r="G19" s="15"/>
      <c r="H19" s="15"/>
      <c r="I19" s="15"/>
    </row>
    <row r="20" spans="1:9" x14ac:dyDescent="0.3">
      <c r="A20" s="6" t="s">
        <v>0</v>
      </c>
      <c r="B20" s="3" t="s">
        <v>4</v>
      </c>
      <c r="C20" s="5" t="s">
        <v>56</v>
      </c>
      <c r="D20" s="5" t="s">
        <v>57</v>
      </c>
      <c r="E20" s="13" t="s">
        <v>50</v>
      </c>
      <c r="F20" s="13"/>
      <c r="G20" s="1" t="s">
        <v>58</v>
      </c>
      <c r="H20" s="1" t="s">
        <v>59</v>
      </c>
      <c r="I20" s="1" t="s">
        <v>51</v>
      </c>
    </row>
    <row r="21" spans="1:9" x14ac:dyDescent="0.3">
      <c r="A21" t="s">
        <v>1</v>
      </c>
      <c r="B21" s="2" t="s">
        <v>5</v>
      </c>
      <c r="C21" s="10">
        <v>0.89900000000000002</v>
      </c>
      <c r="D21" s="10">
        <v>0.86199999999999999</v>
      </c>
      <c r="E21" s="10">
        <f>C21-D21</f>
        <v>3.7000000000000033E-2</v>
      </c>
      <c r="F21" s="10"/>
      <c r="G21" s="10">
        <v>7.2570692834835498E-2</v>
      </c>
      <c r="H21" s="10">
        <v>0.11597233388364001</v>
      </c>
      <c r="I21" s="10">
        <f>H21/G21</f>
        <v>1.5980601721356418</v>
      </c>
    </row>
    <row r="22" spans="1:9" x14ac:dyDescent="0.3">
      <c r="A22" t="s">
        <v>2</v>
      </c>
      <c r="B22" s="2" t="s">
        <v>6</v>
      </c>
      <c r="C22" s="10">
        <v>0.77300000000000002</v>
      </c>
      <c r="D22" s="10">
        <v>0.74199999999999999</v>
      </c>
      <c r="E22" s="10">
        <f t="shared" ref="E22:E33" si="5">C22-D22</f>
        <v>3.1000000000000028E-2</v>
      </c>
      <c r="F22" s="10"/>
      <c r="G22" s="10">
        <v>0.27575350158650702</v>
      </c>
      <c r="H22" s="10">
        <v>0.36600429913378352</v>
      </c>
      <c r="I22" s="10">
        <f t="shared" ref="I22:I33" si="6">H22/G22</f>
        <v>1.3272879474894494</v>
      </c>
    </row>
    <row r="23" spans="1:9" x14ac:dyDescent="0.3">
      <c r="A23" t="s">
        <v>3</v>
      </c>
      <c r="B23" s="2" t="s">
        <v>7</v>
      </c>
      <c r="C23" s="10">
        <v>0.66800000000000004</v>
      </c>
      <c r="D23" s="10">
        <v>0.65</v>
      </c>
      <c r="E23" s="10">
        <f t="shared" si="5"/>
        <v>1.8000000000000016E-2</v>
      </c>
      <c r="F23" s="10"/>
      <c r="G23" s="10">
        <v>0.54645280140914199</v>
      </c>
      <c r="H23" s="10">
        <v>0.59874691911411348</v>
      </c>
      <c r="I23" s="10">
        <f t="shared" si="6"/>
        <v>1.0956974098588574</v>
      </c>
    </row>
    <row r="24" spans="1:9" x14ac:dyDescent="0.3">
      <c r="A24" t="s">
        <v>19</v>
      </c>
      <c r="B24" s="2" t="s">
        <v>8</v>
      </c>
      <c r="C24" s="10">
        <v>0.83799999999999997</v>
      </c>
      <c r="D24" s="10">
        <v>0.81599999999999995</v>
      </c>
      <c r="E24" s="10">
        <f t="shared" si="5"/>
        <v>2.200000000000002E-2</v>
      </c>
      <c r="F24" s="10"/>
      <c r="G24" s="10">
        <v>0.12897038129696001</v>
      </c>
      <c r="H24" s="10">
        <v>0.19662352672783301</v>
      </c>
      <c r="I24" s="10">
        <f t="shared" si="6"/>
        <v>1.5245634288317613</v>
      </c>
    </row>
    <row r="25" spans="1:9" x14ac:dyDescent="0.3">
      <c r="A25" t="s">
        <v>18</v>
      </c>
      <c r="B25" s="2" t="s">
        <v>9</v>
      </c>
      <c r="C25" s="10">
        <v>0.85699999999999998</v>
      </c>
      <c r="D25" s="10">
        <v>0.88600000000000001</v>
      </c>
      <c r="E25" s="10">
        <f t="shared" si="5"/>
        <v>-2.9000000000000026E-2</v>
      </c>
      <c r="F25" s="10"/>
      <c r="G25" s="10">
        <v>0.10925714146527399</v>
      </c>
      <c r="H25" s="10">
        <v>0.11372892225388301</v>
      </c>
      <c r="I25" s="10">
        <f t="shared" si="6"/>
        <v>1.0409289564840969</v>
      </c>
    </row>
    <row r="26" spans="1:9" x14ac:dyDescent="0.3">
      <c r="A26" t="s">
        <v>20</v>
      </c>
      <c r="B26" s="2" t="s">
        <v>10</v>
      </c>
      <c r="C26" s="10">
        <v>0.74199999999999999</v>
      </c>
      <c r="D26" s="10">
        <v>0.71499999999999997</v>
      </c>
      <c r="E26" s="10">
        <f t="shared" si="5"/>
        <v>2.7000000000000024E-2</v>
      </c>
      <c r="F26" s="10"/>
      <c r="G26" s="10">
        <v>0.34108284917889597</v>
      </c>
      <c r="H26" s="10">
        <v>0.376877651256252</v>
      </c>
      <c r="I26" s="10">
        <f t="shared" si="6"/>
        <v>1.1049445967849936</v>
      </c>
    </row>
    <row r="27" spans="1:9" x14ac:dyDescent="0.3">
      <c r="A27" t="s">
        <v>21</v>
      </c>
      <c r="B27" s="2" t="s">
        <v>11</v>
      </c>
      <c r="C27" s="10">
        <v>0.873</v>
      </c>
      <c r="D27" s="10">
        <v>0.82699999999999996</v>
      </c>
      <c r="E27" s="10">
        <f t="shared" si="5"/>
        <v>4.6000000000000041E-2</v>
      </c>
      <c r="F27" s="10"/>
      <c r="G27" s="10">
        <v>8.6647806725672197E-2</v>
      </c>
      <c r="H27" s="10">
        <v>0.12669765304595801</v>
      </c>
      <c r="I27" s="10">
        <f t="shared" si="6"/>
        <v>1.4622141959932582</v>
      </c>
    </row>
    <row r="28" spans="1:9" x14ac:dyDescent="0.3">
      <c r="A28" t="s">
        <v>22</v>
      </c>
      <c r="B28" s="2" t="s">
        <v>12</v>
      </c>
      <c r="C28" s="10">
        <v>0.79500000000000004</v>
      </c>
      <c r="D28" s="10">
        <v>0.75600000000000001</v>
      </c>
      <c r="E28" s="10">
        <f t="shared" si="5"/>
        <v>3.9000000000000035E-2</v>
      </c>
      <c r="F28" s="10"/>
      <c r="G28" s="10">
        <v>0.2376230736302605</v>
      </c>
      <c r="H28" s="10">
        <v>0.327116141697188</v>
      </c>
      <c r="I28" s="10">
        <f t="shared" si="6"/>
        <v>1.376617753064578</v>
      </c>
    </row>
    <row r="29" spans="1:9" x14ac:dyDescent="0.3">
      <c r="A29" t="s">
        <v>23</v>
      </c>
      <c r="B29" s="2" t="s">
        <v>13</v>
      </c>
      <c r="C29" s="10">
        <v>0.70699999999999996</v>
      </c>
      <c r="D29" s="10">
        <v>0.72599999999999998</v>
      </c>
      <c r="E29" s="10">
        <f t="shared" si="5"/>
        <v>-1.9000000000000017E-2</v>
      </c>
      <c r="F29" s="10"/>
      <c r="G29" s="10">
        <v>0.42312004334688502</v>
      </c>
      <c r="H29" s="10">
        <v>0.43928075753207396</v>
      </c>
      <c r="I29" s="10">
        <f t="shared" si="6"/>
        <v>1.0381941589373962</v>
      </c>
    </row>
    <row r="30" spans="1:9" x14ac:dyDescent="0.3">
      <c r="A30" t="s">
        <v>24</v>
      </c>
      <c r="B30" s="2" t="s">
        <v>14</v>
      </c>
      <c r="C30" s="10">
        <v>0.90500000000000003</v>
      </c>
      <c r="D30" s="10">
        <v>0.878</v>
      </c>
      <c r="E30" s="10">
        <f t="shared" si="5"/>
        <v>2.7000000000000024E-2</v>
      </c>
      <c r="F30" s="10"/>
      <c r="G30" s="10">
        <v>5.5512709930258801E-2</v>
      </c>
      <c r="H30" s="10">
        <v>7.8502374405082356E-2</v>
      </c>
      <c r="I30" s="10">
        <f t="shared" si="6"/>
        <v>1.4141333489881094</v>
      </c>
    </row>
    <row r="31" spans="1:9" x14ac:dyDescent="0.3">
      <c r="A31" t="s">
        <v>25</v>
      </c>
      <c r="B31" s="2" t="s">
        <v>15</v>
      </c>
      <c r="C31" s="10">
        <v>0.85599999999999998</v>
      </c>
      <c r="D31" s="10">
        <v>0.83799999999999997</v>
      </c>
      <c r="E31" s="10">
        <f t="shared" si="5"/>
        <v>1.8000000000000016E-2</v>
      </c>
      <c r="F31" s="10"/>
      <c r="G31" s="10">
        <v>0.12613043801065199</v>
      </c>
      <c r="H31" s="10">
        <v>0.15665381004537701</v>
      </c>
      <c r="I31" s="10">
        <f t="shared" si="6"/>
        <v>1.2419984621963118</v>
      </c>
    </row>
    <row r="32" spans="1:9" x14ac:dyDescent="0.3">
      <c r="A32" t="s">
        <v>26</v>
      </c>
      <c r="B32" s="2" t="s">
        <v>16</v>
      </c>
      <c r="C32" s="10">
        <v>0.80200000000000005</v>
      </c>
      <c r="D32" s="10">
        <v>0.76500000000000001</v>
      </c>
      <c r="E32" s="10">
        <f t="shared" si="5"/>
        <v>3.7000000000000033E-2</v>
      </c>
      <c r="F32" s="10"/>
      <c r="G32" s="10">
        <v>0.20456791849881351</v>
      </c>
      <c r="H32" s="10">
        <v>0.23572313467537298</v>
      </c>
      <c r="I32" s="10">
        <f t="shared" si="6"/>
        <v>1.1522976642925571</v>
      </c>
    </row>
    <row r="33" spans="1:9" x14ac:dyDescent="0.3">
      <c r="A33" s="12" t="s">
        <v>17</v>
      </c>
      <c r="B33" s="4" t="s">
        <v>17</v>
      </c>
      <c r="C33" s="10">
        <v>0.51700000000000002</v>
      </c>
      <c r="D33" s="10">
        <v>0.51700000000000002</v>
      </c>
      <c r="E33" s="10">
        <f t="shared" si="5"/>
        <v>0</v>
      </c>
      <c r="F33" s="10"/>
      <c r="G33" s="10">
        <v>0.68915515929040805</v>
      </c>
      <c r="H33" s="10">
        <v>0.68915515929040805</v>
      </c>
      <c r="I33" s="10">
        <f t="shared" si="6"/>
        <v>1</v>
      </c>
    </row>
    <row r="34" spans="1:9" x14ac:dyDescent="0.3">
      <c r="A34" s="15" t="s">
        <v>49</v>
      </c>
      <c r="B34" s="15"/>
      <c r="C34" s="14">
        <f>AVERAGE(C21:C32)</f>
        <v>0.80958333333333332</v>
      </c>
      <c r="D34" s="14">
        <f t="shared" ref="D34:E34" si="7">AVERAGE(D21:D32)</f>
        <v>0.78841666666666665</v>
      </c>
      <c r="E34" s="14">
        <f t="shared" si="7"/>
        <v>2.1166666666666684E-2</v>
      </c>
      <c r="F34" s="10"/>
      <c r="G34" s="14">
        <f t="shared" ref="G34:I34" si="8">AVERAGE(G21:G32)</f>
        <v>0.21730744649284639</v>
      </c>
      <c r="H34" s="14">
        <f t="shared" si="8"/>
        <v>0.26099396031421312</v>
      </c>
      <c r="I34" s="14">
        <f t="shared" si="8"/>
        <v>1.2814115079214174</v>
      </c>
    </row>
    <row r="35" spans="1:9" x14ac:dyDescent="0.3">
      <c r="A35" s="15" t="s">
        <v>52</v>
      </c>
      <c r="B35" s="15"/>
      <c r="C35" s="14">
        <f>2*_xlfn.STDEV.S(C21:C32)/SQRT(COUNT(C21:C32))</f>
        <v>4.3719809207860422E-2</v>
      </c>
      <c r="D35" s="14">
        <f t="shared" ref="D35:E35" si="9">2*_xlfn.STDEV.S(D21:D32)/SQRT(COUNT(D21:D32))</f>
        <v>4.2593539368777467E-2</v>
      </c>
      <c r="E35" s="14">
        <f t="shared" si="9"/>
        <v>1.3202004745224476E-2</v>
      </c>
      <c r="F35" s="10"/>
      <c r="G35" s="14">
        <f>2*_xlfn.STDEV.S(G21:G32)/SQRT(COUNT(G21:G32))</f>
        <v>8.9102691881082607E-2</v>
      </c>
      <c r="H35" s="14">
        <f t="shared" ref="H35:I35" si="10">2*_xlfn.STDEV.S(H21:H32)/SQRT(COUNT(H21:H32))</f>
        <v>9.2837029273716357E-2</v>
      </c>
      <c r="I35" s="14">
        <f t="shared" si="10"/>
        <v>0.11304375865669178</v>
      </c>
    </row>
    <row r="37" spans="1:9" x14ac:dyDescent="0.3">
      <c r="A37" s="15" t="s">
        <v>54</v>
      </c>
      <c r="B37" s="15"/>
      <c r="C37" s="15"/>
      <c r="D37" s="15"/>
      <c r="E37" s="15"/>
      <c r="F37" s="15"/>
      <c r="G37" s="15"/>
      <c r="H37" s="15"/>
      <c r="I37" s="15"/>
    </row>
    <row r="38" spans="1:9" x14ac:dyDescent="0.3">
      <c r="A38" s="6" t="s">
        <v>0</v>
      </c>
      <c r="B38" s="3" t="s">
        <v>4</v>
      </c>
      <c r="C38" s="5" t="s">
        <v>56</v>
      </c>
      <c r="D38" s="5" t="s">
        <v>57</v>
      </c>
      <c r="E38" s="13" t="s">
        <v>50</v>
      </c>
      <c r="F38" s="13"/>
      <c r="G38" s="1" t="s">
        <v>58</v>
      </c>
      <c r="H38" s="1" t="s">
        <v>59</v>
      </c>
      <c r="I38" s="1" t="s">
        <v>51</v>
      </c>
    </row>
    <row r="39" spans="1:9" x14ac:dyDescent="0.3">
      <c r="A39" t="s">
        <v>1</v>
      </c>
      <c r="B39" s="2" t="s">
        <v>5</v>
      </c>
      <c r="C39" s="10">
        <v>0.96499999999999997</v>
      </c>
      <c r="D39" s="10">
        <v>0.97099999999999997</v>
      </c>
      <c r="E39" s="10">
        <f>C39-D39</f>
        <v>-6.0000000000000053E-3</v>
      </c>
      <c r="F39" s="10"/>
      <c r="G39" s="10">
        <v>1.1060947359424899E-2</v>
      </c>
      <c r="H39" s="10">
        <v>1.6129381929883599E-2</v>
      </c>
      <c r="I39" s="10">
        <f>H39/G39</f>
        <v>1.458227890049576</v>
      </c>
    </row>
    <row r="40" spans="1:9" x14ac:dyDescent="0.3">
      <c r="A40" t="s">
        <v>2</v>
      </c>
      <c r="B40" s="2" t="s">
        <v>6</v>
      </c>
      <c r="C40" s="10">
        <v>0.92400000000000004</v>
      </c>
      <c r="D40" s="10">
        <v>0.93200000000000005</v>
      </c>
      <c r="E40" s="10">
        <f t="shared" ref="E40:E51" si="11">C40-D40</f>
        <v>-8.0000000000000071E-3</v>
      </c>
      <c r="F40" s="10"/>
      <c r="G40" s="10">
        <v>3.3556783528842803E-2</v>
      </c>
      <c r="H40" s="10">
        <v>5.0241216436746797E-2</v>
      </c>
      <c r="I40" s="10">
        <f t="shared" ref="I40:I51" si="12">H40/G40</f>
        <v>1.4972000040934601</v>
      </c>
    </row>
    <row r="41" spans="1:9" x14ac:dyDescent="0.3">
      <c r="A41" t="s">
        <v>3</v>
      </c>
      <c r="B41" s="2" t="s">
        <v>7</v>
      </c>
      <c r="C41" s="10">
        <v>0.875</v>
      </c>
      <c r="D41" s="10">
        <v>0.86299999999999999</v>
      </c>
      <c r="E41" s="10">
        <f t="shared" si="11"/>
        <v>1.2000000000000011E-2</v>
      </c>
      <c r="F41" s="10"/>
      <c r="G41" s="10">
        <v>8.2295242726830198E-2</v>
      </c>
      <c r="H41" s="10">
        <v>0.121038328377056</v>
      </c>
      <c r="I41" s="10">
        <f t="shared" si="12"/>
        <v>1.4707815952233001</v>
      </c>
    </row>
    <row r="42" spans="1:9" x14ac:dyDescent="0.3">
      <c r="A42" t="s">
        <v>19</v>
      </c>
      <c r="B42" s="2" t="s">
        <v>8</v>
      </c>
      <c r="C42" s="10">
        <v>0.94799999999999995</v>
      </c>
      <c r="D42" s="10">
        <v>0.93200000000000005</v>
      </c>
      <c r="E42" s="10">
        <f t="shared" si="11"/>
        <v>1.5999999999999903E-2</v>
      </c>
      <c r="F42" s="10"/>
      <c r="G42" s="10">
        <v>2.8399474521698002E-2</v>
      </c>
      <c r="H42" s="10">
        <v>3.3556783528842803E-2</v>
      </c>
      <c r="I42" s="10">
        <f t="shared" si="12"/>
        <v>1.181598747653041</v>
      </c>
    </row>
    <row r="43" spans="1:9" x14ac:dyDescent="0.3">
      <c r="A43" t="s">
        <v>18</v>
      </c>
      <c r="B43" s="2" t="s">
        <v>9</v>
      </c>
      <c r="C43" s="10">
        <v>0.93799999999999994</v>
      </c>
      <c r="D43" s="10">
        <v>0.93400000000000005</v>
      </c>
      <c r="E43" s="10">
        <f t="shared" si="11"/>
        <v>3.9999999999998925E-3</v>
      </c>
      <c r="F43" s="10"/>
      <c r="G43" s="10">
        <v>3.0459207484708602E-2</v>
      </c>
      <c r="H43" s="10">
        <v>3.4591444769619097E-2</v>
      </c>
      <c r="I43" s="10">
        <f t="shared" si="12"/>
        <v>1.1356646356273385</v>
      </c>
    </row>
    <row r="44" spans="1:9" x14ac:dyDescent="0.3">
      <c r="A44" t="s">
        <v>20</v>
      </c>
      <c r="B44" s="2" t="s">
        <v>10</v>
      </c>
      <c r="C44" s="10">
        <v>0.92500000000000004</v>
      </c>
      <c r="D44" s="10">
        <v>0.89500000000000002</v>
      </c>
      <c r="E44" s="10">
        <f t="shared" si="11"/>
        <v>3.0000000000000027E-2</v>
      </c>
      <c r="F44" s="10"/>
      <c r="G44" s="10">
        <v>5.2346480372209202E-2</v>
      </c>
      <c r="H44" s="10">
        <v>7.1496001705069895E-2</v>
      </c>
      <c r="I44" s="10">
        <f t="shared" si="12"/>
        <v>1.3658225194262954</v>
      </c>
    </row>
    <row r="45" spans="1:9" x14ac:dyDescent="0.3">
      <c r="A45" t="s">
        <v>21</v>
      </c>
      <c r="B45" s="2" t="s">
        <v>11</v>
      </c>
      <c r="C45" s="10">
        <v>0.97699999999999998</v>
      </c>
      <c r="D45" s="10">
        <v>0.96</v>
      </c>
      <c r="E45" s="10">
        <f t="shared" si="11"/>
        <v>1.7000000000000015E-2</v>
      </c>
      <c r="F45" s="10"/>
      <c r="G45" s="10">
        <v>9.0407446521490707E-3</v>
      </c>
      <c r="H45" s="10">
        <v>1.51136378100482E-2</v>
      </c>
      <c r="I45" s="10">
        <f t="shared" si="12"/>
        <v>1.6717248845708239</v>
      </c>
    </row>
    <row r="46" spans="1:9" x14ac:dyDescent="0.3">
      <c r="A46" t="s">
        <v>22</v>
      </c>
      <c r="B46" s="2" t="s">
        <v>12</v>
      </c>
      <c r="C46" s="10">
        <v>0.92400000000000004</v>
      </c>
      <c r="D46" s="10">
        <v>0.91900000000000004</v>
      </c>
      <c r="E46" s="10">
        <f t="shared" si="11"/>
        <v>5.0000000000000044E-3</v>
      </c>
      <c r="F46" s="10"/>
      <c r="G46" s="10">
        <v>3.6663984371591497E-2</v>
      </c>
      <c r="H46" s="10">
        <v>4.1864204098698898E-2</v>
      </c>
      <c r="I46" s="10">
        <f t="shared" si="12"/>
        <v>1.1418345500697056</v>
      </c>
    </row>
    <row r="47" spans="1:9" x14ac:dyDescent="0.3">
      <c r="A47" t="s">
        <v>23</v>
      </c>
      <c r="B47" s="2" t="s">
        <v>13</v>
      </c>
      <c r="C47" s="10">
        <v>0.873</v>
      </c>
      <c r="D47" s="10">
        <v>0.86</v>
      </c>
      <c r="E47" s="10">
        <f t="shared" si="11"/>
        <v>1.3000000000000012E-2</v>
      </c>
      <c r="F47" s="10"/>
      <c r="G47" s="10">
        <v>8.2295242726830198E-2</v>
      </c>
      <c r="H47" s="10">
        <v>9.4310679471241304E-2</v>
      </c>
      <c r="I47" s="10">
        <f t="shared" si="12"/>
        <v>1.1460040258255875</v>
      </c>
    </row>
    <row r="48" spans="1:9" x14ac:dyDescent="0.3">
      <c r="A48" t="s">
        <v>24</v>
      </c>
      <c r="B48" s="2" t="s">
        <v>14</v>
      </c>
      <c r="C48" s="10">
        <v>0.95599999999999996</v>
      </c>
      <c r="D48" s="10">
        <v>0.95699999999999996</v>
      </c>
      <c r="E48" s="10">
        <f t="shared" si="11"/>
        <v>-1.0000000000000009E-3</v>
      </c>
      <c r="F48" s="10"/>
      <c r="G48" s="10">
        <v>1.20725812342692E-2</v>
      </c>
      <c r="H48" s="10">
        <v>1.4098924379501601E-2</v>
      </c>
      <c r="I48" s="10">
        <f t="shared" si="12"/>
        <v>1.1678467186023507</v>
      </c>
    </row>
    <row r="49" spans="1:9" x14ac:dyDescent="0.3">
      <c r="A49" t="s">
        <v>25</v>
      </c>
      <c r="B49" s="2" t="s">
        <v>15</v>
      </c>
      <c r="C49" s="10">
        <v>0.93600000000000005</v>
      </c>
      <c r="D49" s="10">
        <v>0.92800000000000005</v>
      </c>
      <c r="E49" s="10">
        <f t="shared" si="11"/>
        <v>8.0000000000000071E-3</v>
      </c>
      <c r="F49" s="10"/>
      <c r="G49" s="10">
        <v>2.6343975339602001E-2</v>
      </c>
      <c r="H49" s="10">
        <v>3.7182925777801495E-2</v>
      </c>
      <c r="I49" s="10">
        <f t="shared" si="12"/>
        <v>1.4114394391307248</v>
      </c>
    </row>
    <row r="50" spans="1:9" x14ac:dyDescent="0.3">
      <c r="A50" t="s">
        <v>26</v>
      </c>
      <c r="B50" s="2" t="s">
        <v>16</v>
      </c>
      <c r="C50" s="10">
        <v>0.92600000000000005</v>
      </c>
      <c r="D50" s="10">
        <v>0.89400000000000002</v>
      </c>
      <c r="E50" s="10">
        <f t="shared" si="11"/>
        <v>3.2000000000000028E-2</v>
      </c>
      <c r="F50" s="10"/>
      <c r="G50" s="10">
        <v>4.0301432266049902E-2</v>
      </c>
      <c r="H50" s="10">
        <v>4.7091607533850603E-2</v>
      </c>
      <c r="I50" s="10">
        <f t="shared" si="12"/>
        <v>1.1684847134706122</v>
      </c>
    </row>
    <row r="51" spans="1:9" x14ac:dyDescent="0.3">
      <c r="A51" s="12" t="s">
        <v>17</v>
      </c>
      <c r="B51" s="4" t="s">
        <v>17</v>
      </c>
      <c r="C51" s="10">
        <v>0.504</v>
      </c>
      <c r="D51" s="10">
        <v>0.504</v>
      </c>
      <c r="E51" s="10">
        <f t="shared" si="11"/>
        <v>0</v>
      </c>
      <c r="F51" s="10"/>
      <c r="G51" s="10">
        <v>0.69114917789727204</v>
      </c>
      <c r="H51" s="10">
        <v>0.69114917789727204</v>
      </c>
      <c r="I51" s="10">
        <f t="shared" si="12"/>
        <v>1</v>
      </c>
    </row>
    <row r="52" spans="1:9" x14ac:dyDescent="0.3">
      <c r="A52" s="15" t="s">
        <v>49</v>
      </c>
      <c r="B52" s="15"/>
      <c r="C52" s="14">
        <f>AVERAGE(C39:C50)</f>
        <v>0.93058333333333332</v>
      </c>
      <c r="D52" s="14">
        <f t="shared" ref="D52:E52" si="13">AVERAGE(D39:D50)</f>
        <v>0.92041666666666666</v>
      </c>
      <c r="E52" s="14">
        <f t="shared" si="13"/>
        <v>1.0166666666666657E-2</v>
      </c>
      <c r="F52" s="10"/>
      <c r="G52" s="14">
        <f t="shared" ref="G52:I52" si="14">AVERAGE(G39:G50)</f>
        <v>3.7069674715350463E-2</v>
      </c>
      <c r="H52" s="14">
        <f t="shared" si="14"/>
        <v>4.8059594651530028E-2</v>
      </c>
      <c r="I52" s="14">
        <f t="shared" si="14"/>
        <v>1.318052476978568</v>
      </c>
    </row>
    <row r="53" spans="1:9" x14ac:dyDescent="0.3">
      <c r="A53" s="15" t="s">
        <v>52</v>
      </c>
      <c r="B53" s="15"/>
      <c r="C53" s="14">
        <f>2*_xlfn.STDEV.S(C39:C50)/SQRT(COUNT(C39:C50))</f>
        <v>1.8188338477322669E-2</v>
      </c>
      <c r="D53" s="14">
        <f t="shared" ref="D53:E53" si="15">2*_xlfn.STDEV.S(D39:D50)/SQRT(COUNT(D39:D50))</f>
        <v>2.0792566173534428E-2</v>
      </c>
      <c r="E53" s="14">
        <f t="shared" si="15"/>
        <v>7.2773343993248014E-3</v>
      </c>
      <c r="F53" s="10"/>
      <c r="G53" s="14">
        <f>2*_xlfn.STDEV.S(G39:G50)/SQRT(COUNT(G39:G50))</f>
        <v>1.421466892586894E-2</v>
      </c>
      <c r="H53" s="14">
        <f t="shared" ref="H53:I53" si="16">2*_xlfn.STDEV.S(H39:H50)/SQRT(COUNT(H39:H50))</f>
        <v>1.8931078452209846E-2</v>
      </c>
      <c r="I53" s="14">
        <f t="shared" si="16"/>
        <v>0.10569067186933809</v>
      </c>
    </row>
  </sheetData>
  <mergeCells count="9">
    <mergeCell ref="A52:B52"/>
    <mergeCell ref="A53:B53"/>
    <mergeCell ref="A17:B17"/>
    <mergeCell ref="A16:B16"/>
    <mergeCell ref="A1:I1"/>
    <mergeCell ref="A19:I19"/>
    <mergeCell ref="A34:B34"/>
    <mergeCell ref="A35:B35"/>
    <mergeCell ref="A37:I37"/>
  </mergeCells>
  <conditionalFormatting sqref="C3:D15">
    <cfRule type="colorScale" priority="99">
      <colorScale>
        <cfvo type="min"/>
        <cfvo type="max"/>
        <color rgb="FFFFEF9C"/>
        <color rgb="FF63BE7B"/>
      </colorScale>
    </cfRule>
    <cfRule type="colorScale" priority="98">
      <colorScale>
        <cfvo type="min"/>
        <cfvo type="max"/>
        <color rgb="FFFFEF9C"/>
        <color rgb="FF63BE7B"/>
      </colorScale>
    </cfRule>
    <cfRule type="colorScale" priority="97">
      <colorScale>
        <cfvo type="min"/>
        <cfvo type="max"/>
        <color rgb="FFFFEF9C"/>
        <color rgb="FF63BE7B"/>
      </colorScale>
    </cfRule>
    <cfRule type="colorScale" priority="9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1:D33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C39:D51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5">
    <cfRule type="colorScale" priority="104">
      <colorScale>
        <cfvo type="min"/>
        <cfvo type="max"/>
        <color rgb="FFFFEF9C"/>
        <color rgb="FF63BE7B"/>
      </colorScale>
    </cfRule>
    <cfRule type="colorScale" priority="103">
      <colorScale>
        <cfvo type="min"/>
        <cfvo type="max"/>
        <color rgb="FFFFEF9C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2">
      <colorScale>
        <cfvo type="min"/>
        <cfvo type="max"/>
        <color rgb="FFFFEF9C"/>
        <color rgb="FF63BE7B"/>
      </colorScale>
    </cfRule>
    <cfRule type="colorScale" priority="10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1:F33">
    <cfRule type="colorScale" priority="29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8">
      <colorScale>
        <cfvo type="min"/>
        <cfvo type="max"/>
        <color rgb="FFFFEF9C"/>
        <color rgb="FF63BE7B"/>
      </colorScale>
    </cfRule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F39:F51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G3:H15">
    <cfRule type="colorScale" priority="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H33">
    <cfRule type="colorScale" priority="1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G39:H51">
    <cfRule type="colorScale" priority="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num" val="0.6929999999999999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C16:I16 C34:I34 C52:I52 F17 C17:E17 G17 H17:I17 C35 F35 D35:E35 G35:I35 C53:D53 F53 G53:H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comparison_rates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Kevin Surya</cp:lastModifiedBy>
  <dcterms:created xsi:type="dcterms:W3CDTF">2015-06-05T18:17:20Z</dcterms:created>
  <dcterms:modified xsi:type="dcterms:W3CDTF">2026-03-12T18:27:37Z</dcterms:modified>
</cp:coreProperties>
</file>