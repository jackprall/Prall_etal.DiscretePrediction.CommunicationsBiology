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adik\My Drive\Operation\chiyuki\Prall_etal.DiscretePrediction.CommunicationsBiology\4_results_excel\"/>
    </mc:Choice>
  </mc:AlternateContent>
  <xr:revisionPtr revIDLastSave="0" documentId="13_ncr:1_{4B986A5A-6229-43E3-B5E5-9E7F44442D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a" sheetId="2" r:id="rId1"/>
    <sheet name="summary" sheetId="3" r:id="rId2"/>
    <sheet name="DEP3.L" sheetId="44" r:id="rId3"/>
    <sheet name="DEP3.M" sheetId="45" r:id="rId4"/>
    <sheet name="DEP3.H" sheetId="4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4" i="44" l="1"/>
  <c r="E618" i="44"/>
  <c r="E933" i="44"/>
  <c r="E747" i="44"/>
  <c r="E649" i="44"/>
  <c r="E67" i="44"/>
  <c r="E442" i="44"/>
  <c r="E709" i="44"/>
  <c r="E234" i="44"/>
  <c r="E946" i="44"/>
  <c r="E886" i="44"/>
  <c r="E340" i="44"/>
  <c r="E724" i="44"/>
  <c r="E258" i="44"/>
  <c r="E560" i="44"/>
  <c r="E10" i="44"/>
  <c r="E404" i="44"/>
  <c r="E973" i="44"/>
  <c r="E236" i="44"/>
  <c r="E480" i="44"/>
  <c r="E177" i="44"/>
  <c r="E824" i="44"/>
  <c r="E29" i="44"/>
  <c r="E91" i="44"/>
  <c r="E72" i="44"/>
  <c r="E2" i="44"/>
  <c r="E630" i="44"/>
  <c r="E422" i="44"/>
  <c r="E963" i="44"/>
  <c r="E311" i="44"/>
  <c r="E256" i="44"/>
  <c r="E460" i="44"/>
  <c r="E137" i="44"/>
  <c r="E889" i="44"/>
  <c r="E128" i="44"/>
  <c r="E784" i="44"/>
  <c r="E806" i="44"/>
  <c r="E673" i="44"/>
  <c r="E957" i="44"/>
  <c r="E955" i="44"/>
  <c r="E417" i="44"/>
  <c r="E315" i="44"/>
  <c r="E809" i="44"/>
  <c r="E965" i="44"/>
  <c r="E619" i="44"/>
  <c r="E406" i="44"/>
  <c r="E989" i="44"/>
  <c r="E165" i="44"/>
  <c r="E373" i="44"/>
  <c r="E244" i="44"/>
  <c r="E697" i="44"/>
  <c r="E93" i="44"/>
  <c r="E410" i="44"/>
  <c r="E950" i="44"/>
  <c r="E823" i="44"/>
  <c r="E733" i="44"/>
  <c r="E500" i="44"/>
  <c r="E241" i="44"/>
  <c r="E414" i="44"/>
  <c r="E15" i="44"/>
  <c r="E336" i="44"/>
  <c r="E924" i="44"/>
  <c r="E131" i="44"/>
  <c r="E174" i="44"/>
  <c r="E76" i="44"/>
  <c r="E173" i="44"/>
  <c r="E917" i="44"/>
  <c r="E626" i="44"/>
  <c r="E48" i="44"/>
  <c r="E237" i="44"/>
  <c r="E937" i="44"/>
  <c r="E609" i="44"/>
  <c r="E447" i="44"/>
  <c r="E130" i="44"/>
  <c r="E318" i="44"/>
  <c r="E360" i="44"/>
  <c r="E941" i="44"/>
  <c r="E273" i="44"/>
  <c r="E465" i="44"/>
  <c r="E895" i="44"/>
  <c r="E879" i="44"/>
  <c r="E291" i="44"/>
  <c r="E51" i="44"/>
  <c r="E186" i="44"/>
  <c r="E441" i="44"/>
  <c r="E341" i="44"/>
  <c r="E715" i="44"/>
  <c r="E707" i="44"/>
  <c r="E725" i="44"/>
  <c r="E193" i="44"/>
  <c r="E22" i="44"/>
  <c r="E674" i="44"/>
  <c r="E63" i="44"/>
  <c r="E9" i="44"/>
  <c r="E461" i="44"/>
  <c r="E226" i="44"/>
  <c r="E885" i="44"/>
  <c r="E216" i="44"/>
  <c r="E487" i="44"/>
  <c r="E319" i="44"/>
  <c r="E335" i="44"/>
  <c r="E484" i="44"/>
  <c r="E847" i="44"/>
  <c r="E993" i="44"/>
  <c r="E344" i="44"/>
  <c r="E289" i="44"/>
  <c r="E904" i="44"/>
  <c r="E576" i="44"/>
  <c r="E842" i="44"/>
  <c r="E620" i="44"/>
  <c r="E990" i="44"/>
  <c r="E288" i="44"/>
  <c r="E515" i="44"/>
  <c r="E687" i="44"/>
  <c r="E742" i="44"/>
  <c r="E561" i="44"/>
  <c r="E555" i="44"/>
  <c r="E718" i="44"/>
  <c r="E513" i="44"/>
  <c r="E175" i="44"/>
  <c r="E514" i="44"/>
  <c r="E124" i="44"/>
  <c r="E191" i="44"/>
  <c r="E33" i="44"/>
  <c r="E897" i="44"/>
  <c r="E721" i="44"/>
  <c r="E952" i="44"/>
  <c r="E464" i="44"/>
  <c r="E756" i="44"/>
  <c r="E163" i="44"/>
  <c r="E572" i="44"/>
  <c r="E603" i="44"/>
  <c r="E78" i="44"/>
  <c r="E495" i="44"/>
  <c r="E589" i="44"/>
  <c r="E66" i="44"/>
  <c r="E355" i="44"/>
  <c r="E780" i="44"/>
  <c r="E698" i="44"/>
  <c r="E421" i="44"/>
  <c r="E190" i="44"/>
  <c r="E242" i="44"/>
  <c r="E818" i="44"/>
  <c r="E69" i="44"/>
  <c r="E103" i="44"/>
  <c r="E551" i="44"/>
  <c r="E420" i="44"/>
  <c r="E980" i="44"/>
  <c r="E907" i="44"/>
  <c r="E892" i="44"/>
  <c r="E871" i="44"/>
  <c r="E102" i="44"/>
  <c r="E268" i="44"/>
  <c r="E583" i="44"/>
  <c r="E61" i="44"/>
  <c r="E481" i="44"/>
  <c r="E370" i="44"/>
  <c r="E978" i="44"/>
  <c r="E38" i="44"/>
  <c r="E793" i="44"/>
  <c r="E363" i="44"/>
  <c r="E490" i="44"/>
  <c r="E817" i="44"/>
  <c r="E105" i="44"/>
  <c r="E631" i="44"/>
  <c r="E506" i="44"/>
  <c r="E929" i="44"/>
  <c r="E633" i="44"/>
  <c r="E148" i="44"/>
  <c r="E416" i="44"/>
  <c r="E552" i="44"/>
  <c r="E591" i="44"/>
  <c r="E116" i="44"/>
  <c r="E682" i="44"/>
  <c r="E227" i="44"/>
  <c r="E383" i="44"/>
  <c r="E357" i="44"/>
  <c r="E590" i="44"/>
  <c r="E541" i="44"/>
  <c r="E351" i="44"/>
  <c r="E32" i="44"/>
  <c r="E467" i="44"/>
  <c r="E971" i="44"/>
  <c r="E26" i="44"/>
  <c r="E187" i="44"/>
  <c r="E392" i="44"/>
  <c r="E539" i="44"/>
  <c r="E695" i="44"/>
  <c r="E700" i="44"/>
  <c r="E155" i="44"/>
  <c r="E200" i="44"/>
  <c r="E970" i="44"/>
  <c r="E385" i="44"/>
  <c r="E570" i="44"/>
  <c r="E708" i="44"/>
  <c r="E794" i="44"/>
  <c r="E144" i="44"/>
  <c r="E902" i="44"/>
  <c r="E888" i="44"/>
  <c r="E486" i="44"/>
  <c r="E37" i="44"/>
  <c r="E107" i="44"/>
  <c r="E347" i="44"/>
  <c r="E215" i="44"/>
  <c r="E985" i="44"/>
  <c r="E44" i="44"/>
  <c r="E496" i="44"/>
  <c r="E235" i="44"/>
  <c r="E321" i="44"/>
  <c r="E953" i="44"/>
  <c r="E19" i="44"/>
  <c r="E746" i="44"/>
  <c r="E942" i="44"/>
  <c r="E597" i="44"/>
  <c r="E594" i="44"/>
  <c r="E654" i="44"/>
  <c r="E958" i="44"/>
  <c r="E861" i="44"/>
  <c r="E121" i="44"/>
  <c r="E779" i="44"/>
  <c r="E296" i="44"/>
  <c r="E573" i="44"/>
  <c r="E653" i="44"/>
  <c r="E972" i="44"/>
  <c r="E120" i="44"/>
  <c r="E98" i="44"/>
  <c r="E73" i="44"/>
  <c r="E331" i="44"/>
  <c r="E545" i="44"/>
  <c r="E843" i="44"/>
  <c r="E821" i="44"/>
  <c r="E264" i="44"/>
  <c r="E831" i="44"/>
  <c r="E799" i="44"/>
  <c r="E855" i="44"/>
  <c r="E517" i="44"/>
  <c r="E703" i="44"/>
  <c r="E681" i="44"/>
  <c r="E639" i="44"/>
  <c r="E428" i="44"/>
  <c r="E54" i="44"/>
  <c r="E106" i="44"/>
  <c r="E412" i="44"/>
  <c r="E415" i="44"/>
  <c r="E893" i="44"/>
  <c r="E849" i="44"/>
  <c r="E912" i="44"/>
  <c r="E176" i="44"/>
  <c r="E185" i="44"/>
  <c r="E407" i="44"/>
  <c r="E741" i="44"/>
  <c r="E451" i="44"/>
  <c r="E509" i="44"/>
  <c r="E411" i="44"/>
  <c r="E730" i="44"/>
  <c r="E147" i="44"/>
  <c r="E987" i="44"/>
  <c r="E520" i="44"/>
  <c r="E435" i="44"/>
  <c r="E735" i="44"/>
  <c r="E947" i="44"/>
  <c r="E25" i="44"/>
  <c r="E457" i="44"/>
  <c r="E677" i="44"/>
  <c r="E418" i="44"/>
  <c r="E777" i="44"/>
  <c r="E587" i="44"/>
  <c r="E309" i="44"/>
  <c r="E477" i="44"/>
  <c r="E872" i="44"/>
  <c r="E95" i="44"/>
  <c r="E655" i="44"/>
  <c r="E281" i="44"/>
  <c r="E369" i="44"/>
  <c r="E220" i="44"/>
  <c r="E443" i="44"/>
  <c r="E734" i="44"/>
  <c r="E354" i="44"/>
  <c r="E436" i="44"/>
  <c r="E891" i="44"/>
  <c r="E581" i="44"/>
  <c r="E651" i="44"/>
  <c r="E613" i="44"/>
  <c r="E64" i="44"/>
  <c r="E528" i="44"/>
  <c r="E553" i="44"/>
  <c r="E519" i="44"/>
  <c r="E994" i="44"/>
  <c r="E919" i="44"/>
  <c r="E40" i="44"/>
  <c r="E267" i="44"/>
  <c r="E981" i="44"/>
  <c r="E250" i="44"/>
  <c r="E795" i="44"/>
  <c r="E582" i="44"/>
  <c r="E722" i="44"/>
  <c r="E214" i="44"/>
  <c r="E731" i="44"/>
  <c r="E65" i="44"/>
  <c r="E750" i="44"/>
  <c r="E88" i="44"/>
  <c r="E574" i="44"/>
  <c r="E927" i="44"/>
  <c r="E979" i="44"/>
  <c r="E74" i="44"/>
  <c r="E752" i="44"/>
  <c r="E138" i="44"/>
  <c r="E194" i="44"/>
  <c r="E374" i="44"/>
  <c r="E543" i="44"/>
  <c r="E314" i="44"/>
  <c r="E101" i="44"/>
  <c r="E604" i="44"/>
  <c r="E372" i="44"/>
  <c r="E56" i="44"/>
  <c r="E913" i="44"/>
  <c r="E81" i="44"/>
  <c r="E988" i="44"/>
  <c r="E27" i="44"/>
  <c r="E643" i="44"/>
  <c r="E523" i="44"/>
  <c r="E680" i="44"/>
  <c r="E909" i="44"/>
  <c r="E521" i="44"/>
  <c r="E632" i="44"/>
  <c r="E112" i="44"/>
  <c r="E905" i="44"/>
  <c r="E586" i="44"/>
  <c r="E39" i="44"/>
  <c r="E644" i="44"/>
  <c r="E693" i="44"/>
  <c r="E366" i="44"/>
  <c r="E566" i="44"/>
  <c r="E219" i="44"/>
  <c r="E683" i="44"/>
  <c r="E554" i="44"/>
  <c r="E922" i="44"/>
  <c r="E908" i="44"/>
  <c r="E645" i="44"/>
  <c r="E71" i="44"/>
  <c r="E579" i="44"/>
  <c r="E162" i="44"/>
  <c r="E841" i="44"/>
  <c r="E757" i="44"/>
  <c r="E453" i="44"/>
  <c r="E926" i="44"/>
  <c r="E916" i="44"/>
  <c r="E41" i="44"/>
  <c r="E181" i="44"/>
  <c r="E880" i="44"/>
  <c r="E646" i="44"/>
  <c r="E964" i="44"/>
  <c r="E668" i="44"/>
  <c r="E706" i="44"/>
  <c r="E998" i="44"/>
  <c r="E743" i="44"/>
  <c r="E305" i="44"/>
  <c r="E239" i="44"/>
  <c r="E991" i="44"/>
  <c r="E921" i="44"/>
  <c r="E210" i="44"/>
  <c r="E108" i="44"/>
  <c r="E565" i="44"/>
  <c r="E269" i="44"/>
  <c r="E270" i="44"/>
  <c r="E976" i="44"/>
  <c r="E999" i="44"/>
  <c r="E472" i="44"/>
  <c r="E753" i="44"/>
  <c r="E299" i="44"/>
  <c r="E132" i="44"/>
  <c r="E110" i="44"/>
  <c r="E669" i="44"/>
  <c r="E869" i="44"/>
  <c r="E476" i="44"/>
  <c r="E212" i="44"/>
  <c r="E558" i="44"/>
  <c r="E714" i="44"/>
  <c r="E518" i="44"/>
  <c r="E767" i="44"/>
  <c r="E567" i="44"/>
  <c r="E811" i="44"/>
  <c r="E508" i="44"/>
  <c r="E297" i="44"/>
  <c r="E537" i="44"/>
  <c r="E983" i="44"/>
  <c r="E109" i="44"/>
  <c r="E206" i="44"/>
  <c r="E827" i="44"/>
  <c r="E260" i="44"/>
  <c r="E431" i="44"/>
  <c r="E828" i="44"/>
  <c r="E334" i="44"/>
  <c r="E602" i="44"/>
  <c r="E301" i="44"/>
  <c r="E133" i="44"/>
  <c r="E571" i="44"/>
  <c r="E77" i="44"/>
  <c r="E851" i="44"/>
  <c r="E686" i="44"/>
  <c r="E759" i="44"/>
  <c r="E749" i="44"/>
  <c r="E246" i="44"/>
  <c r="E663" i="44"/>
  <c r="E379" i="44"/>
  <c r="E122" i="44"/>
  <c r="E775" i="44"/>
  <c r="E459" i="44"/>
  <c r="E332" i="44"/>
  <c r="E850" i="44"/>
  <c r="E796" i="44"/>
  <c r="E736" i="44"/>
  <c r="E384" i="44"/>
  <c r="E737" i="44"/>
  <c r="E471" i="44"/>
  <c r="E676" i="44"/>
  <c r="E825" i="44"/>
  <c r="E864" i="44"/>
  <c r="E79" i="44"/>
  <c r="E397" i="44"/>
  <c r="E136" i="44"/>
  <c r="E499" i="44"/>
  <c r="E770" i="44"/>
  <c r="E343" i="44"/>
  <c r="E399" i="44"/>
  <c r="E440" i="44"/>
  <c r="E180" i="44"/>
  <c r="E230" i="44"/>
  <c r="E12" i="44"/>
  <c r="E5" i="44"/>
  <c r="E840" i="44"/>
  <c r="E575" i="44"/>
  <c r="E434" i="44"/>
  <c r="E454" i="44"/>
  <c r="E542" i="44"/>
  <c r="E278" i="44"/>
  <c r="E835" i="44"/>
  <c r="E248" i="44"/>
  <c r="E550" i="44"/>
  <c r="E939" i="44"/>
  <c r="E47" i="44"/>
  <c r="E439" i="44"/>
  <c r="E959" i="44"/>
  <c r="E129" i="44"/>
  <c r="E559" i="44"/>
  <c r="E804" i="44"/>
  <c r="E977" i="44"/>
  <c r="E479" i="44"/>
  <c r="E390" i="44"/>
  <c r="E717" i="44"/>
  <c r="E204" i="44"/>
  <c r="E474" i="44"/>
  <c r="E197" i="44"/>
  <c r="E845" i="44"/>
  <c r="E822" i="44"/>
  <c r="E427" i="44"/>
  <c r="E189" i="44"/>
  <c r="E898" i="44"/>
  <c r="E94" i="44"/>
  <c r="E884" i="44"/>
  <c r="E995" i="44"/>
  <c r="E160" i="44"/>
  <c r="E678" i="44"/>
  <c r="E1000" i="44"/>
  <c r="E984" i="44"/>
  <c r="E141" i="44"/>
  <c r="E625" i="44"/>
  <c r="E530" i="44"/>
  <c r="E968" i="44"/>
  <c r="E233" i="44"/>
  <c r="E538" i="44"/>
  <c r="E726" i="44"/>
  <c r="E199" i="44"/>
  <c r="E24" i="44"/>
  <c r="E512" i="44"/>
  <c r="E6" i="44"/>
  <c r="E139" i="44"/>
  <c r="E52" i="44"/>
  <c r="E448" i="44"/>
  <c r="E954" i="44"/>
  <c r="E615" i="44"/>
  <c r="E466" i="44"/>
  <c r="E275" i="44"/>
  <c r="E279" i="44"/>
  <c r="E684" i="44"/>
  <c r="E610" i="44"/>
  <c r="E535" i="44"/>
  <c r="E719" i="44"/>
  <c r="E949" i="44"/>
  <c r="E627" i="44"/>
  <c r="E364" i="44"/>
  <c r="E207" i="44"/>
  <c r="E656" i="44"/>
  <c r="E716" i="44"/>
  <c r="E810" i="44"/>
  <c r="E408" i="44"/>
  <c r="E568" i="44"/>
  <c r="E819" i="44"/>
  <c r="E562" i="44"/>
  <c r="E205" i="44"/>
  <c r="E473" i="44"/>
  <c r="E316" i="44"/>
  <c r="E313" i="44"/>
  <c r="E930" i="44"/>
  <c r="E961" i="44"/>
  <c r="E786" i="44"/>
  <c r="E16" i="44"/>
  <c r="E135" i="44"/>
  <c r="E596" i="44"/>
  <c r="E635" i="44"/>
  <c r="E323" i="44"/>
  <c r="E217" i="44"/>
  <c r="E781" i="44"/>
  <c r="E255" i="44"/>
  <c r="E728" i="44"/>
  <c r="E192" i="44"/>
  <c r="E548" i="44"/>
  <c r="E854" i="44"/>
  <c r="E349" i="44"/>
  <c r="E801" i="44"/>
  <c r="E529" i="44"/>
  <c r="E502" i="44"/>
  <c r="E396" i="44"/>
  <c r="E739" i="44"/>
  <c r="E329" i="44"/>
  <c r="E617" i="44"/>
  <c r="E249" i="44"/>
  <c r="E403" i="44"/>
  <c r="E263" i="44"/>
  <c r="E564" i="44"/>
  <c r="E429" i="44"/>
  <c r="E492" i="44"/>
  <c r="E878" i="44"/>
  <c r="E286" i="44"/>
  <c r="E361" i="44"/>
  <c r="E223" i="44"/>
  <c r="E755" i="44"/>
  <c r="E659" i="44"/>
  <c r="E612" i="44"/>
  <c r="E8" i="44"/>
  <c r="E696" i="44"/>
  <c r="E126" i="44"/>
  <c r="E960" i="44"/>
  <c r="E482" i="44"/>
  <c r="E251" i="44"/>
  <c r="E505" i="44"/>
  <c r="E803" i="44"/>
  <c r="E462" i="44"/>
  <c r="E882" i="44"/>
  <c r="E745" i="44"/>
  <c r="E711" i="44"/>
  <c r="E170" i="44"/>
  <c r="E837" i="44"/>
  <c r="E813" i="44"/>
  <c r="E113" i="44"/>
  <c r="E662" i="44"/>
  <c r="E556" i="44"/>
  <c r="E57" i="44"/>
  <c r="E833" i="44"/>
  <c r="E658" i="44"/>
  <c r="E463" i="44"/>
  <c r="E816" i="44"/>
  <c r="E852" i="44"/>
  <c r="E766" i="44"/>
  <c r="E337" i="44"/>
  <c r="E325" i="44"/>
  <c r="E402" i="44"/>
  <c r="E940" i="44"/>
  <c r="E172" i="44"/>
  <c r="E944" i="44"/>
  <c r="E145" i="44"/>
  <c r="E569" i="44"/>
  <c r="E330" i="44"/>
  <c r="E266" i="44"/>
  <c r="E925" i="44"/>
  <c r="E934" i="44"/>
  <c r="E17" i="44"/>
  <c r="E546" i="44"/>
  <c r="E409" i="44"/>
  <c r="E401" i="44"/>
  <c r="E115" i="44"/>
  <c r="E195" i="44"/>
  <c r="E772" i="44"/>
  <c r="E426" i="44"/>
  <c r="E975" i="44"/>
  <c r="E377" i="44"/>
  <c r="E992" i="44"/>
  <c r="E142" i="44"/>
  <c r="E875" i="44"/>
  <c r="E203" i="44"/>
  <c r="E117" i="44"/>
  <c r="E608" i="44"/>
  <c r="E820" i="44"/>
  <c r="E920" i="44"/>
  <c r="E307" i="44"/>
  <c r="E829" i="44"/>
  <c r="E865" i="44"/>
  <c r="E257" i="44"/>
  <c r="E114" i="44"/>
  <c r="E14" i="44"/>
  <c r="E650" i="44"/>
  <c r="E68" i="44"/>
  <c r="E30" i="44"/>
  <c r="E179" i="44"/>
  <c r="E667" i="44"/>
  <c r="E598" i="44"/>
  <c r="E358" i="44"/>
  <c r="E967" i="44"/>
  <c r="E46" i="44"/>
  <c r="E389" i="44"/>
  <c r="E497" i="44"/>
  <c r="E834" i="44"/>
  <c r="E413" i="44"/>
  <c r="E21" i="44"/>
  <c r="E317" i="44"/>
  <c r="E856" i="44"/>
  <c r="E277" i="44"/>
  <c r="E899" i="44"/>
  <c r="E815" i="44"/>
  <c r="E863" i="44"/>
  <c r="E531" i="44"/>
  <c r="E720" i="44"/>
  <c r="E178" i="44"/>
  <c r="E787" i="44"/>
  <c r="E873" i="44"/>
  <c r="E184" i="44"/>
  <c r="E544" i="44"/>
  <c r="E240" i="44"/>
  <c r="E398" i="44"/>
  <c r="E123" i="44"/>
  <c r="E243" i="44"/>
  <c r="E276" i="44"/>
  <c r="E201" i="44"/>
  <c r="E951" i="44"/>
  <c r="E507" i="44"/>
  <c r="E727" i="44"/>
  <c r="E584" i="44"/>
  <c r="E498" i="44"/>
  <c r="E55" i="44"/>
  <c r="E157" i="44"/>
  <c r="E169" i="44"/>
  <c r="E345" i="44"/>
  <c r="E982" i="44"/>
  <c r="E986" i="44"/>
  <c r="E738" i="44"/>
  <c r="E365" i="44"/>
  <c r="E18" i="44"/>
  <c r="E648" i="44"/>
  <c r="E540" i="44"/>
  <c r="E624" i="44"/>
  <c r="E80" i="44"/>
  <c r="E50" i="44"/>
  <c r="E577" i="44"/>
  <c r="E300" i="44"/>
  <c r="E732" i="44"/>
  <c r="E712" i="44"/>
  <c r="E221" i="44"/>
  <c r="E290" i="44"/>
  <c r="E35" i="44"/>
  <c r="E86" i="44"/>
  <c r="E797" i="44"/>
  <c r="E247" i="44"/>
  <c r="E870" i="44"/>
  <c r="E324" i="44"/>
  <c r="E771" i="44"/>
  <c r="E478" i="44"/>
  <c r="E614" i="44"/>
  <c r="E491" i="44"/>
  <c r="E532" i="44"/>
  <c r="E563" i="44"/>
  <c r="E196" i="44"/>
  <c r="E23" i="44"/>
  <c r="E400" i="44"/>
  <c r="E844" i="44"/>
  <c r="E769" i="44"/>
  <c r="E146" i="44"/>
  <c r="E353" i="44"/>
  <c r="E232" i="44"/>
  <c r="E7" i="44"/>
  <c r="E751" i="44"/>
  <c r="E901" i="44"/>
  <c r="E83" i="44"/>
  <c r="E997" i="44"/>
  <c r="E282" i="44"/>
  <c r="E501" i="44"/>
  <c r="E87" i="44"/>
  <c r="E348" i="44"/>
  <c r="E4" i="44"/>
  <c r="E867" i="44"/>
  <c r="E339" i="44"/>
  <c r="E90" i="44"/>
  <c r="E592" i="44"/>
  <c r="E111" i="44"/>
  <c r="E253" i="44"/>
  <c r="E166" i="44"/>
  <c r="E938" i="44"/>
  <c r="E928" i="44"/>
  <c r="E866" i="44"/>
  <c r="E789" i="44"/>
  <c r="E783" i="44"/>
  <c r="E588" i="44"/>
  <c r="E84" i="44"/>
  <c r="E694" i="44"/>
  <c r="E450" i="44"/>
  <c r="E689" i="44"/>
  <c r="E629" i="44"/>
  <c r="E3" i="44"/>
  <c r="E702" i="44"/>
  <c r="E28" i="44"/>
  <c r="E900" i="44"/>
  <c r="E265" i="44"/>
  <c r="E20" i="44"/>
  <c r="E868" i="44"/>
  <c r="E271" i="44"/>
  <c r="E830" i="44"/>
  <c r="E433" i="44"/>
  <c r="E814" i="44"/>
  <c r="E691" i="44"/>
  <c r="E599" i="44"/>
  <c r="E1001" i="44"/>
  <c r="E657" i="44"/>
  <c r="E606" i="44"/>
  <c r="E996" i="44"/>
  <c r="E578" i="44"/>
  <c r="E346" i="44"/>
  <c r="E298" i="44"/>
  <c r="E807" i="44"/>
  <c r="E890" i="44"/>
  <c r="E883" i="44"/>
  <c r="E452" i="44"/>
  <c r="E595" i="44"/>
  <c r="E342" i="44"/>
  <c r="E857" i="44"/>
  <c r="E31" i="44"/>
  <c r="E13" i="44"/>
  <c r="E764" i="44"/>
  <c r="E701" i="44"/>
  <c r="E445" i="44"/>
  <c r="E213" i="44"/>
  <c r="E652" i="44"/>
  <c r="E70" i="44"/>
  <c r="E800" i="44"/>
  <c r="E43" i="44"/>
  <c r="E188" i="44"/>
  <c r="E280" i="44"/>
  <c r="E710" i="44"/>
  <c r="E504" i="44"/>
  <c r="E208" i="44"/>
  <c r="E125" i="44"/>
  <c r="E773" i="44"/>
  <c r="E228" i="44"/>
  <c r="E430" i="44"/>
  <c r="E287" i="44"/>
  <c r="E936" i="44"/>
  <c r="E557" i="44"/>
  <c r="E848" i="44"/>
  <c r="E388" i="44"/>
  <c r="E948" i="44"/>
  <c r="E119" i="44"/>
  <c r="E690" i="44"/>
  <c r="E326" i="44"/>
  <c r="E469" i="44"/>
  <c r="E222" i="44"/>
  <c r="E167" i="44"/>
  <c r="E969" i="44"/>
  <c r="E153" i="44"/>
  <c r="E692" i="44"/>
  <c r="E887" i="44"/>
  <c r="E768" i="44"/>
  <c r="E446" i="44"/>
  <c r="E826" i="44"/>
  <c r="E774" i="44"/>
  <c r="E642" i="44"/>
  <c r="E763" i="44"/>
  <c r="E303" i="44"/>
  <c r="E444" i="44"/>
  <c r="E776" i="44"/>
  <c r="E60" i="44"/>
  <c r="E585" i="44"/>
  <c r="E791" i="44"/>
  <c r="E85" i="44"/>
  <c r="E805" i="44"/>
  <c r="E229" i="44"/>
  <c r="E458" i="44"/>
  <c r="E58" i="44"/>
  <c r="E310" i="44"/>
  <c r="E154" i="44"/>
  <c r="E294" i="44"/>
  <c r="E704" i="44"/>
  <c r="E99" i="44"/>
  <c r="E449" i="44"/>
  <c r="E923" i="44"/>
  <c r="E295" i="44"/>
  <c r="E877" i="44"/>
  <c r="E760" i="44"/>
  <c r="E356" i="44"/>
  <c r="E911" i="44"/>
  <c r="E778" i="44"/>
  <c r="E284" i="44"/>
  <c r="E493" i="44"/>
  <c r="E935" i="44"/>
  <c r="E359" i="44"/>
  <c r="E224" i="44"/>
  <c r="E42" i="44"/>
  <c r="E198" i="44"/>
  <c r="E862" i="44"/>
  <c r="E782" i="44"/>
  <c r="E238" i="44"/>
  <c r="E293" i="44"/>
  <c r="E322" i="44"/>
  <c r="E740" i="44"/>
  <c r="E11" i="44"/>
  <c r="E846" i="44"/>
  <c r="E785" i="44"/>
  <c r="E881" i="44"/>
  <c r="E225" i="44"/>
  <c r="E375" i="44"/>
  <c r="E36" i="44"/>
  <c r="E419" i="44"/>
  <c r="E475" i="44"/>
  <c r="E859" i="44"/>
  <c r="E758" i="44"/>
  <c r="E483" i="44"/>
  <c r="E675" i="44"/>
  <c r="E34" i="44"/>
  <c r="E211" i="44"/>
  <c r="E788" i="44"/>
  <c r="E152" i="44"/>
  <c r="E49" i="44"/>
  <c r="E338" i="44"/>
  <c r="E245" i="44"/>
  <c r="E945" i="44"/>
  <c r="E836" i="44"/>
  <c r="E387" i="44"/>
  <c r="E118" i="44"/>
  <c r="E437" i="44"/>
  <c r="E705" i="44"/>
  <c r="E100" i="44"/>
  <c r="E679" i="44"/>
  <c r="E159" i="44"/>
  <c r="E660" i="44"/>
  <c r="E956" i="44"/>
  <c r="E382" i="44"/>
  <c r="E723" i="44"/>
  <c r="E549" i="44"/>
  <c r="E362" i="44"/>
  <c r="E423" i="44"/>
  <c r="E262" i="44"/>
  <c r="E202" i="44"/>
  <c r="E647" i="44"/>
  <c r="E432" i="44"/>
  <c r="E526" i="44"/>
  <c r="E876" i="44"/>
  <c r="E838" i="44"/>
  <c r="E104" i="44"/>
  <c r="E45" i="44"/>
  <c r="E638" i="44"/>
  <c r="E661" i="44"/>
  <c r="E470" i="44"/>
  <c r="E96" i="44"/>
  <c r="E438" i="44"/>
  <c r="E792" i="44"/>
  <c r="E218" i="44"/>
  <c r="E367" i="44"/>
  <c r="E853" i="44"/>
  <c r="E171" i="44"/>
  <c r="E762" i="44"/>
  <c r="E634" i="44"/>
  <c r="E503" i="44"/>
  <c r="E915" i="44"/>
  <c r="E394" i="44"/>
  <c r="E527" i="44"/>
  <c r="E641" i="44"/>
  <c r="E670" i="44"/>
  <c r="E488" i="44"/>
  <c r="E910" i="44"/>
  <c r="E386" i="44"/>
  <c r="E932" i="44"/>
  <c r="E672" i="44"/>
  <c r="E468" i="44"/>
  <c r="E261" i="44"/>
  <c r="E974" i="44"/>
  <c r="E636" i="44"/>
  <c r="E134" i="44"/>
  <c r="E306" i="44"/>
  <c r="E156" i="44"/>
  <c r="E516" i="44"/>
  <c r="E713" i="44"/>
  <c r="E312" i="44"/>
  <c r="E914" i="44"/>
  <c r="E494" i="44"/>
  <c r="E368" i="44"/>
  <c r="E143" i="44"/>
  <c r="E75" i="44"/>
  <c r="E92" i="44"/>
  <c r="E259" i="44"/>
  <c r="E839" i="44"/>
  <c r="E82" i="44"/>
  <c r="E254" i="44"/>
  <c r="E456" i="44"/>
  <c r="E699" i="44"/>
  <c r="E158" i="44"/>
  <c r="E616" i="44"/>
  <c r="E292" i="44"/>
  <c r="E896" i="44"/>
  <c r="E744" i="44"/>
  <c r="E333" i="44"/>
  <c r="E455" i="44"/>
  <c r="E623" i="44"/>
  <c r="E283" i="44"/>
  <c r="E149" i="44"/>
  <c r="E808" i="44"/>
  <c r="E931" i="44"/>
  <c r="E395" i="44"/>
  <c r="E320" i="44"/>
  <c r="E231" i="44"/>
  <c r="E664" i="44"/>
  <c r="E918" i="44"/>
  <c r="E425" i="44"/>
  <c r="E621" i="44"/>
  <c r="E962" i="44"/>
  <c r="E489" i="44"/>
  <c r="E89" i="44"/>
  <c r="E860" i="44"/>
  <c r="E812" i="44"/>
  <c r="E510" i="44"/>
  <c r="E622" i="44"/>
  <c r="E802" i="44"/>
  <c r="E380" i="44"/>
  <c r="E381" i="44"/>
  <c r="E485" i="44"/>
  <c r="E729" i="44"/>
  <c r="E640" i="44"/>
  <c r="E765" i="44"/>
  <c r="E874" i="44"/>
  <c r="E352" i="44"/>
  <c r="E511" i="44"/>
  <c r="E666" i="44"/>
  <c r="E858" i="44"/>
  <c r="E378" i="44"/>
  <c r="E168" i="44"/>
  <c r="E605" i="44"/>
  <c r="E164" i="44"/>
  <c r="E161" i="44"/>
  <c r="E601" i="44"/>
  <c r="E151" i="44"/>
  <c r="E894" i="44"/>
  <c r="E62" i="44"/>
  <c r="E53" i="44"/>
  <c r="E600" i="44"/>
  <c r="E906" i="44"/>
  <c r="E371" i="44"/>
  <c r="E127" i="44"/>
  <c r="E790" i="44"/>
  <c r="E593" i="44"/>
  <c r="E754" i="44"/>
  <c r="E798" i="44"/>
  <c r="E209" i="44"/>
  <c r="E534" i="44"/>
  <c r="E424" i="44"/>
  <c r="E405" i="44"/>
  <c r="E97" i="44"/>
  <c r="E140" i="44"/>
  <c r="E302" i="44"/>
  <c r="E607" i="44"/>
  <c r="E943" i="44"/>
  <c r="E393" i="44"/>
  <c r="E580" i="44"/>
  <c r="E685" i="44"/>
  <c r="E611" i="44"/>
  <c r="E308" i="44"/>
  <c r="E628" i="44"/>
  <c r="E522" i="44"/>
  <c r="E391" i="44"/>
  <c r="E671" i="44"/>
  <c r="E350" i="44"/>
  <c r="E150" i="44"/>
  <c r="E304" i="44"/>
  <c r="E966" i="44"/>
  <c r="E533" i="44"/>
  <c r="E665" i="44"/>
  <c r="E903" i="44"/>
  <c r="E536" i="44"/>
  <c r="E376" i="44"/>
  <c r="E182" i="44"/>
  <c r="E525" i="44"/>
  <c r="E285" i="44"/>
  <c r="E688" i="44"/>
  <c r="E832" i="44"/>
  <c r="E183" i="44"/>
  <c r="E748" i="44"/>
  <c r="E327" i="44"/>
  <c r="E637" i="44"/>
  <c r="E252" i="44"/>
  <c r="E328" i="44"/>
  <c r="E547" i="44"/>
  <c r="E524" i="44"/>
  <c r="E59" i="44"/>
  <c r="E761" i="44"/>
  <c r="E272" i="44"/>
  <c r="M5" i="3"/>
  <c r="N5" i="3"/>
  <c r="O5" i="3"/>
  <c r="L5" i="3"/>
  <c r="I5" i="3"/>
  <c r="J5" i="3"/>
  <c r="H5" i="3"/>
  <c r="G5" i="3"/>
  <c r="E793" i="46"/>
  <c r="E158" i="46"/>
  <c r="E913" i="46"/>
  <c r="E686" i="46"/>
  <c r="E97" i="46"/>
  <c r="E696" i="46"/>
  <c r="E209" i="46"/>
  <c r="E948" i="46"/>
  <c r="E554" i="46"/>
  <c r="E998" i="46"/>
  <c r="E301" i="46"/>
  <c r="E148" i="46"/>
  <c r="E262" i="46"/>
  <c r="E334" i="46"/>
  <c r="E807" i="46"/>
  <c r="E881" i="46"/>
  <c r="E363" i="46"/>
  <c r="E773" i="46"/>
  <c r="E272" i="46"/>
  <c r="E26" i="46"/>
  <c r="E11" i="46"/>
  <c r="E95" i="46"/>
  <c r="E530" i="46"/>
  <c r="E814" i="46"/>
  <c r="E7" i="46"/>
  <c r="E723" i="46"/>
  <c r="E102" i="46"/>
  <c r="E98" i="46"/>
  <c r="E122" i="46"/>
  <c r="E369" i="46"/>
  <c r="E896" i="46"/>
  <c r="E296" i="46"/>
  <c r="E841" i="46"/>
  <c r="E977" i="46"/>
  <c r="E681" i="46"/>
  <c r="E180" i="46"/>
  <c r="E718" i="46"/>
  <c r="E907" i="46"/>
  <c r="E771" i="46"/>
  <c r="E961" i="46"/>
  <c r="E817" i="46"/>
  <c r="E350" i="46"/>
  <c r="E8" i="46"/>
  <c r="E278" i="46"/>
  <c r="E596" i="46"/>
  <c r="E572" i="46"/>
  <c r="E759" i="46"/>
  <c r="E17" i="46"/>
  <c r="E786" i="46"/>
  <c r="E16" i="46"/>
  <c r="E965" i="46"/>
  <c r="E293" i="46"/>
  <c r="E476" i="46"/>
  <c r="E385" i="46"/>
  <c r="E616" i="46"/>
  <c r="E307" i="46"/>
  <c r="E926" i="46"/>
  <c r="E629" i="46"/>
  <c r="E456" i="46"/>
  <c r="E575" i="46"/>
  <c r="E40" i="46"/>
  <c r="E258" i="46"/>
  <c r="E483" i="46"/>
  <c r="E429" i="46"/>
  <c r="E39" i="46"/>
  <c r="E392" i="46"/>
  <c r="E365" i="46"/>
  <c r="E474" i="46"/>
  <c r="E730" i="46"/>
  <c r="E612" i="46"/>
  <c r="E802" i="46"/>
  <c r="E339" i="46"/>
  <c r="E799" i="46"/>
  <c r="E927" i="46"/>
  <c r="E653" i="46"/>
  <c r="E491" i="46"/>
  <c r="E953" i="46"/>
  <c r="E997" i="46"/>
  <c r="E391" i="46"/>
  <c r="E218" i="46"/>
  <c r="E5" i="46"/>
  <c r="E513" i="46"/>
  <c r="E378" i="46"/>
  <c r="E134" i="46"/>
  <c r="E149" i="46"/>
  <c r="E947" i="46"/>
  <c r="E551" i="46"/>
  <c r="E858" i="46"/>
  <c r="E494" i="46"/>
  <c r="E179" i="46"/>
  <c r="E824" i="46"/>
  <c r="E303" i="46"/>
  <c r="E2" i="46"/>
  <c r="E620" i="46"/>
  <c r="E952" i="46"/>
  <c r="E99" i="46"/>
  <c r="E912" i="46"/>
  <c r="E971" i="46"/>
  <c r="E81" i="46"/>
  <c r="E52" i="46"/>
  <c r="E383" i="46"/>
  <c r="E569" i="46"/>
  <c r="E678" i="46"/>
  <c r="E356" i="46"/>
  <c r="E555" i="46"/>
  <c r="E882" i="46"/>
  <c r="E217" i="46"/>
  <c r="E403" i="46"/>
  <c r="E151" i="46"/>
  <c r="E459" i="46"/>
  <c r="E259" i="46"/>
  <c r="E647" i="46"/>
  <c r="E152" i="46"/>
  <c r="E136" i="46"/>
  <c r="E905" i="46"/>
  <c r="E874" i="46"/>
  <c r="E851" i="46"/>
  <c r="E468" i="46"/>
  <c r="E935" i="46"/>
  <c r="E842" i="46"/>
  <c r="E374" i="46"/>
  <c r="E550" i="46"/>
  <c r="E488" i="46"/>
  <c r="E839" i="46"/>
  <c r="E564" i="46"/>
  <c r="E566" i="46"/>
  <c r="E602" i="46"/>
  <c r="E734" i="46"/>
  <c r="E121" i="46"/>
  <c r="E675" i="46"/>
  <c r="E757" i="46"/>
  <c r="E490" i="46"/>
  <c r="E183" i="46"/>
  <c r="E878" i="46"/>
  <c r="E187" i="46"/>
  <c r="E343" i="46"/>
  <c r="E654" i="46"/>
  <c r="E674" i="46"/>
  <c r="E316" i="46"/>
  <c r="E349" i="46"/>
  <c r="E108" i="46"/>
  <c r="E702" i="46"/>
  <c r="E711" i="46"/>
  <c r="E767" i="46"/>
  <c r="E705" i="46"/>
  <c r="E400" i="46"/>
  <c r="E302" i="46"/>
  <c r="E744" i="46"/>
  <c r="E147" i="46"/>
  <c r="E658" i="46"/>
  <c r="E600" i="46"/>
  <c r="E790" i="46"/>
  <c r="E430" i="46"/>
  <c r="E132" i="46"/>
  <c r="E164" i="46"/>
  <c r="E671" i="46"/>
  <c r="E922" i="46"/>
  <c r="E294" i="46"/>
  <c r="E436" i="46"/>
  <c r="E500" i="46"/>
  <c r="E447" i="46"/>
  <c r="E709" i="46"/>
  <c r="E567" i="46"/>
  <c r="E733" i="46"/>
  <c r="E774" i="46"/>
  <c r="E422" i="46"/>
  <c r="E603" i="46"/>
  <c r="E69" i="46"/>
  <c r="E726" i="46"/>
  <c r="E562" i="46"/>
  <c r="E507" i="46"/>
  <c r="E413" i="46"/>
  <c r="E570" i="46"/>
  <c r="E750" i="46"/>
  <c r="E130" i="46"/>
  <c r="E162" i="46"/>
  <c r="E54" i="46"/>
  <c r="E359" i="46"/>
  <c r="E536" i="46"/>
  <c r="E465" i="46"/>
  <c r="E701" i="46"/>
  <c r="E522" i="46"/>
  <c r="E426" i="46"/>
  <c r="E659" i="46"/>
  <c r="E492" i="46"/>
  <c r="E972" i="46"/>
  <c r="E320" i="46"/>
  <c r="E940" i="46"/>
  <c r="E665" i="46"/>
  <c r="E772" i="46"/>
  <c r="E832" i="46"/>
  <c r="E344" i="46"/>
  <c r="E49" i="46"/>
  <c r="E581" i="46"/>
  <c r="E796" i="46"/>
  <c r="E687" i="46"/>
  <c r="E336" i="46"/>
  <c r="E526" i="46"/>
  <c r="E673" i="46"/>
  <c r="E917" i="46"/>
  <c r="E66" i="46"/>
  <c r="E140" i="46"/>
  <c r="E206" i="46"/>
  <c r="E210" i="46"/>
  <c r="E271" i="46"/>
  <c r="E229" i="46"/>
  <c r="E682" i="46"/>
  <c r="E741" i="46"/>
  <c r="E32" i="46"/>
  <c r="E368" i="46"/>
  <c r="E477" i="46"/>
  <c r="E85" i="46"/>
  <c r="E875" i="46"/>
  <c r="E171" i="46"/>
  <c r="E446" i="46"/>
  <c r="E836" i="46"/>
  <c r="E544" i="46"/>
  <c r="E163" i="46"/>
  <c r="E760" i="46"/>
  <c r="E945" i="46"/>
  <c r="E277" i="46"/>
  <c r="E176" i="46"/>
  <c r="E160" i="46"/>
  <c r="E6" i="46"/>
  <c r="E521" i="46"/>
  <c r="E811" i="46"/>
  <c r="E719" i="46"/>
  <c r="E582" i="46"/>
  <c r="E633" i="46"/>
  <c r="E792" i="46"/>
  <c r="E743" i="46"/>
  <c r="E414" i="46"/>
  <c r="E731" i="46"/>
  <c r="E740" i="46"/>
  <c r="E584" i="46"/>
  <c r="E361" i="46"/>
  <c r="E800" i="46"/>
  <c r="E143" i="46"/>
  <c r="E96" i="46"/>
  <c r="E22" i="46"/>
  <c r="E984" i="46"/>
  <c r="E670" i="46"/>
  <c r="E577" i="46"/>
  <c r="E770" i="46"/>
  <c r="E849" i="46"/>
  <c r="E12" i="46"/>
  <c r="E781" i="46"/>
  <c r="E679" i="46"/>
  <c r="E516" i="46"/>
  <c r="E295" i="46"/>
  <c r="E558" i="46"/>
  <c r="E435" i="46"/>
  <c r="E954" i="46"/>
  <c r="E899" i="46"/>
  <c r="E996" i="46"/>
  <c r="E44" i="46"/>
  <c r="E78" i="46"/>
  <c r="E853" i="46"/>
  <c r="E74" i="46"/>
  <c r="E420" i="46"/>
  <c r="E594" i="46"/>
  <c r="E470" i="46"/>
  <c r="E583" i="46"/>
  <c r="E109" i="46"/>
  <c r="E123" i="46"/>
  <c r="E976" i="46"/>
  <c r="E366" i="46"/>
  <c r="E599" i="46"/>
  <c r="E845" i="46"/>
  <c r="E708" i="46"/>
  <c r="E114" i="46"/>
  <c r="E991" i="46"/>
  <c r="E88" i="46"/>
  <c r="E508" i="46"/>
  <c r="E862" i="46"/>
  <c r="E906" i="46"/>
  <c r="E908" i="46"/>
  <c r="E638" i="46"/>
  <c r="E418" i="46"/>
  <c r="E232" i="46"/>
  <c r="E486" i="46"/>
  <c r="E505" i="46"/>
  <c r="E124" i="46"/>
  <c r="E823" i="46"/>
  <c r="E267" i="46"/>
  <c r="E386" i="46"/>
  <c r="E911" i="46"/>
  <c r="E235" i="46"/>
  <c r="E230" i="46"/>
  <c r="E615" i="46"/>
  <c r="E649" i="46"/>
  <c r="E419" i="46"/>
  <c r="E379" i="46"/>
  <c r="E496" i="46"/>
  <c r="E746" i="46"/>
  <c r="E968" i="46"/>
  <c r="E889" i="46"/>
  <c r="E276" i="46"/>
  <c r="E462" i="46"/>
  <c r="E857" i="46"/>
  <c r="E23" i="46"/>
  <c r="E815" i="46"/>
  <c r="E737" i="46"/>
  <c r="E978" i="46"/>
  <c r="E865" i="46"/>
  <c r="E884" i="46"/>
  <c r="E177" i="46"/>
  <c r="E425" i="46"/>
  <c r="E499" i="46"/>
  <c r="E64" i="46"/>
  <c r="E605" i="46"/>
  <c r="E73" i="46"/>
  <c r="E168" i="46"/>
  <c r="E133" i="46"/>
  <c r="E1000" i="46"/>
  <c r="E895" i="46"/>
  <c r="E373" i="46"/>
  <c r="E274" i="46"/>
  <c r="E452" i="46"/>
  <c r="E514" i="46"/>
  <c r="E119" i="46"/>
  <c r="E891" i="46"/>
  <c r="E880" i="46"/>
  <c r="E237" i="46"/>
  <c r="E886" i="46"/>
  <c r="E377" i="46"/>
  <c r="E269" i="46"/>
  <c r="E201" i="46"/>
  <c r="E586" i="46"/>
  <c r="E325" i="46"/>
  <c r="E637" i="46"/>
  <c r="E697" i="46"/>
  <c r="E624" i="46"/>
  <c r="E542" i="46"/>
  <c r="E174" i="46"/>
  <c r="E484" i="46"/>
  <c r="E471" i="46"/>
  <c r="E424" i="46"/>
  <c r="E651" i="46"/>
  <c r="E821" i="46"/>
  <c r="E141" i="46"/>
  <c r="E256" i="46"/>
  <c r="E519" i="46"/>
  <c r="E144" i="46"/>
  <c r="E611" i="46"/>
  <c r="E387" i="46"/>
  <c r="E695" i="46"/>
  <c r="E362" i="46"/>
  <c r="E451" i="46"/>
  <c r="E42" i="46"/>
  <c r="E869" i="46"/>
  <c r="E843" i="46"/>
  <c r="E631" i="46"/>
  <c r="E340" i="46"/>
  <c r="E372" i="46"/>
  <c r="E983" i="46"/>
  <c r="E31" i="46"/>
  <c r="E644" i="46"/>
  <c r="E473" i="46"/>
  <c r="E282" i="46"/>
  <c r="E820" i="46"/>
  <c r="E50" i="46"/>
  <c r="E297" i="46"/>
  <c r="E504" i="46"/>
  <c r="E618" i="46"/>
  <c r="E598" i="46"/>
  <c r="E966" i="46"/>
  <c r="E263" i="46"/>
  <c r="E319" i="46"/>
  <c r="E493" i="46"/>
  <c r="E780" i="46"/>
  <c r="E93" i="46"/>
  <c r="E131" i="46"/>
  <c r="E950" i="46"/>
  <c r="E221" i="46"/>
  <c r="E19" i="46"/>
  <c r="E914" i="46"/>
  <c r="E393" i="46"/>
  <c r="E538" i="46"/>
  <c r="E840" i="46"/>
  <c r="E36" i="46"/>
  <c r="E440" i="46"/>
  <c r="E454" i="46"/>
  <c r="E636" i="46"/>
  <c r="E812" i="46"/>
  <c r="E990" i="46"/>
  <c r="E844" i="46"/>
  <c r="E819" i="46"/>
  <c r="E510" i="46"/>
  <c r="E105" i="46"/>
  <c r="E900" i="46"/>
  <c r="E607" i="46"/>
  <c r="E923" i="46"/>
  <c r="E791" i="46"/>
  <c r="E354" i="46"/>
  <c r="E628" i="46"/>
  <c r="E38" i="46"/>
  <c r="E251" i="46"/>
  <c r="E669" i="46"/>
  <c r="E145" i="46"/>
  <c r="E931" i="46"/>
  <c r="E579" i="46"/>
  <c r="E89" i="46"/>
  <c r="E788" i="46"/>
  <c r="E244" i="46"/>
  <c r="E779" i="46"/>
  <c r="E202" i="46"/>
  <c r="E80" i="46"/>
  <c r="E252" i="46"/>
  <c r="E782" i="46"/>
  <c r="E601" i="46"/>
  <c r="E735" i="46"/>
  <c r="E82" i="46"/>
  <c r="E981" i="46"/>
  <c r="E872" i="46"/>
  <c r="E453" i="46"/>
  <c r="E434" i="46"/>
  <c r="E290" i="46"/>
  <c r="E957" i="46"/>
  <c r="E146" i="46"/>
  <c r="E204" i="46"/>
  <c r="E918" i="46"/>
  <c r="E341" i="46"/>
  <c r="E248" i="46"/>
  <c r="E725" i="46"/>
  <c r="E699" i="46"/>
  <c r="E33" i="46"/>
  <c r="E29" i="46"/>
  <c r="E512" i="46"/>
  <c r="E439" i="46"/>
  <c r="E706" i="46"/>
  <c r="E720" i="46"/>
  <c r="E351" i="46"/>
  <c r="E893" i="46"/>
  <c r="E376" i="46"/>
  <c r="E662" i="46"/>
  <c r="E83" i="46"/>
  <c r="E655" i="46"/>
  <c r="E898" i="46"/>
  <c r="E352" i="46"/>
  <c r="E20" i="46"/>
  <c r="E292" i="46"/>
  <c r="E345" i="46"/>
  <c r="E860" i="46"/>
  <c r="E689" i="46"/>
  <c r="E79" i="46"/>
  <c r="E515" i="46"/>
  <c r="E937" i="46"/>
  <c r="E813" i="46"/>
  <c r="E270" i="46"/>
  <c r="E186" i="46"/>
  <c r="E834" i="46"/>
  <c r="E207" i="46"/>
  <c r="E225" i="46"/>
  <c r="E573" i="46"/>
  <c r="E745" i="46"/>
  <c r="E614" i="46"/>
  <c r="E472" i="46"/>
  <c r="E219" i="46"/>
  <c r="E962" i="46"/>
  <c r="E595" i="46"/>
  <c r="E249" i="46"/>
  <c r="E165" i="46"/>
  <c r="E894" i="46"/>
  <c r="E576" i="46"/>
  <c r="E666" i="46"/>
  <c r="E728" i="46"/>
  <c r="E710" i="46"/>
  <c r="E196" i="46"/>
  <c r="E289" i="46"/>
  <c r="E964" i="46"/>
  <c r="E930" i="46"/>
  <c r="E498" i="46"/>
  <c r="E233" i="46"/>
  <c r="E623" i="46"/>
  <c r="E25" i="46"/>
  <c r="E128" i="46"/>
  <c r="E106" i="46"/>
  <c r="E942" i="46"/>
  <c r="E181" i="46"/>
  <c r="E915" i="46"/>
  <c r="E640" i="46"/>
  <c r="E92" i="46"/>
  <c r="E511" i="46"/>
  <c r="E364" i="46"/>
  <c r="E580" i="46"/>
  <c r="E367" i="46"/>
  <c r="E642" i="46"/>
  <c r="E408" i="46"/>
  <c r="E668" i="46"/>
  <c r="E684" i="46"/>
  <c r="E691" i="46"/>
  <c r="E501" i="46"/>
  <c r="E946" i="46"/>
  <c r="E489" i="46"/>
  <c r="E87" i="46"/>
  <c r="E974" i="46"/>
  <c r="E528" i="46"/>
  <c r="E643" i="46"/>
  <c r="E543" i="46"/>
  <c r="E867" i="46"/>
  <c r="E664" i="46"/>
  <c r="E661" i="46"/>
  <c r="E338" i="46"/>
  <c r="E753" i="46"/>
  <c r="E421" i="46"/>
  <c r="E250" i="46"/>
  <c r="E557" i="46"/>
  <c r="E648" i="46"/>
  <c r="E589" i="46"/>
  <c r="E808" i="46"/>
  <c r="E332" i="46"/>
  <c r="E390" i="46"/>
  <c r="E816" i="46"/>
  <c r="E565" i="46"/>
  <c r="E298" i="46"/>
  <c r="E406" i="46"/>
  <c r="E76" i="46"/>
  <c r="E916" i="46"/>
  <c r="E214" i="46"/>
  <c r="E487" i="46"/>
  <c r="E777" i="46"/>
  <c r="E825" i="46"/>
  <c r="E571" i="46"/>
  <c r="E553" i="46"/>
  <c r="E126" i="46"/>
  <c r="E190" i="46"/>
  <c r="E231" i="46"/>
  <c r="E113" i="46"/>
  <c r="E309" i="46"/>
  <c r="E90" i="46"/>
  <c r="E243" i="46"/>
  <c r="E754" i="46"/>
  <c r="E4" i="46"/>
  <c r="E311" i="46"/>
  <c r="E467" i="46"/>
  <c r="E694" i="46"/>
  <c r="E645" i="46"/>
  <c r="E722" i="46"/>
  <c r="E561" i="46"/>
  <c r="E939" i="46"/>
  <c r="E532" i="46"/>
  <c r="E3" i="46"/>
  <c r="E438" i="46"/>
  <c r="E873" i="46"/>
  <c r="E794" i="46"/>
  <c r="E353" i="46"/>
  <c r="E540" i="46"/>
  <c r="E261" i="46"/>
  <c r="E541" i="46"/>
  <c r="E15" i="46"/>
  <c r="E863" i="46"/>
  <c r="E992" i="46"/>
  <c r="E613" i="46"/>
  <c r="E545" i="46"/>
  <c r="E104" i="46"/>
  <c r="E348" i="46"/>
  <c r="E646" i="46"/>
  <c r="E346" i="46"/>
  <c r="E546" i="46"/>
  <c r="E559" i="46"/>
  <c r="E189" i="46"/>
  <c r="E173" i="46"/>
  <c r="E265" i="46"/>
  <c r="E698" i="46"/>
  <c r="E597" i="46"/>
  <c r="E222" i="46"/>
  <c r="E716" i="46"/>
  <c r="E77" i="46"/>
  <c r="E619" i="46"/>
  <c r="E932" i="46"/>
  <c r="E866" i="46"/>
  <c r="E632" i="46"/>
  <c r="E627" i="46"/>
  <c r="E405" i="46"/>
  <c r="E910" i="46"/>
  <c r="E609" i="46"/>
  <c r="E75" i="46"/>
  <c r="E960" i="46"/>
  <c r="E402" i="46"/>
  <c r="E715" i="46"/>
  <c r="E404" i="46"/>
  <c r="E45" i="46"/>
  <c r="E973" i="46"/>
  <c r="E10" i="46"/>
  <c r="E154" i="46"/>
  <c r="E308" i="46"/>
  <c r="E892" i="46"/>
  <c r="E300" i="46"/>
  <c r="E306" i="46"/>
  <c r="E762" i="46"/>
  <c r="E182" i="46"/>
  <c r="E27" i="46"/>
  <c r="E868" i="46"/>
  <c r="E284" i="46"/>
  <c r="E43" i="46"/>
  <c r="E268" i="46"/>
  <c r="E260" i="46"/>
  <c r="E656" i="46"/>
  <c r="E703" i="46"/>
  <c r="E228" i="46"/>
  <c r="E527" i="46"/>
  <c r="E625" i="46"/>
  <c r="E921" i="46"/>
  <c r="E326" i="46"/>
  <c r="E481" i="46"/>
  <c r="E13" i="46"/>
  <c r="E125" i="46"/>
  <c r="E401" i="46"/>
  <c r="E903" i="46"/>
  <c r="E205" i="46"/>
  <c r="E787" i="46"/>
  <c r="E70" i="46"/>
  <c r="E593" i="46"/>
  <c r="E116" i="46"/>
  <c r="E989" i="46"/>
  <c r="E239" i="46"/>
  <c r="E242" i="46"/>
  <c r="E818" i="46"/>
  <c r="E417" i="46"/>
  <c r="E944" i="46"/>
  <c r="E683" i="46"/>
  <c r="E166" i="46"/>
  <c r="E520" i="46"/>
  <c r="E381" i="46"/>
  <c r="E167" i="46"/>
  <c r="E410" i="46"/>
  <c r="E909" i="46"/>
  <c r="E216" i="46"/>
  <c r="E933" i="46"/>
  <c r="E717" i="46"/>
  <c r="E226" i="46"/>
  <c r="E14" i="46"/>
  <c r="E254" i="46"/>
  <c r="E828" i="46"/>
  <c r="E994" i="46"/>
  <c r="E37" i="46"/>
  <c r="E652" i="46"/>
  <c r="E247" i="46"/>
  <c r="E761" i="46"/>
  <c r="E443" i="46"/>
  <c r="E856" i="46"/>
  <c r="E838" i="46"/>
  <c r="E299" i="46"/>
  <c r="E502" i="46"/>
  <c r="E9" i="46"/>
  <c r="E318" i="46"/>
  <c r="E208" i="46"/>
  <c r="E809" i="46"/>
  <c r="E195" i="46"/>
  <c r="E480" i="46"/>
  <c r="E610" i="46"/>
  <c r="E826" i="46"/>
  <c r="E831" i="46"/>
  <c r="E929" i="46"/>
  <c r="E291" i="46"/>
  <c r="E55" i="46"/>
  <c r="E142" i="46"/>
  <c r="E279" i="46"/>
  <c r="E663" i="46"/>
  <c r="E442" i="46"/>
  <c r="E639" i="46"/>
  <c r="E112" i="46"/>
  <c r="E227" i="46"/>
  <c r="E995" i="46"/>
  <c r="E409" i="46"/>
  <c r="E876" i="46"/>
  <c r="E30" i="46"/>
  <c r="E803" i="46"/>
  <c r="E107" i="46"/>
  <c r="E342" i="46"/>
  <c r="E590" i="46"/>
  <c r="E437" i="46"/>
  <c r="E355" i="46"/>
  <c r="E170" i="46"/>
  <c r="E395" i="46"/>
  <c r="E317" i="46"/>
  <c r="E622" i="46"/>
  <c r="E958" i="46"/>
  <c r="E428" i="46"/>
  <c r="E509" i="46"/>
  <c r="E847" i="46"/>
  <c r="E458" i="46"/>
  <c r="E394" i="46"/>
  <c r="E890" i="46"/>
  <c r="E959" i="46"/>
  <c r="E382" i="46"/>
  <c r="E617" i="46"/>
  <c r="E739" i="46"/>
  <c r="E764" i="46"/>
  <c r="E304" i="46"/>
  <c r="E312" i="46"/>
  <c r="E879" i="46"/>
  <c r="E135" i="46"/>
  <c r="E330" i="46"/>
  <c r="E975" i="46"/>
  <c r="E159" i="46"/>
  <c r="E626" i="46"/>
  <c r="E714" i="46"/>
  <c r="E175" i="46"/>
  <c r="E855" i="46"/>
  <c r="E835" i="46"/>
  <c r="E736" i="46"/>
  <c r="E568" i="46"/>
  <c r="E153" i="46"/>
  <c r="E18" i="46"/>
  <c r="E156" i="46"/>
  <c r="E63" i="46"/>
  <c r="E883" i="46"/>
  <c r="E830" i="46"/>
  <c r="E660" i="46"/>
  <c r="E1001" i="46"/>
  <c r="E751" i="46"/>
  <c r="E533" i="46"/>
  <c r="E727" i="46"/>
  <c r="E776" i="46"/>
  <c r="E35" i="46"/>
  <c r="E461" i="46"/>
  <c r="E101" i="46"/>
  <c r="E967" i="46"/>
  <c r="E34" i="46"/>
  <c r="E188" i="46"/>
  <c r="E848" i="46"/>
  <c r="E827" i="46"/>
  <c r="E111" i="46"/>
  <c r="E469" i="46"/>
  <c r="E129" i="46"/>
  <c r="E833" i="46"/>
  <c r="E445" i="46"/>
  <c r="E21" i="46"/>
  <c r="E314" i="46"/>
  <c r="E60" i="46"/>
  <c r="E692" i="46"/>
  <c r="E213" i="46"/>
  <c r="E797" i="46"/>
  <c r="E449" i="46"/>
  <c r="E529" i="46"/>
  <c r="E525" i="46"/>
  <c r="E178" i="46"/>
  <c r="E86" i="46"/>
  <c r="E220" i="46"/>
  <c r="E91" i="46"/>
  <c r="E641" i="46"/>
  <c r="E850" i="46"/>
  <c r="E335" i="46"/>
  <c r="E523" i="46"/>
  <c r="E765" i="46"/>
  <c r="E606" i="46"/>
  <c r="E61" i="46"/>
  <c r="E925" i="46"/>
  <c r="E941" i="46"/>
  <c r="E444" i="46"/>
  <c r="E255" i="46"/>
  <c r="E67" i="46"/>
  <c r="E139" i="46"/>
  <c r="E117" i="46"/>
  <c r="E676" i="46"/>
  <c r="E630" i="46"/>
  <c r="E752" i="46"/>
  <c r="E234" i="46"/>
  <c r="E283" i="46"/>
  <c r="E464" i="46"/>
  <c r="E360" i="46"/>
  <c r="E460" i="46"/>
  <c r="E943" i="46"/>
  <c r="E766" i="46"/>
  <c r="E556" i="46"/>
  <c r="E155" i="46"/>
  <c r="E871" i="46"/>
  <c r="E203" i="46"/>
  <c r="E591" i="46"/>
  <c r="E328" i="46"/>
  <c r="E775" i="46"/>
  <c r="E769" i="46"/>
  <c r="E358" i="46"/>
  <c r="E138" i="46"/>
  <c r="E585" i="46"/>
  <c r="E604" i="46"/>
  <c r="E804" i="46"/>
  <c r="E399" i="46"/>
  <c r="E463" i="46"/>
  <c r="E238" i="46"/>
  <c r="E432" i="46"/>
  <c r="E539" i="46"/>
  <c r="E41" i="46"/>
  <c r="E323" i="46"/>
  <c r="E275" i="46"/>
  <c r="E110" i="46"/>
  <c r="E288" i="46"/>
  <c r="E934" i="46"/>
  <c r="E388" i="46"/>
  <c r="E253" i="46"/>
  <c r="E497" i="46"/>
  <c r="E450" i="46"/>
  <c r="E829" i="46"/>
  <c r="E266" i="46"/>
  <c r="E902" i="46"/>
  <c r="E72" i="46"/>
  <c r="E313" i="46"/>
  <c r="E264" i="46"/>
  <c r="E398" i="46"/>
  <c r="E560" i="46"/>
  <c r="E798" i="46"/>
  <c r="E199" i="46"/>
  <c r="E357" i="46"/>
  <c r="E370" i="46"/>
  <c r="E852" i="46"/>
  <c r="E667" i="46"/>
  <c r="E423" i="46"/>
  <c r="E193" i="46"/>
  <c r="E534" i="46"/>
  <c r="E103" i="46"/>
  <c r="E127" i="46"/>
  <c r="E897" i="46"/>
  <c r="E588" i="46"/>
  <c r="E94" i="46"/>
  <c r="E285" i="46"/>
  <c r="E986" i="46"/>
  <c r="E223" i="46"/>
  <c r="E100" i="46"/>
  <c r="E955" i="46"/>
  <c r="E431" i="46"/>
  <c r="E48" i="46"/>
  <c r="E257" i="46"/>
  <c r="E924" i="46"/>
  <c r="E854" i="46"/>
  <c r="E57" i="46"/>
  <c r="E47" i="46"/>
  <c r="E951" i="46"/>
  <c r="E693" i="46"/>
  <c r="E778" i="46"/>
  <c r="E280" i="46"/>
  <c r="E315" i="46"/>
  <c r="E672" i="46"/>
  <c r="E742" i="46"/>
  <c r="E169" i="46"/>
  <c r="E806" i="46"/>
  <c r="E729" i="46"/>
  <c r="E634" i="46"/>
  <c r="E327" i="46"/>
  <c r="E877" i="46"/>
  <c r="E322" i="46"/>
  <c r="E482" i="46"/>
  <c r="E245" i="46"/>
  <c r="E194" i="46"/>
  <c r="E375" i="46"/>
  <c r="E970" i="46"/>
  <c r="E485" i="46"/>
  <c r="E938" i="46"/>
  <c r="E281" i="46"/>
  <c r="E517" i="46"/>
  <c r="E885" i="46"/>
  <c r="E956" i="46"/>
  <c r="E441" i="46"/>
  <c r="E415" i="46"/>
  <c r="E51" i="46"/>
  <c r="E427" i="46"/>
  <c r="E59" i="46"/>
  <c r="E286" i="46"/>
  <c r="E241" i="46"/>
  <c r="E785" i="46"/>
  <c r="E547" i="46"/>
  <c r="E150" i="46"/>
  <c r="E795" i="46"/>
  <c r="E503" i="46"/>
  <c r="E137" i="46"/>
  <c r="E700" i="46"/>
  <c r="E412" i="46"/>
  <c r="E763" i="46"/>
  <c r="E999" i="46"/>
  <c r="E864" i="46"/>
  <c r="E448" i="46"/>
  <c r="E518" i="46"/>
  <c r="E396" i="46"/>
  <c r="E333" i="46"/>
  <c r="E985" i="46"/>
  <c r="E466" i="46"/>
  <c r="E859" i="46"/>
  <c r="E768" i="46"/>
  <c r="E71" i="46"/>
  <c r="E784" i="46"/>
  <c r="E411" i="46"/>
  <c r="E563" i="46"/>
  <c r="E224" i="46"/>
  <c r="E416" i="46"/>
  <c r="E380" i="46"/>
  <c r="E822" i="46"/>
  <c r="E191" i="46"/>
  <c r="E578" i="46"/>
  <c r="E635" i="46"/>
  <c r="E749" i="46"/>
  <c r="E680" i="46"/>
  <c r="E949" i="46"/>
  <c r="E755" i="46"/>
  <c r="E861" i="46"/>
  <c r="E979" i="46"/>
  <c r="E46" i="46"/>
  <c r="E657" i="46"/>
  <c r="E457" i="46"/>
  <c r="E198" i="46"/>
  <c r="E240" i="46"/>
  <c r="E172" i="46"/>
  <c r="E310" i="46"/>
  <c r="E969" i="46"/>
  <c r="E888" i="46"/>
  <c r="E690" i="46"/>
  <c r="E887" i="46"/>
  <c r="E592" i="46"/>
  <c r="E478" i="46"/>
  <c r="E287" i="46"/>
  <c r="E747" i="46"/>
  <c r="E548" i="46"/>
  <c r="E789" i="46"/>
  <c r="E68" i="46"/>
  <c r="E758" i="46"/>
  <c r="E704" i="46"/>
  <c r="E919" i="46"/>
  <c r="E506" i="46"/>
  <c r="E28" i="46"/>
  <c r="E197" i="46"/>
  <c r="E58" i="46"/>
  <c r="E713" i="46"/>
  <c r="E987" i="46"/>
  <c r="E200" i="46"/>
  <c r="E531" i="46"/>
  <c r="E236" i="46"/>
  <c r="E192" i="46"/>
  <c r="E712" i="46"/>
  <c r="E988" i="46"/>
  <c r="E475" i="46"/>
  <c r="E120" i="46"/>
  <c r="E587" i="46"/>
  <c r="E215" i="46"/>
  <c r="E329" i="46"/>
  <c r="E707" i="46"/>
  <c r="E608" i="46"/>
  <c r="E84" i="46"/>
  <c r="E321" i="46"/>
  <c r="E928" i="46"/>
  <c r="E371" i="46"/>
  <c r="E479" i="46"/>
  <c r="E433" i="46"/>
  <c r="E397" i="46"/>
  <c r="E993" i="46"/>
  <c r="E738" i="46"/>
  <c r="E936" i="46"/>
  <c r="E650" i="46"/>
  <c r="E305" i="46"/>
  <c r="E455" i="46"/>
  <c r="E846" i="46"/>
  <c r="E115" i="46"/>
  <c r="E810" i="46"/>
  <c r="E273" i="46"/>
  <c r="E384" i="46"/>
  <c r="E724" i="46"/>
  <c r="E552" i="46"/>
  <c r="E980" i="46"/>
  <c r="E982" i="46"/>
  <c r="E65" i="46"/>
  <c r="E732" i="46"/>
  <c r="E783" i="46"/>
  <c r="E524" i="46"/>
  <c r="E56" i="46"/>
  <c r="E62" i="46"/>
  <c r="E904" i="46"/>
  <c r="E537" i="46"/>
  <c r="E756" i="46"/>
  <c r="E801" i="46"/>
  <c r="E53" i="46"/>
  <c r="E535" i="46"/>
  <c r="E347" i="46"/>
  <c r="E407" i="46"/>
  <c r="E324" i="46"/>
  <c r="E721" i="46"/>
  <c r="E24" i="46"/>
  <c r="E211" i="46"/>
  <c r="E685" i="46"/>
  <c r="E331" i="46"/>
  <c r="E118" i="46"/>
  <c r="E184" i="46"/>
  <c r="E920" i="46"/>
  <c r="E495" i="46"/>
  <c r="E901" i="46"/>
  <c r="E963" i="46"/>
  <c r="E574" i="46"/>
  <c r="E161" i="46"/>
  <c r="E549" i="46"/>
  <c r="E805" i="46"/>
  <c r="E337" i="46"/>
  <c r="E157" i="46"/>
  <c r="E870" i="46"/>
  <c r="E748" i="46"/>
  <c r="E389" i="46"/>
  <c r="E688" i="46"/>
  <c r="E837" i="46"/>
  <c r="E621" i="46"/>
  <c r="E677" i="46"/>
  <c r="E246" i="46"/>
  <c r="E212" i="46"/>
  <c r="E185" i="46"/>
  <c r="N4" i="3"/>
  <c r="O4" i="3"/>
  <c r="M4" i="3"/>
  <c r="L4" i="3"/>
  <c r="H4" i="3"/>
  <c r="I4" i="3"/>
  <c r="J4" i="3"/>
  <c r="G4" i="3"/>
  <c r="E518" i="45"/>
  <c r="E983" i="45"/>
  <c r="E519" i="45"/>
  <c r="E688" i="45"/>
  <c r="E982" i="45"/>
  <c r="E150" i="45"/>
  <c r="E18" i="45"/>
  <c r="E973" i="45"/>
  <c r="E296" i="45"/>
  <c r="E410" i="45"/>
  <c r="E459" i="45"/>
  <c r="E708" i="45"/>
  <c r="E122" i="45"/>
  <c r="E856" i="45"/>
  <c r="E596" i="45"/>
  <c r="E844" i="45"/>
  <c r="E627" i="45"/>
  <c r="E531" i="45"/>
  <c r="E583" i="45"/>
  <c r="E635" i="45"/>
  <c r="E88" i="45"/>
  <c r="E310" i="45"/>
  <c r="E137" i="45"/>
  <c r="E170" i="45"/>
  <c r="E420" i="45"/>
  <c r="E414" i="45"/>
  <c r="E868" i="45"/>
  <c r="E25" i="45"/>
  <c r="E319" i="45"/>
  <c r="E878" i="45"/>
  <c r="E914" i="45"/>
  <c r="E117" i="45"/>
  <c r="E585" i="45"/>
  <c r="E275" i="45"/>
  <c r="E974" i="45"/>
  <c r="E765" i="45"/>
  <c r="E892" i="45"/>
  <c r="E2" i="45"/>
  <c r="E754" i="45"/>
  <c r="E729" i="45"/>
  <c r="E428" i="45"/>
  <c r="E444" i="45"/>
  <c r="E391" i="45"/>
  <c r="E804" i="45"/>
  <c r="E293" i="45"/>
  <c r="E523" i="45"/>
  <c r="E479" i="45"/>
  <c r="E813" i="45"/>
  <c r="E376" i="45"/>
  <c r="E95" i="45"/>
  <c r="E39" i="45"/>
  <c r="E218" i="45"/>
  <c r="E431" i="45"/>
  <c r="E214" i="45"/>
  <c r="E524" i="45"/>
  <c r="E224" i="45"/>
  <c r="E951" i="45"/>
  <c r="E354" i="45"/>
  <c r="E641" i="45"/>
  <c r="E155" i="45"/>
  <c r="E447" i="45"/>
  <c r="E995" i="45"/>
  <c r="E467" i="45"/>
  <c r="E867" i="45"/>
  <c r="E587" i="45"/>
  <c r="E917" i="45"/>
  <c r="E582" i="45"/>
  <c r="E63" i="45"/>
  <c r="E510" i="45"/>
  <c r="E139" i="45"/>
  <c r="E921" i="45"/>
  <c r="E235" i="45"/>
  <c r="E833" i="45"/>
  <c r="E960" i="45"/>
  <c r="E616" i="45"/>
  <c r="E226" i="45"/>
  <c r="E348" i="45"/>
  <c r="E435" i="45"/>
  <c r="E514" i="45"/>
  <c r="E548" i="45"/>
  <c r="E3" i="45"/>
  <c r="E279" i="45"/>
  <c r="E726" i="45"/>
  <c r="E34" i="45"/>
  <c r="E909" i="45"/>
  <c r="E679" i="45"/>
  <c r="E730" i="45"/>
  <c r="E962" i="45"/>
  <c r="E538" i="45"/>
  <c r="E504" i="45"/>
  <c r="E65" i="45"/>
  <c r="E156" i="45"/>
  <c r="E511" i="45"/>
  <c r="E74" i="45"/>
  <c r="E662" i="45"/>
  <c r="E379" i="45"/>
  <c r="E840" i="45"/>
  <c r="E785" i="45"/>
  <c r="E14" i="45"/>
  <c r="E512" i="45"/>
  <c r="E149" i="45"/>
  <c r="E128" i="45"/>
  <c r="E695" i="45"/>
  <c r="E332" i="45"/>
  <c r="E788" i="45"/>
  <c r="E297" i="45"/>
  <c r="E234" i="45"/>
  <c r="E132" i="45"/>
  <c r="E396" i="45"/>
  <c r="E427" i="45"/>
  <c r="E615" i="45"/>
  <c r="E419" i="45"/>
  <c r="E72" i="45"/>
  <c r="E272" i="45"/>
  <c r="E714" i="45"/>
  <c r="E330" i="45"/>
  <c r="E448" i="45"/>
  <c r="E461" i="45"/>
  <c r="E400" i="45"/>
  <c r="E77" i="45"/>
  <c r="E245" i="45"/>
  <c r="E678" i="45"/>
  <c r="E600" i="45"/>
  <c r="E622" i="45"/>
  <c r="E767" i="45"/>
  <c r="E991" i="45"/>
  <c r="E915" i="45"/>
  <c r="E620" i="45"/>
  <c r="E191" i="45"/>
  <c r="E49" i="45"/>
  <c r="E763" i="45"/>
  <c r="E110" i="45"/>
  <c r="E202" i="45"/>
  <c r="E516" i="45"/>
  <c r="E286" i="45"/>
  <c r="E342" i="45"/>
  <c r="E199" i="45"/>
  <c r="E85" i="45"/>
  <c r="E331" i="45"/>
  <c r="E781" i="45"/>
  <c r="E817" i="45"/>
  <c r="E851" i="45"/>
  <c r="E90" i="45"/>
  <c r="E554" i="45"/>
  <c r="E959" i="45"/>
  <c r="E701" i="45"/>
  <c r="E264" i="45"/>
  <c r="E69" i="45"/>
  <c r="E253" i="45"/>
  <c r="E792" i="45"/>
  <c r="E724" i="45"/>
  <c r="E502" i="45"/>
  <c r="E312" i="45"/>
  <c r="E943" i="45"/>
  <c r="E306" i="45"/>
  <c r="E752" i="45"/>
  <c r="E711" i="45"/>
  <c r="E407" i="45"/>
  <c r="E13" i="45"/>
  <c r="E426" i="45"/>
  <c r="E890" i="45"/>
  <c r="E336" i="45"/>
  <c r="E495" i="45"/>
  <c r="E251" i="45"/>
  <c r="E194" i="45"/>
  <c r="E653" i="45"/>
  <c r="E989" i="45"/>
  <c r="E436" i="45"/>
  <c r="E481" i="45"/>
  <c r="E192" i="45"/>
  <c r="E28" i="45"/>
  <c r="E378" i="45"/>
  <c r="E401" i="45"/>
  <c r="E569" i="45"/>
  <c r="E694" i="45"/>
  <c r="E874" i="45"/>
  <c r="E693" i="45"/>
  <c r="E863" i="45"/>
  <c r="E578" i="45"/>
  <c r="E7" i="45"/>
  <c r="E421" i="45"/>
  <c r="E756" i="45"/>
  <c r="E636" i="45"/>
  <c r="E183" i="45"/>
  <c r="E145" i="45"/>
  <c r="E217" i="45"/>
  <c r="E749" i="45"/>
  <c r="E655" i="45"/>
  <c r="E869" i="45"/>
  <c r="E671" i="45"/>
  <c r="E134" i="45"/>
  <c r="E746" i="45"/>
  <c r="E680" i="45"/>
  <c r="E710" i="45"/>
  <c r="E619" i="45"/>
  <c r="E70" i="45"/>
  <c r="E10" i="45"/>
  <c r="E258" i="45"/>
  <c r="E143" i="45"/>
  <c r="E947" i="45"/>
  <c r="E738" i="45"/>
  <c r="E432" i="45"/>
  <c r="E411" i="45"/>
  <c r="E346" i="45"/>
  <c r="E698" i="45"/>
  <c r="E901" i="45"/>
  <c r="E299" i="45"/>
  <c r="E593" i="45"/>
  <c r="E539" i="45"/>
  <c r="E764" i="45"/>
  <c r="E845" i="45"/>
  <c r="E186" i="45"/>
  <c r="E860" i="45"/>
  <c r="E255" i="45"/>
  <c r="E778" i="45"/>
  <c r="E138" i="45"/>
  <c r="E977" i="45"/>
  <c r="E228" i="45"/>
  <c r="E397" i="45"/>
  <c r="E206" i="45"/>
  <c r="E129" i="45"/>
  <c r="E605" i="45"/>
  <c r="E808" i="45"/>
  <c r="E776" i="45"/>
  <c r="E273" i="45"/>
  <c r="E493" i="45"/>
  <c r="E858" i="45"/>
  <c r="E172" i="45"/>
  <c r="E797" i="45"/>
  <c r="E567" i="45"/>
  <c r="E107" i="45"/>
  <c r="E850" i="45"/>
  <c r="E650" i="45"/>
  <c r="E530" i="45"/>
  <c r="E577" i="45"/>
  <c r="E532" i="45"/>
  <c r="E800" i="45"/>
  <c r="E558" i="45"/>
  <c r="E916" i="45"/>
  <c r="E313" i="45"/>
  <c r="E452" i="45"/>
  <c r="E161" i="45"/>
  <c r="E588" i="45"/>
  <c r="E795" i="45"/>
  <c r="E288" i="45"/>
  <c r="E52" i="45"/>
  <c r="E439" i="45"/>
  <c r="E801" i="45"/>
  <c r="E575" i="45"/>
  <c r="E130" i="45"/>
  <c r="E871" i="45"/>
  <c r="E349" i="45"/>
  <c r="E463" i="45"/>
  <c r="E888" i="45"/>
  <c r="E654" i="45"/>
  <c r="E236" i="45"/>
  <c r="E56" i="45"/>
  <c r="E556" i="45"/>
  <c r="E83" i="45"/>
  <c r="E966" i="45"/>
  <c r="E904" i="45"/>
  <c r="E301" i="45"/>
  <c r="E240" i="45"/>
  <c r="E648" i="45"/>
  <c r="E832" i="45"/>
  <c r="E573" i="45"/>
  <c r="E112" i="45"/>
  <c r="E912" i="45"/>
  <c r="E451" i="45"/>
  <c r="E646" i="45"/>
  <c r="E352" i="45"/>
  <c r="E42" i="45"/>
  <c r="E489" i="45"/>
  <c r="E133" i="45"/>
  <c r="E564" i="45"/>
  <c r="E475" i="45"/>
  <c r="E830" i="45"/>
  <c r="E125" i="45"/>
  <c r="E115" i="45"/>
  <c r="E894" i="45"/>
  <c r="E12" i="45"/>
  <c r="E417" i="45"/>
  <c r="E241" i="45"/>
  <c r="E907" i="45"/>
  <c r="E15" i="45"/>
  <c r="E607" i="45"/>
  <c r="E576" i="45"/>
  <c r="E790" i="45"/>
  <c r="E838" i="45"/>
  <c r="E625" i="45"/>
  <c r="E649" i="45"/>
  <c r="E733" i="45"/>
  <c r="E59" i="45"/>
  <c r="E949" i="45"/>
  <c r="E140" i="45"/>
  <c r="E667" i="45"/>
  <c r="E847" i="45"/>
  <c r="E392" i="45"/>
  <c r="E498" i="45"/>
  <c r="E762" i="45"/>
  <c r="E857" i="45"/>
  <c r="E449" i="45"/>
  <c r="E614" i="45"/>
  <c r="E341" i="45"/>
  <c r="E908" i="45"/>
  <c r="E167" i="45"/>
  <c r="E20" i="45"/>
  <c r="E71" i="45"/>
  <c r="E409" i="45"/>
  <c r="E922" i="45"/>
  <c r="E981" i="45"/>
  <c r="E23" i="45"/>
  <c r="E27" i="45"/>
  <c r="E987" i="45"/>
  <c r="E618" i="45"/>
  <c r="E866" i="45"/>
  <c r="E875" i="45"/>
  <c r="E932" i="45"/>
  <c r="E438" i="45"/>
  <c r="E162" i="45"/>
  <c r="E940" i="45"/>
  <c r="E309" i="45"/>
  <c r="E359" i="45"/>
  <c r="E496" i="45"/>
  <c r="E836" i="45"/>
  <c r="E861" i="45"/>
  <c r="E105" i="45"/>
  <c r="E99" i="45"/>
  <c r="E357" i="45"/>
  <c r="E136" i="45"/>
  <c r="E948" i="45"/>
  <c r="E703" i="45"/>
  <c r="E601" i="45"/>
  <c r="E37" i="45"/>
  <c r="E507" i="45"/>
  <c r="E775" i="45"/>
  <c r="E972" i="45"/>
  <c r="E741" i="45"/>
  <c r="E899" i="45"/>
  <c r="E664" i="45"/>
  <c r="E849" i="45"/>
  <c r="E146" i="45"/>
  <c r="E373" i="45"/>
  <c r="E488" i="45"/>
  <c r="E480" i="45"/>
  <c r="E613" i="45"/>
  <c r="E945" i="45"/>
  <c r="E918" i="45"/>
  <c r="E126" i="45"/>
  <c r="E46" i="45"/>
  <c r="E490" i="45"/>
  <c r="E818" i="45"/>
  <c r="E759" i="45"/>
  <c r="E887" i="45"/>
  <c r="E713" i="45"/>
  <c r="E769" i="45"/>
  <c r="E33" i="45"/>
  <c r="E689" i="45"/>
  <c r="E483" i="45"/>
  <c r="E416" i="45"/>
  <c r="E345" i="45"/>
  <c r="E985" i="45"/>
  <c r="E828" i="45"/>
  <c r="E965" i="45"/>
  <c r="E113" i="45"/>
  <c r="E276" i="45"/>
  <c r="E930" i="45"/>
  <c r="E815" i="45"/>
  <c r="E355" i="45"/>
  <c r="E263" i="45"/>
  <c r="E652" i="45"/>
  <c r="E937" i="45"/>
  <c r="E182" i="45"/>
  <c r="E716" i="45"/>
  <c r="E604" i="45"/>
  <c r="E316" i="45"/>
  <c r="E829" i="45"/>
  <c r="E787" i="45"/>
  <c r="E584" i="45"/>
  <c r="E629" i="45"/>
  <c r="E9" i="45"/>
  <c r="E142" i="45"/>
  <c r="E661" i="45"/>
  <c r="E761" i="45"/>
  <c r="E979" i="45"/>
  <c r="E568" i="45"/>
  <c r="E6" i="45"/>
  <c r="E700" i="45"/>
  <c r="E280" i="45"/>
  <c r="E302" i="45"/>
  <c r="E101" i="45"/>
  <c r="E38" i="45"/>
  <c r="E232" i="45"/>
  <c r="E45" i="45"/>
  <c r="E783" i="45"/>
  <c r="E281" i="45"/>
  <c r="E534" i="45"/>
  <c r="E1001" i="45"/>
  <c r="E372" i="45"/>
  <c r="E770" i="45"/>
  <c r="E198" i="45"/>
  <c r="E22" i="45"/>
  <c r="E440" i="45"/>
  <c r="E644" i="45"/>
  <c r="E80" i="45"/>
  <c r="E535" i="45"/>
  <c r="E51" i="45"/>
  <c r="E460" i="45"/>
  <c r="E473" i="45"/>
  <c r="E468" i="45"/>
  <c r="E333" i="45"/>
  <c r="E758" i="45"/>
  <c r="E98" i="45"/>
  <c r="E736" i="45"/>
  <c r="E485" i="45"/>
  <c r="E339" i="45"/>
  <c r="E384" i="45"/>
  <c r="E552" i="45"/>
  <c r="E287" i="45"/>
  <c r="E76" i="45"/>
  <c r="E950" i="45"/>
  <c r="E935" i="45"/>
  <c r="E809" i="45"/>
  <c r="E244" i="45"/>
  <c r="E735" i="45"/>
  <c r="E896" i="45"/>
  <c r="E821" i="45"/>
  <c r="E387" i="45"/>
  <c r="E721" i="45"/>
  <c r="E441" i="45"/>
  <c r="E494" i="45"/>
  <c r="E657" i="45"/>
  <c r="E704" i="45"/>
  <c r="E617" i="45"/>
  <c r="E248" i="45"/>
  <c r="E611" i="45"/>
  <c r="E193" i="45"/>
  <c r="E425" i="45"/>
  <c r="E690" i="45"/>
  <c r="E82" i="45"/>
  <c r="E793" i="45"/>
  <c r="E180" i="45"/>
  <c r="E79" i="45"/>
  <c r="E219" i="45"/>
  <c r="E773" i="45"/>
  <c r="E782" i="45"/>
  <c r="E385" i="45"/>
  <c r="E994" i="45"/>
  <c r="E659" i="45"/>
  <c r="E590" i="45"/>
  <c r="E500" i="45"/>
  <c r="E926" i="45"/>
  <c r="E383" i="45"/>
  <c r="E820" i="45"/>
  <c r="E882" i="45"/>
  <c r="E751" i="45"/>
  <c r="E19" i="45"/>
  <c r="E57" i="45"/>
  <c r="E53" i="45"/>
  <c r="E246" i="45"/>
  <c r="E152" i="45"/>
  <c r="E805" i="45"/>
  <c r="E789" i="45"/>
  <c r="E895" i="45"/>
  <c r="E822" i="45"/>
  <c r="E980" i="45"/>
  <c r="E812" i="45"/>
  <c r="E340" i="45"/>
  <c r="E971" i="45"/>
  <c r="E923" i="45"/>
  <c r="E610" i="45"/>
  <c r="E859" i="45"/>
  <c r="E802" i="45"/>
  <c r="E43" i="45"/>
  <c r="E574" i="45"/>
  <c r="E928" i="45"/>
  <c r="E17" i="45"/>
  <c r="E691" i="45"/>
  <c r="E872" i="45"/>
  <c r="E68" i="45"/>
  <c r="E487" i="45"/>
  <c r="E243" i="45"/>
  <c r="E780" i="45"/>
  <c r="E722" i="45"/>
  <c r="E834" i="45"/>
  <c r="E454" i="45"/>
  <c r="E371" i="45"/>
  <c r="E364" i="45"/>
  <c r="E196" i="45"/>
  <c r="E324" i="45"/>
  <c r="E968" i="45"/>
  <c r="E365" i="45"/>
  <c r="E100" i="45"/>
  <c r="E595" i="45"/>
  <c r="E181" i="45"/>
  <c r="E709" i="45"/>
  <c r="E86" i="45"/>
  <c r="E450" i="45"/>
  <c r="E262" i="45"/>
  <c r="E327" i="45"/>
  <c r="E268" i="45"/>
  <c r="E811" i="45"/>
  <c r="E544" i="45"/>
  <c r="E75" i="45"/>
  <c r="E978" i="45"/>
  <c r="E260" i="45"/>
  <c r="E267" i="45"/>
  <c r="E351" i="45"/>
  <c r="E955" i="45"/>
  <c r="E215" i="45"/>
  <c r="E728" i="45"/>
  <c r="E842" i="45"/>
  <c r="E720" i="45"/>
  <c r="E559" i="45"/>
  <c r="E406" i="45"/>
  <c r="E961" i="45"/>
  <c r="E216" i="45"/>
  <c r="E81" i="45"/>
  <c r="E942" i="45"/>
  <c r="E996" i="45"/>
  <c r="E314" i="45"/>
  <c r="E602" i="45"/>
  <c r="E462" i="45"/>
  <c r="E270" i="45"/>
  <c r="E603" i="45"/>
  <c r="E434" i="45"/>
  <c r="E957" i="45"/>
  <c r="E566" i="45"/>
  <c r="E413" i="45"/>
  <c r="E329" i="45"/>
  <c r="E645" i="45"/>
  <c r="E727" i="45"/>
  <c r="E388" i="45"/>
  <c r="E796" i="45"/>
  <c r="E478" i="45"/>
  <c r="E315" i="45"/>
  <c r="E993" i="45"/>
  <c r="E335" i="45"/>
  <c r="E598" i="45"/>
  <c r="E337" i="45"/>
  <c r="E201" i="45"/>
  <c r="E571" i="45"/>
  <c r="E520" i="45"/>
  <c r="E731" i="45"/>
  <c r="E123" i="45"/>
  <c r="E623" i="45"/>
  <c r="E522" i="45"/>
  <c r="E456" i="45"/>
  <c r="E750" i="45"/>
  <c r="E207" i="45"/>
  <c r="E658" i="45"/>
  <c r="E810" i="45"/>
  <c r="E393" i="45"/>
  <c r="E442" i="45"/>
  <c r="E900" i="45"/>
  <c r="E906" i="45"/>
  <c r="E163" i="45"/>
  <c r="E121" i="45"/>
  <c r="E36" i="45"/>
  <c r="E934" i="45"/>
  <c r="E913" i="45"/>
  <c r="E190" i="45"/>
  <c r="E707" i="45"/>
  <c r="E743" i="45"/>
  <c r="E390" i="45"/>
  <c r="E322" i="45"/>
  <c r="E638" i="45"/>
  <c r="E374" i="45"/>
  <c r="E517" i="45"/>
  <c r="E798" i="45"/>
  <c r="E939" i="45"/>
  <c r="E389" i="45"/>
  <c r="E777" i="45"/>
  <c r="E294" i="45"/>
  <c r="E188" i="45"/>
  <c r="E898" i="45"/>
  <c r="E380" i="45"/>
  <c r="E29" i="45"/>
  <c r="E157" i="45"/>
  <c r="E543" i="45"/>
  <c r="E580" i="45"/>
  <c r="E599" i="45"/>
  <c r="E712" i="45"/>
  <c r="E305" i="45"/>
  <c r="E609" i="45"/>
  <c r="E925" i="45"/>
  <c r="E220" i="45"/>
  <c r="E852" i="45"/>
  <c r="E975" i="45"/>
  <c r="E541" i="45"/>
  <c r="E252" i="45"/>
  <c r="E266" i="45"/>
  <c r="E326" i="45"/>
  <c r="E954" i="45"/>
  <c r="E84" i="45"/>
  <c r="E338" i="45"/>
  <c r="E651" i="45"/>
  <c r="E118" i="45"/>
  <c r="E1000" i="45"/>
  <c r="E719" i="45"/>
  <c r="E254" i="45"/>
  <c r="E178" i="45"/>
  <c r="E555" i="45"/>
  <c r="E446" i="45"/>
  <c r="E363" i="45"/>
  <c r="E734" i="45"/>
  <c r="E687" i="45"/>
  <c r="E284" i="45"/>
  <c r="E503" i="45"/>
  <c r="E550" i="45"/>
  <c r="E415" i="45"/>
  <c r="E151" i="45"/>
  <c r="E794" i="45"/>
  <c r="E166" i="45"/>
  <c r="E903" i="45"/>
  <c r="E919" i="45"/>
  <c r="E418" i="45"/>
  <c r="E92" i="45"/>
  <c r="E402" i="45"/>
  <c r="E626" i="45"/>
  <c r="E116" i="45"/>
  <c r="E277" i="45"/>
  <c r="E501" i="45"/>
  <c r="E361" i="45"/>
  <c r="E639" i="45"/>
  <c r="E50" i="45"/>
  <c r="E819" i="45"/>
  <c r="E175" i="45"/>
  <c r="E40" i="45"/>
  <c r="E885" i="45"/>
  <c r="E938" i="45"/>
  <c r="E681" i="45"/>
  <c r="E848" i="45"/>
  <c r="E854" i="45"/>
  <c r="E563" i="45"/>
  <c r="E628" i="45"/>
  <c r="E165" i="45"/>
  <c r="E594" i="45"/>
  <c r="E944" i="45"/>
  <c r="E884" i="45"/>
  <c r="E670" i="45"/>
  <c r="E265" i="45"/>
  <c r="E353" i="45"/>
  <c r="E824" i="45"/>
  <c r="E295" i="45"/>
  <c r="E633" i="45"/>
  <c r="E16" i="45"/>
  <c r="E300" i="45"/>
  <c r="E127" i="45"/>
  <c r="E540" i="45"/>
  <c r="E803" i="45"/>
  <c r="E910" i="45"/>
  <c r="E44" i="45"/>
  <c r="E8" i="45"/>
  <c r="E106" i="45"/>
  <c r="E637" i="45"/>
  <c r="E643" i="45"/>
  <c r="E458" i="45"/>
  <c r="E881" i="45"/>
  <c r="E521" i="45"/>
  <c r="E311" i="45"/>
  <c r="E998" i="45"/>
  <c r="E672" i="45"/>
  <c r="E47" i="45"/>
  <c r="E120" i="45"/>
  <c r="E706" i="45"/>
  <c r="E482" i="45"/>
  <c r="E952" i="45"/>
  <c r="E318" i="45"/>
  <c r="E230" i="45"/>
  <c r="E739" i="45"/>
  <c r="E561" i="45"/>
  <c r="E537" i="45"/>
  <c r="E737" i="45"/>
  <c r="E873" i="45"/>
  <c r="E642" i="45"/>
  <c r="E997" i="45"/>
  <c r="E536" i="45"/>
  <c r="E837" i="45"/>
  <c r="E58" i="45"/>
  <c r="E779" i="45"/>
  <c r="E768" i="45"/>
  <c r="E41" i="45"/>
  <c r="E508" i="45"/>
  <c r="E78" i="45"/>
  <c r="E164" i="45"/>
  <c r="E222" i="45"/>
  <c r="E209" i="45"/>
  <c r="E213" i="45"/>
  <c r="E223" i="45"/>
  <c r="E147" i="45"/>
  <c r="E55" i="45"/>
  <c r="E64" i="45"/>
  <c r="E141" i="45"/>
  <c r="E203" i="45"/>
  <c r="E135" i="45"/>
  <c r="E855" i="45"/>
  <c r="E174" i="45"/>
  <c r="E753" i="45"/>
  <c r="E67" i="45"/>
  <c r="E102" i="45"/>
  <c r="E846" i="45"/>
  <c r="E189" i="45"/>
  <c r="E233" i="45"/>
  <c r="E692" i="45"/>
  <c r="E497" i="45"/>
  <c r="E111" i="45"/>
  <c r="E208" i="45"/>
  <c r="E632" i="45"/>
  <c r="E953" i="45"/>
  <c r="E11" i="45"/>
  <c r="E964" i="45"/>
  <c r="E464" i="45"/>
  <c r="E823" i="45"/>
  <c r="E608" i="45"/>
  <c r="E924" i="45"/>
  <c r="E423" i="45"/>
  <c r="E109" i="45"/>
  <c r="E185" i="45"/>
  <c r="E612" i="45"/>
  <c r="E453" i="45"/>
  <c r="E528" i="45"/>
  <c r="E757" i="45"/>
  <c r="E992" i="45"/>
  <c r="E430" i="45"/>
  <c r="E970" i="45"/>
  <c r="E723" i="45"/>
  <c r="E237" i="45"/>
  <c r="E103" i="45"/>
  <c r="E969" i="45"/>
  <c r="E675" i="45"/>
  <c r="E984" i="45"/>
  <c r="E247" i="45"/>
  <c r="E443" i="45"/>
  <c r="E791" i="45"/>
  <c r="E455" i="45"/>
  <c r="E696" i="45"/>
  <c r="E717" i="45"/>
  <c r="E958" i="45"/>
  <c r="E702" i="45"/>
  <c r="E48" i="45"/>
  <c r="E902" i="45"/>
  <c r="E967" i="45"/>
  <c r="E211" i="45"/>
  <c r="E927" i="45"/>
  <c r="E677" i="45"/>
  <c r="E879" i="45"/>
  <c r="E807" i="45"/>
  <c r="E422" i="45"/>
  <c r="E60" i="45"/>
  <c r="E936" i="45"/>
  <c r="E278" i="45"/>
  <c r="E35" i="45"/>
  <c r="E715" i="45"/>
  <c r="E158" i="45"/>
  <c r="E933" i="45"/>
  <c r="E320" i="45"/>
  <c r="E586" i="45"/>
  <c r="E560" i="45"/>
  <c r="E91" i="45"/>
  <c r="E73" i="45"/>
  <c r="E853" i="45"/>
  <c r="E200" i="45"/>
  <c r="E988" i="45"/>
  <c r="E197" i="45"/>
  <c r="E61" i="45"/>
  <c r="E405" i="45"/>
  <c r="E931" i="45"/>
  <c r="E424" i="45"/>
  <c r="E472" i="45"/>
  <c r="E356" i="45"/>
  <c r="E205" i="45"/>
  <c r="E513" i="45"/>
  <c r="E606" i="45"/>
  <c r="E282" i="45"/>
  <c r="E963" i="45"/>
  <c r="E204" i="45"/>
  <c r="E471" i="45"/>
  <c r="E772" i="45"/>
  <c r="E631" i="45"/>
  <c r="E862" i="45"/>
  <c r="E889" i="45"/>
  <c r="E350" i="45"/>
  <c r="E229" i="45"/>
  <c r="E168" i="45"/>
  <c r="E771" i="45"/>
  <c r="E30" i="45"/>
  <c r="E24" i="45"/>
  <c r="E323" i="45"/>
  <c r="E870" i="45"/>
  <c r="E470" i="45"/>
  <c r="E285" i="45"/>
  <c r="E621" i="45"/>
  <c r="E291" i="45"/>
  <c r="E911" i="45"/>
  <c r="E476" i="45"/>
  <c r="E755" i="45"/>
  <c r="E375" i="45"/>
  <c r="E94" i="45"/>
  <c r="E774" i="45"/>
  <c r="E360" i="45"/>
  <c r="E705" i="45"/>
  <c r="E283" i="45"/>
  <c r="E941" i="45"/>
  <c r="E697" i="45"/>
  <c r="E31" i="45"/>
  <c r="E381" i="45"/>
  <c r="E897" i="45"/>
  <c r="E465" i="45"/>
  <c r="E597" i="45"/>
  <c r="E4" i="45"/>
  <c r="E62" i="45"/>
  <c r="E429" i="45"/>
  <c r="E806" i="45"/>
  <c r="E744" i="45"/>
  <c r="E570" i="45"/>
  <c r="E119" i="45"/>
  <c r="E437" i="45"/>
  <c r="E839" i="45"/>
  <c r="E674" i="45"/>
  <c r="E656" i="45"/>
  <c r="E525" i="45"/>
  <c r="E592" i="45"/>
  <c r="E124" i="45"/>
  <c r="E184" i="45"/>
  <c r="E699" i="45"/>
  <c r="E545" i="45"/>
  <c r="E227" i="45"/>
  <c r="E841" i="45"/>
  <c r="E368" i="45"/>
  <c r="E581" i="45"/>
  <c r="E946" i="45"/>
  <c r="E317" i="45"/>
  <c r="E274" i="45"/>
  <c r="E469" i="45"/>
  <c r="E395" i="45"/>
  <c r="E665" i="45"/>
  <c r="E572" i="45"/>
  <c r="E362" i="45"/>
  <c r="E89" i="45"/>
  <c r="E499" i="45"/>
  <c r="E668" i="45"/>
  <c r="E93" i="45"/>
  <c r="E177" i="45"/>
  <c r="E546" i="45"/>
  <c r="E843" i="45"/>
  <c r="E271" i="45"/>
  <c r="E880" i="45"/>
  <c r="E347" i="45"/>
  <c r="E358" i="45"/>
  <c r="E742" i="45"/>
  <c r="E195" i="45"/>
  <c r="E259" i="45"/>
  <c r="E684" i="45"/>
  <c r="E289" i="45"/>
  <c r="E905" i="45"/>
  <c r="E344" i="45"/>
  <c r="E484" i="45"/>
  <c r="E816" i="45"/>
  <c r="E683" i="45"/>
  <c r="E412" i="45"/>
  <c r="E457" i="45"/>
  <c r="E864" i="45"/>
  <c r="E877" i="45"/>
  <c r="E786" i="45"/>
  <c r="E553" i="45"/>
  <c r="E159" i="45"/>
  <c r="E256" i="45"/>
  <c r="E986" i="45"/>
  <c r="E515" i="45"/>
  <c r="E630" i="45"/>
  <c r="E551" i="45"/>
  <c r="E676" i="45"/>
  <c r="E542" i="45"/>
  <c r="E492" i="45"/>
  <c r="E976" i="45"/>
  <c r="E666" i="45"/>
  <c r="E386" i="45"/>
  <c r="E591" i="45"/>
  <c r="E760" i="45"/>
  <c r="E96" i="45"/>
  <c r="E491" i="45"/>
  <c r="E304" i="45"/>
  <c r="E404" i="45"/>
  <c r="E718" i="45"/>
  <c r="E154" i="45"/>
  <c r="E343" i="45"/>
  <c r="E999" i="45"/>
  <c r="E153" i="45"/>
  <c r="E920" i="45"/>
  <c r="E589" i="45"/>
  <c r="E54" i="45"/>
  <c r="E486" i="45"/>
  <c r="E883" i="45"/>
  <c r="E956" i="45"/>
  <c r="E466" i="45"/>
  <c r="E547" i="45"/>
  <c r="E292" i="45"/>
  <c r="E686" i="45"/>
  <c r="E290" i="45"/>
  <c r="E97" i="45"/>
  <c r="E529" i="45"/>
  <c r="E231" i="45"/>
  <c r="E328" i="45"/>
  <c r="E557" i="45"/>
  <c r="E325" i="45"/>
  <c r="E876" i="45"/>
  <c r="E239" i="45"/>
  <c r="E669" i="45"/>
  <c r="E261" i="45"/>
  <c r="E225" i="45"/>
  <c r="E5" i="45"/>
  <c r="E477" i="45"/>
  <c r="E303" i="45"/>
  <c r="E257" i="45"/>
  <c r="E210" i="45"/>
  <c r="E382" i="45"/>
  <c r="E187" i="45"/>
  <c r="E624" i="45"/>
  <c r="E660" i="45"/>
  <c r="E766" i="45"/>
  <c r="E131" i="45"/>
  <c r="E682" i="45"/>
  <c r="E740" i="45"/>
  <c r="E398" i="45"/>
  <c r="E221" i="45"/>
  <c r="E366" i="45"/>
  <c r="E307" i="45"/>
  <c r="E474" i="45"/>
  <c r="E160" i="45"/>
  <c r="E826" i="45"/>
  <c r="E399" i="45"/>
  <c r="E748" i="45"/>
  <c r="E527" i="45"/>
  <c r="E831" i="45"/>
  <c r="E799" i="45"/>
  <c r="E725" i="45"/>
  <c r="E549" i="45"/>
  <c r="E249" i="45"/>
  <c r="E21" i="45"/>
  <c r="E579" i="45"/>
  <c r="E886" i="45"/>
  <c r="E308" i="45"/>
  <c r="E562" i="45"/>
  <c r="E673" i="45"/>
  <c r="E144" i="45"/>
  <c r="E32" i="45"/>
  <c r="E148" i="45"/>
  <c r="E990" i="45"/>
  <c r="E506" i="45"/>
  <c r="E445" i="45"/>
  <c r="E238" i="45"/>
  <c r="E212" i="45"/>
  <c r="E640" i="45"/>
  <c r="E269" i="45"/>
  <c r="E814" i="45"/>
  <c r="E26" i="45"/>
  <c r="E929" i="45"/>
  <c r="E825" i="45"/>
  <c r="E108" i="45"/>
  <c r="E745" i="45"/>
  <c r="E298" i="45"/>
  <c r="E732" i="45"/>
  <c r="E87" i="45"/>
  <c r="E663" i="45"/>
  <c r="E321" i="45"/>
  <c r="E179" i="45"/>
  <c r="E505" i="45"/>
  <c r="E835" i="45"/>
  <c r="E369" i="45"/>
  <c r="E367" i="45"/>
  <c r="E394" i="45"/>
  <c r="E634" i="45"/>
  <c r="E104" i="45"/>
  <c r="E334" i="45"/>
  <c r="E171" i="45"/>
  <c r="E408" i="45"/>
  <c r="E747" i="45"/>
  <c r="E565" i="45"/>
  <c r="E250" i="45"/>
  <c r="E865" i="45"/>
  <c r="E526" i="45"/>
  <c r="E114" i="45"/>
  <c r="E433" i="45"/>
  <c r="E169" i="45"/>
  <c r="E685" i="45"/>
  <c r="E66" i="45"/>
  <c r="E509" i="45"/>
  <c r="E403" i="45"/>
  <c r="E377" i="45"/>
  <c r="E647" i="45"/>
  <c r="E242" i="45"/>
  <c r="E827" i="45"/>
  <c r="E784" i="45"/>
  <c r="E533" i="45"/>
  <c r="E173" i="45"/>
  <c r="E176" i="45"/>
  <c r="E893" i="45"/>
  <c r="E891" i="45"/>
  <c r="E370" i="45"/>
  <c r="M3" i="3"/>
  <c r="N3" i="3"/>
  <c r="O3" i="3"/>
  <c r="L3" i="3"/>
  <c r="H3" i="3"/>
  <c r="I3" i="3"/>
  <c r="J3" i="3"/>
  <c r="G3" i="3"/>
  <c r="O29" i="3" l="1" a="1"/>
  <c r="O29" i="3" s="1"/>
  <c r="C5" i="3"/>
  <c r="C17" i="3" s="1"/>
  <c r="H17" i="3" s="1"/>
  <c r="N29" i="3" a="1"/>
  <c r="N29" i="3" s="1"/>
  <c r="M29" i="3" a="1"/>
  <c r="M29" i="3" s="1"/>
  <c r="L11" i="3" a="1"/>
  <c r="L11" i="3" s="1"/>
  <c r="O11" i="3" a="1"/>
  <c r="O11" i="3" s="1"/>
  <c r="N11" i="3" a="1"/>
  <c r="N11" i="3" s="1"/>
  <c r="M11" i="3" a="1"/>
  <c r="M11" i="3" s="1"/>
  <c r="L17" i="3" a="1"/>
  <c r="L17" i="3" s="1"/>
  <c r="O17" i="3" a="1"/>
  <c r="O17" i="3" s="1"/>
  <c r="N17" i="3" a="1"/>
  <c r="N17" i="3" s="1"/>
  <c r="M17" i="3" a="1"/>
  <c r="M17" i="3" s="1"/>
  <c r="B5" i="3"/>
  <c r="B11" i="3" s="1"/>
  <c r="L23" i="3" a="1"/>
  <c r="L23" i="3" s="1"/>
  <c r="O23" i="3" a="1"/>
  <c r="O23" i="3" s="1"/>
  <c r="D5" i="3"/>
  <c r="D23" i="3" s="1"/>
  <c r="H23" i="3" s="1"/>
  <c r="N23" i="3" a="1"/>
  <c r="N23" i="3" s="1"/>
  <c r="E5" i="3"/>
  <c r="E29" i="3" s="1"/>
  <c r="G29" i="3" s="1"/>
  <c r="M23" i="3" a="1"/>
  <c r="M23" i="3" s="1"/>
  <c r="L29" i="3" a="1"/>
  <c r="L29" i="3" s="1"/>
  <c r="C4" i="3"/>
  <c r="C16" i="3" s="1"/>
  <c r="J16" i="3" s="1"/>
  <c r="O10" i="3" a="1"/>
  <c r="O10" i="3" s="1"/>
  <c r="L27" i="3" a="1"/>
  <c r="L27" i="3" s="1"/>
  <c r="M21" i="3" a="1"/>
  <c r="M21" i="3" s="1"/>
  <c r="O27" i="3" a="1"/>
  <c r="O27" i="3" s="1"/>
  <c r="N27" i="3" a="1"/>
  <c r="N27" i="3" s="1"/>
  <c r="M27" i="3" a="1"/>
  <c r="M27" i="3" s="1"/>
  <c r="L9" i="3" a="1"/>
  <c r="L9" i="3" s="1"/>
  <c r="O9" i="3" a="1"/>
  <c r="O9" i="3" s="1"/>
  <c r="N9" i="3" a="1"/>
  <c r="N9" i="3" s="1"/>
  <c r="M9" i="3" a="1"/>
  <c r="M9" i="3" s="1"/>
  <c r="L15" i="3" a="1"/>
  <c r="L15" i="3" s="1"/>
  <c r="O15" i="3" a="1"/>
  <c r="O15" i="3" s="1"/>
  <c r="N15" i="3" a="1"/>
  <c r="N15" i="3" s="1"/>
  <c r="M15" i="3" a="1"/>
  <c r="M15" i="3" s="1"/>
  <c r="B3" i="3"/>
  <c r="B9" i="3" s="1"/>
  <c r="H9" i="3" s="1"/>
  <c r="L21" i="3" a="1"/>
  <c r="L21" i="3" s="1"/>
  <c r="C3" i="3"/>
  <c r="C15" i="3" s="1"/>
  <c r="H15" i="3" s="1"/>
  <c r="O21" i="3" a="1"/>
  <c r="O21" i="3" s="1"/>
  <c r="D3" i="3"/>
  <c r="D21" i="3" s="1"/>
  <c r="N21" i="3" a="1"/>
  <c r="N21" i="3" s="1"/>
  <c r="E3" i="3"/>
  <c r="E27" i="3" s="1"/>
  <c r="H27" i="3" s="1"/>
  <c r="L16" i="3" a="1"/>
  <c r="L16" i="3" s="1"/>
  <c r="O16" i="3" a="1"/>
  <c r="O16" i="3" s="1"/>
  <c r="L28" i="3" a="1"/>
  <c r="L28" i="3" s="1"/>
  <c r="N16" i="3" a="1"/>
  <c r="N16" i="3" s="1"/>
  <c r="O28" i="3" a="1"/>
  <c r="O28" i="3" s="1"/>
  <c r="M16" i="3" a="1"/>
  <c r="M16" i="3" s="1"/>
  <c r="N28" i="3" a="1"/>
  <c r="N28" i="3" s="1"/>
  <c r="M28" i="3" a="1"/>
  <c r="M28" i="3" s="1"/>
  <c r="L10" i="3" a="1"/>
  <c r="L10" i="3" s="1"/>
  <c r="B4" i="3"/>
  <c r="B10" i="3" s="1"/>
  <c r="G10" i="3" s="1"/>
  <c r="L22" i="3" a="1"/>
  <c r="L22" i="3" s="1"/>
  <c r="D4" i="3"/>
  <c r="D22" i="3" s="1"/>
  <c r="H22" i="3" s="1"/>
  <c r="N10" i="3" a="1"/>
  <c r="N10" i="3" s="1"/>
  <c r="E4" i="3"/>
  <c r="E28" i="3" s="1"/>
  <c r="G28" i="3" s="1"/>
  <c r="O22" i="3" a="1"/>
  <c r="O22" i="3" s="1"/>
  <c r="N22" i="3" a="1"/>
  <c r="N22" i="3" s="1"/>
  <c r="M10" i="3" a="1"/>
  <c r="M10" i="3" s="1"/>
  <c r="M22" i="3" a="1"/>
  <c r="M22" i="3" s="1"/>
  <c r="I17" i="3" l="1"/>
  <c r="J17" i="3"/>
  <c r="H29" i="3"/>
  <c r="G17" i="3"/>
  <c r="I29" i="3"/>
  <c r="J29" i="3"/>
  <c r="I15" i="3"/>
  <c r="J15" i="3"/>
  <c r="G15" i="3"/>
  <c r="G16" i="3"/>
  <c r="J23" i="3"/>
  <c r="I23" i="3"/>
  <c r="H16" i="3"/>
  <c r="I16" i="3"/>
  <c r="I11" i="3"/>
  <c r="J11" i="3"/>
  <c r="G11" i="3"/>
  <c r="H11" i="3"/>
  <c r="G23" i="3"/>
  <c r="H28" i="3"/>
  <c r="J9" i="3"/>
  <c r="I21" i="3"/>
  <c r="G9" i="3"/>
  <c r="I9" i="3"/>
  <c r="I27" i="3"/>
  <c r="G21" i="3"/>
  <c r="G27" i="3"/>
  <c r="J21" i="3"/>
  <c r="J27" i="3"/>
  <c r="H21" i="3"/>
  <c r="H10" i="3"/>
  <c r="I22" i="3"/>
  <c r="J22" i="3"/>
  <c r="I28" i="3"/>
  <c r="J28" i="3"/>
  <c r="I10" i="3"/>
  <c r="J10" i="3"/>
  <c r="G2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<sst xmlns="http://schemas.openxmlformats.org/spreadsheetml/2006/main" count="223" uniqueCount="89">
  <si>
    <t>trial</t>
  </si>
  <si>
    <t>Trial number</t>
  </si>
  <si>
    <t>taxon</t>
  </si>
  <si>
    <t>x</t>
  </si>
  <si>
    <t>y</t>
  </si>
  <si>
    <t>terminal</t>
  </si>
  <si>
    <t>True state of trait X of the test taxon</t>
  </si>
  <si>
    <t>True state of trait Y of the test taxon</t>
  </si>
  <si>
    <t>Terminal branch length of the test taxon</t>
  </si>
  <si>
    <t>Test taxon (the target taxon or the taxon that was being predicted)</t>
  </si>
  <si>
    <t>p.bb</t>
  </si>
  <si>
    <t>p.nb</t>
  </si>
  <si>
    <t>p.ind.rj</t>
  </si>
  <si>
    <t>p.dep.rj</t>
  </si>
  <si>
    <t>c.bb</t>
  </si>
  <si>
    <t>c.nb</t>
  </si>
  <si>
    <t>c.ind.rj</t>
  </si>
  <si>
    <t>c.dep.rj</t>
  </si>
  <si>
    <t>ll.bb</t>
  </si>
  <si>
    <t>ll.nb</t>
  </si>
  <si>
    <t>ll.ind.rj</t>
  </si>
  <si>
    <t>ll.dep.rj</t>
  </si>
  <si>
    <t>scenario</t>
  </si>
  <si>
    <t>summary</t>
  </si>
  <si>
    <t>test.00</t>
  </si>
  <si>
    <t>test.01</t>
  </si>
  <si>
    <t>test.10</t>
  </si>
  <si>
    <t>test.11</t>
  </si>
  <si>
    <t>Count of the test taxon with X = 0 and Y = 0 across the 1,000 trials</t>
  </si>
  <si>
    <t>Count of the test taxon with X = 0 and Y = 1 across the 1,000 trials</t>
  </si>
  <si>
    <t>Count of the test taxon with X = 1 and Y = 0 across the 1,000 trials</t>
  </si>
  <si>
    <t>Count of the test taxon with X = 1 and Y = 1 across the 1,000 trials</t>
  </si>
  <si>
    <t>xy</t>
  </si>
  <si>
    <t>Concatenated states of trait X and trait Y of the test taxon</t>
  </si>
  <si>
    <t>Color: 00</t>
  </si>
  <si>
    <t>Color: 01</t>
  </si>
  <si>
    <t>Color: 10</t>
  </si>
  <si>
    <t>Color: 11</t>
  </si>
  <si>
    <t>Predicted probability of Y = 1 in the test taxon, coming from the Bayesian Beta-Binomial model</t>
  </si>
  <si>
    <t>Predicted probability of Y = 1 in the test taxon, coming from the Naive Bayes method</t>
  </si>
  <si>
    <t>acc.bb</t>
  </si>
  <si>
    <t>acc.nb</t>
  </si>
  <si>
    <t>acc.ind.rj</t>
  </si>
  <si>
    <t>acc.dep.rj</t>
  </si>
  <si>
    <t>mll.bb</t>
  </si>
  <si>
    <t>mll.nb</t>
  </si>
  <si>
    <t>mll.ind.rj</t>
  </si>
  <si>
    <t>mll.dep.rj</t>
  </si>
  <si>
    <t>Predicted probability of Y = 1 in the test taxon, coming from the RJMCMC-Discrete-Independent method (BayesTraits)</t>
  </si>
  <si>
    <t>Predicted probability of Y = 1 in the test taxon, coming from the RJMCMC-Discrete-Dependent method (BayesTraits)</t>
  </si>
  <si>
    <t>100: Correct prediction, 0: Incorrect prediction (correct if predicted probability from the Bayesian Beta-Binomial model &gt; 0.5 when the true Y = 1 OR &lt; 0.5 when the true Y = 0)</t>
  </si>
  <si>
    <t>100: Correct prediction, 0: Incorrect prediction (correct if predicted probability from the Naive Bayes method &gt; 0.5 when the true Y = 1 OR &lt; 0.5 when the true Y = 0)</t>
  </si>
  <si>
    <t>100: Correct prediction, 0: Incorrect prediction (correct if predicted probability from the RJMCMC-Discrete-Independent method (BayesTraits) &gt; 0.5 when the true Y = 1 OR &lt; 0.5 when the true Y = 0)</t>
  </si>
  <si>
    <t>100: Correct prediction, 0: Incorrect prediction (correct if predicted probability from the RJMCMC-Discrete-Dependent method (BayesTraits) &gt; 0.5 when the true Y = 1 OR &lt; 0.5 when the true Y = 0)</t>
  </si>
  <si>
    <t>Log loss of the Bayesian Beta-Binomial prediction</t>
  </si>
  <si>
    <t>Log loss of the Naive Bayes prediction</t>
  </si>
  <si>
    <t>Log loss of the RJMCMC-Discrete-Independent (BayesTraits) prediction</t>
  </si>
  <si>
    <t>Log loss of the RJMCMC-Discrete-Dependent (BayesTraits) prediction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</si>
  <si>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</si>
  <si>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</si>
  <si>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</si>
  <si>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Accuracy of the Bayesian Beta-Binomial prediction method</t>
  </si>
  <si>
    <t>Accuracy of the Naive Bayes prediction method</t>
  </si>
  <si>
    <t>Accuracy of the RJMCMC-Discrete-Independent (BayesTraits) prediction method</t>
  </si>
  <si>
    <t>Accuracy of the RJMCMC-Discrete-Dependent (BayesTraits) prediction method</t>
  </si>
  <si>
    <t>Median log loss of the Bayesian Beta-Binomial prediction method</t>
  </si>
  <si>
    <t>Median log loss of the Naive Bayes prediction method</t>
  </si>
  <si>
    <t>Median log loss of the RJMCMC-Discrete-Independent (BayesTraits) prediction method</t>
  </si>
  <si>
    <t>Median log loss of the RJMCMC-Discrete-Dependent (BayesTraits) prediction method</t>
  </si>
  <si>
    <t>ALL</t>
  </si>
  <si>
    <t>TRUE STATE OF TEST TAXON: 00</t>
  </si>
  <si>
    <t>TRUE STATE OF TEST TAXON: 01</t>
  </si>
  <si>
    <t>TRUE STATE OF TEST TAXON: 10</t>
  </si>
  <si>
    <t>TRUE STATE OF TEST TAXON: 11</t>
  </si>
  <si>
    <t>Color: 0</t>
  </si>
  <si>
    <t>Color: 0.5</t>
  </si>
  <si>
    <t>Color: 1</t>
  </si>
  <si>
    <t>Evolutionary scenario (Q matrix) we used to simulate traits X and Y</t>
  </si>
  <si>
    <t>NA</t>
  </si>
  <si>
    <t>DEP3.L</t>
  </si>
  <si>
    <t>DEP3.M</t>
  </si>
  <si>
    <t>DEP3.H</t>
  </si>
  <si>
    <t>DEP3.L: Very high dependency, low rates</t>
  </si>
  <si>
    <t>DEP3.M: Very high dependency, medium rates</t>
  </si>
  <si>
    <t>DEP3.H: Very high dependency, high rates</t>
  </si>
  <si>
    <t>DEP3.L-DEP3.H</t>
  </si>
  <si>
    <t>Color: Maximum terminal branch length</t>
  </si>
  <si>
    <t>Color: Median terminal branch length</t>
  </si>
  <si>
    <t>Color: Minimum terminal branch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</si>
</sst>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766D"/>
        <bgColor indexed="64"/>
      </patternFill>
    </fill>
    <fill>
      <patternFill patternType="solid">
        <fgColor rgb="FF00BFC4"/>
        <bgColor indexed="64"/>
      </patternFill>
    </fill>
    <fill>
      <patternFill patternType="solid">
        <fgColor rgb="FF7CAE00"/>
        <bgColor indexed="64"/>
      </patternFill>
    </fill>
    <fill>
      <patternFill patternType="solid">
        <fgColor rgb="FFC77CFF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1" fontId="3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1" fontId="5" fillId="0" borderId="0" xfId="0" applyNumberFormat="1" applyFont="1"/>
    <xf numFmtId="49" fontId="1" fillId="0" borderId="0" xfId="0" applyNumberFormat="1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9" borderId="0" xfId="0" applyFill="1"/>
    <xf numFmtId="0" fontId="5" fillId="0" borderId="0" xfId="0" applyFont="1"/>
    <xf numFmtId="2" fontId="5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2"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</dxfs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53"/>
  <sheetViews>
    <sheetView tabSelected="1" workbookViewId="0">
      <selection sqref="A1:B1"/>
    </sheetView>
  </sheetViews>
  <sheetFormatPr defaultRowHeight="14.4" x14ac:dyDescent="0.3"/>
  <cols>
    <col min="1" max="1" width="15.44140625" style="1" bestFit="1" customWidth="1"/>
    <col min="2" max="2" width="166.77734375" bestFit="1" customWidth="1"/>
  </cols>
  <sheetData>
    <row r="1" spans="1:2" x14ac:dyDescent="0.3">
      <c r="A1" s="22" t="s">
        <v>23</v>
      </c>
      <c r="B1" s="22"/>
    </row>
    <row r="2" spans="1:2" x14ac:dyDescent="0.3">
      <c r="A2" s="1" t="s">
        <v>22</v>
      </c>
      <c r="B2" t="s">
        <v>77</v>
      </c>
    </row>
    <row r="3" spans="1:2" x14ac:dyDescent="0.3">
      <c r="B3" t="s">
        <v>82</v>
      </c>
    </row>
    <row r="4" spans="1:2" x14ac:dyDescent="0.3">
      <c r="B4" t="s">
        <v>83</v>
      </c>
    </row>
    <row r="5" spans="1:2" x14ac:dyDescent="0.3">
      <c r="B5" t="s">
        <v>84</v>
      </c>
    </row>
    <row r="6" spans="1:2" x14ac:dyDescent="0.3">
      <c r="A6" s="1" t="s">
        <v>24</v>
      </c>
      <c r="B6" t="s">
        <v>28</v>
      </c>
    </row>
    <row r="7" spans="1:2" x14ac:dyDescent="0.3">
      <c r="A7" s="1" t="s">
        <v>25</v>
      </c>
      <c r="B7" t="s">
        <v>29</v>
      </c>
    </row>
    <row r="8" spans="1:2" x14ac:dyDescent="0.3">
      <c r="A8" s="1" t="s">
        <v>26</v>
      </c>
      <c r="B8" t="s">
        <v>30</v>
      </c>
    </row>
    <row r="9" spans="1:2" x14ac:dyDescent="0.3">
      <c r="A9" s="1" t="s">
        <v>27</v>
      </c>
      <c r="B9" t="s">
        <v>31</v>
      </c>
    </row>
    <row r="10" spans="1:2" x14ac:dyDescent="0.3">
      <c r="A10" s="1" t="s">
        <v>40</v>
      </c>
      <c r="B10" t="s">
        <v>61</v>
      </c>
    </row>
    <row r="11" spans="1:2" x14ac:dyDescent="0.3">
      <c r="A11" s="1" t="s">
        <v>41</v>
      </c>
      <c r="B11" t="s">
        <v>62</v>
      </c>
    </row>
    <row r="12" spans="1:2" x14ac:dyDescent="0.3">
      <c r="A12" s="1" t="s">
        <v>42</v>
      </c>
      <c r="B12" t="s">
        <v>63</v>
      </c>
    </row>
    <row r="13" spans="1:2" x14ac:dyDescent="0.3">
      <c r="A13" s="1" t="s">
        <v>43</v>
      </c>
      <c r="B13" t="s">
        <v>64</v>
      </c>
    </row>
    <row r="14" spans="1:2" x14ac:dyDescent="0.3">
      <c r="B14" s="15" t="s">
        <v>74</v>
      </c>
    </row>
    <row r="15" spans="1:2" x14ac:dyDescent="0.3">
      <c r="B15" s="17" t="s">
        <v>75</v>
      </c>
    </row>
    <row r="16" spans="1:2" x14ac:dyDescent="0.3">
      <c r="B16" s="16" t="s">
        <v>76</v>
      </c>
    </row>
    <row r="17" spans="1:2" x14ac:dyDescent="0.3">
      <c r="A17" s="1" t="s">
        <v>44</v>
      </c>
      <c r="B17" t="s">
        <v>65</v>
      </c>
    </row>
    <row r="18" spans="1:2" x14ac:dyDescent="0.3">
      <c r="A18" s="1" t="s">
        <v>45</v>
      </c>
      <c r="B18" t="s">
        <v>66</v>
      </c>
    </row>
    <row r="19" spans="1:2" x14ac:dyDescent="0.3">
      <c r="A19" s="1" t="s">
        <v>46</v>
      </c>
      <c r="B19" t="s">
        <v>67</v>
      </c>
    </row>
    <row r="20" spans="1:2" x14ac:dyDescent="0.3">
      <c r="A20" s="1" t="s">
        <v>47</v>
      </c>
      <c r="B20" t="s">
        <v>68</v>
      </c>
    </row>
    <row r="21" spans="1:2" x14ac:dyDescent="0.3">
      <c r="B21" s="15" t="s">
        <v>59</v>
      </c>
    </row>
    <row r="22" spans="1:2" x14ac:dyDescent="0.3">
      <c r="B22" s="19" t="s">
        <v>58</v>
      </c>
    </row>
    <row r="23" spans="1:2" x14ac:dyDescent="0.3">
      <c r="B23" s="16" t="s">
        <v>60</v>
      </c>
    </row>
    <row r="25" spans="1:2" x14ac:dyDescent="0.3">
      <c r="A25" s="22" t="s">
        <v>85</v>
      </c>
      <c r="B25" s="22"/>
    </row>
    <row r="26" spans="1:2" x14ac:dyDescent="0.3">
      <c r="A26" s="1" t="s">
        <v>0</v>
      </c>
      <c r="B26" t="s">
        <v>1</v>
      </c>
    </row>
    <row r="27" spans="1:2" x14ac:dyDescent="0.3">
      <c r="A27" s="1" t="s">
        <v>2</v>
      </c>
      <c r="B27" t="s">
        <v>9</v>
      </c>
    </row>
    <row r="28" spans="1:2" x14ac:dyDescent="0.3">
      <c r="A28" s="1" t="s">
        <v>3</v>
      </c>
      <c r="B28" t="s">
        <v>6</v>
      </c>
    </row>
    <row r="29" spans="1:2" x14ac:dyDescent="0.3">
      <c r="A29" s="1" t="s">
        <v>4</v>
      </c>
      <c r="B29" t="s">
        <v>7</v>
      </c>
    </row>
    <row r="30" spans="1:2" x14ac:dyDescent="0.3">
      <c r="A30" s="1" t="s">
        <v>32</v>
      </c>
      <c r="B30" t="s">
        <v>33</v>
      </c>
    </row>
    <row r="31" spans="1:2" x14ac:dyDescent="0.3">
      <c r="B31" s="11" t="s">
        <v>34</v>
      </c>
    </row>
    <row r="32" spans="1:2" x14ac:dyDescent="0.3">
      <c r="B32" s="13" t="s">
        <v>35</v>
      </c>
    </row>
    <row r="33" spans="1:2" x14ac:dyDescent="0.3">
      <c r="B33" s="12" t="s">
        <v>36</v>
      </c>
    </row>
    <row r="34" spans="1:2" x14ac:dyDescent="0.3">
      <c r="B34" s="14" t="s">
        <v>37</v>
      </c>
    </row>
    <row r="35" spans="1:2" x14ac:dyDescent="0.3">
      <c r="A35" s="1" t="s">
        <v>5</v>
      </c>
      <c r="B35" t="s">
        <v>8</v>
      </c>
    </row>
    <row r="36" spans="1:2" x14ac:dyDescent="0.3">
      <c r="B36" s="15" t="s">
        <v>86</v>
      </c>
    </row>
    <row r="37" spans="1:2" x14ac:dyDescent="0.3">
      <c r="B37" s="17" t="s">
        <v>87</v>
      </c>
    </row>
    <row r="38" spans="1:2" x14ac:dyDescent="0.3">
      <c r="B38" s="16" t="s">
        <v>88</v>
      </c>
    </row>
    <row r="39" spans="1:2" x14ac:dyDescent="0.3">
      <c r="A39" s="1" t="s">
        <v>10</v>
      </c>
      <c r="B39" t="s">
        <v>38</v>
      </c>
    </row>
    <row r="40" spans="1:2" x14ac:dyDescent="0.3">
      <c r="A40" s="1" t="s">
        <v>11</v>
      </c>
      <c r="B40" t="s">
        <v>39</v>
      </c>
    </row>
    <row r="41" spans="1:2" x14ac:dyDescent="0.3">
      <c r="A41" s="1" t="s">
        <v>12</v>
      </c>
      <c r="B41" t="s">
        <v>48</v>
      </c>
    </row>
    <row r="42" spans="1:2" x14ac:dyDescent="0.3">
      <c r="A42" s="1" t="s">
        <v>13</v>
      </c>
      <c r="B42" t="s">
        <v>49</v>
      </c>
    </row>
    <row r="43" spans="1:2" x14ac:dyDescent="0.3">
      <c r="A43" s="1" t="s">
        <v>14</v>
      </c>
      <c r="B43" t="s">
        <v>50</v>
      </c>
    </row>
    <row r="44" spans="1:2" x14ac:dyDescent="0.3">
      <c r="A44" s="1" t="s">
        <v>15</v>
      </c>
      <c r="B44" t="s">
        <v>51</v>
      </c>
    </row>
    <row r="45" spans="1:2" x14ac:dyDescent="0.3">
      <c r="A45" s="1" t="s">
        <v>16</v>
      </c>
      <c r="B45" t="s">
        <v>52</v>
      </c>
    </row>
    <row r="46" spans="1:2" x14ac:dyDescent="0.3">
      <c r="A46" s="1" t="s">
        <v>17</v>
      </c>
      <c r="B46" t="s">
        <v>53</v>
      </c>
    </row>
    <row r="47" spans="1:2" x14ac:dyDescent="0.3">
      <c r="A47" s="1" t="s">
        <v>18</v>
      </c>
      <c r="B47" t="s">
        <v>54</v>
      </c>
    </row>
    <row r="48" spans="1:2" x14ac:dyDescent="0.3">
      <c r="A48" s="1" t="s">
        <v>19</v>
      </c>
      <c r="B48" t="s">
        <v>55</v>
      </c>
    </row>
    <row r="49" spans="1:2" x14ac:dyDescent="0.3">
      <c r="A49" s="1" t="s">
        <v>20</v>
      </c>
      <c r="B49" t="s">
        <v>56</v>
      </c>
    </row>
    <row r="50" spans="1:2" x14ac:dyDescent="0.3">
      <c r="A50" s="1" t="s">
        <v>21</v>
      </c>
      <c r="B50" t="s">
        <v>57</v>
      </c>
    </row>
    <row r="51" spans="1:2" x14ac:dyDescent="0.3">
      <c r="B51" s="15" t="s">
        <v>59</v>
      </c>
    </row>
    <row r="52" spans="1:2" x14ac:dyDescent="0.3">
      <c r="B52" s="19" t="s">
        <v>58</v>
      </c>
    </row>
    <row r="53" spans="1:2" x14ac:dyDescent="0.3">
      <c r="B53" s="16" t="s">
        <v>60</v>
      </c>
    </row>
  </sheetData>
  <mergeCells count="2">
    <mergeCell ref="A25:B25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36DE-FB2E-4889-9AB7-A5AE1AAAD23B}">
  <dimension ref="A1:Z29"/>
  <sheetViews>
    <sheetView zoomScaleNormal="100" workbookViewId="0">
      <selection sqref="A1:O1"/>
    </sheetView>
  </sheetViews>
  <sheetFormatPr defaultRowHeight="14.4" x14ac:dyDescent="0.3"/>
  <cols>
    <col min="1" max="1" width="7.77734375" bestFit="1" customWidth="1"/>
    <col min="2" max="5" width="6.6640625" style="3" bestFit="1" customWidth="1"/>
    <col min="6" max="6" width="0.77734375" style="3" customWidth="1"/>
    <col min="7" max="10" width="9" customWidth="1"/>
    <col min="11" max="11" width="0.77734375" customWidth="1"/>
    <col min="12" max="15" width="8.88671875" customWidth="1"/>
  </cols>
  <sheetData>
    <row r="1" spans="1:26" x14ac:dyDescent="0.3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26" s="10" customFormat="1" x14ac:dyDescent="0.3">
      <c r="A2" s="10" t="s">
        <v>22</v>
      </c>
      <c r="B2" s="6" t="s">
        <v>24</v>
      </c>
      <c r="C2" s="6" t="s">
        <v>25</v>
      </c>
      <c r="D2" s="6" t="s">
        <v>26</v>
      </c>
      <c r="E2" s="6" t="s">
        <v>27</v>
      </c>
      <c r="F2" s="6"/>
      <c r="G2" s="10" t="s">
        <v>40</v>
      </c>
      <c r="H2" s="10" t="s">
        <v>41</v>
      </c>
      <c r="I2" s="10" t="s">
        <v>42</v>
      </c>
      <c r="J2" s="10" t="s">
        <v>43</v>
      </c>
      <c r="L2" s="10" t="s">
        <v>44</v>
      </c>
      <c r="M2" s="10" t="s">
        <v>45</v>
      </c>
      <c r="N2" s="10" t="s">
        <v>46</v>
      </c>
      <c r="O2" s="10" t="s">
        <v>47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t="s">
        <v>79</v>
      </c>
      <c r="B3" s="5">
        <f>COUNTIF('DEP3.L'!E2:E1001,"00")</f>
        <v>777</v>
      </c>
      <c r="C3" s="5">
        <f>COUNTIF('DEP3.L'!E2:E1001,"01")</f>
        <v>188</v>
      </c>
      <c r="D3" s="5">
        <f>COUNTIF('DEP3.L'!E2:E1001,"10")</f>
        <v>0</v>
      </c>
      <c r="E3" s="5">
        <f>COUNTIF('DEP3.L'!E2:E1001,"11")</f>
        <v>35</v>
      </c>
      <c r="F3" s="4"/>
      <c r="G3" s="18">
        <f>COUNTIF('DEP3.L'!K2:K1001,100)/1000</f>
        <v>0.78300000000000003</v>
      </c>
      <c r="H3" s="18">
        <f>COUNTIF('DEP3.L'!L2:L1001,100)/1000</f>
        <v>0.81499999999999995</v>
      </c>
      <c r="I3" s="18">
        <f>COUNTIF('DEP3.L'!M2:M1001,100)/1000</f>
        <v>0.96899999999999997</v>
      </c>
      <c r="J3" s="18">
        <f>COUNTIF('DEP3.L'!N2:N1001,100)/1000</f>
        <v>0.97099999999999997</v>
      </c>
      <c r="K3" s="2"/>
      <c r="L3" s="18">
        <f>MEDIAN('DEP3.L'!O2:O1001)</f>
        <v>0.23635564582866631</v>
      </c>
      <c r="M3" s="18">
        <f>MEDIAN('DEP3.L'!P2:P1001)</f>
        <v>0.19977684065403356</v>
      </c>
      <c r="N3" s="18">
        <f>MEDIAN('DEP3.L'!Q2:Q1001)</f>
        <v>1.3085239548655481E-2</v>
      </c>
      <c r="O3" s="18">
        <f>MEDIAN('DEP3.L'!R2:R1001)</f>
        <v>1.4098924379501648E-2</v>
      </c>
    </row>
    <row r="4" spans="1:26" x14ac:dyDescent="0.3">
      <c r="A4" t="s">
        <v>80</v>
      </c>
      <c r="B4" s="5">
        <f>COUNTIF('DEP3.M'!E2:E1001,"00")</f>
        <v>559</v>
      </c>
      <c r="C4" s="5">
        <f>COUNTIF('DEP3.M'!E2:E1001,"01")</f>
        <v>323</v>
      </c>
      <c r="D4" s="5">
        <f>COUNTIF('DEP3.M'!E2:E1001,"10")</f>
        <v>0</v>
      </c>
      <c r="E4" s="5">
        <f>COUNTIF('DEP3.M'!E2:E1001,"11")</f>
        <v>118</v>
      </c>
      <c r="F4" s="4"/>
      <c r="G4" s="18">
        <f>COUNTIF('DEP3.M'!K2:K1001,100)/1000</f>
        <v>0.63500000000000001</v>
      </c>
      <c r="H4" s="18">
        <f>COUNTIF('DEP3.M'!L2:L1001,100)/1000</f>
        <v>0.70199999999999996</v>
      </c>
      <c r="I4" s="18">
        <f>COUNTIF('DEP3.M'!M2:M1001,100)/1000</f>
        <v>0.93100000000000005</v>
      </c>
      <c r="J4" s="18">
        <f>COUNTIF('DEP3.M'!N2:N1001,100)/1000</f>
        <v>0.93300000000000005</v>
      </c>
      <c r="K4" s="2"/>
      <c r="L4" s="18">
        <f>MEDIAN('DEP3.M'!O2:O1001)</f>
        <v>0.55599772246498413</v>
      </c>
      <c r="M4" s="18">
        <f>MEDIAN('DEP3.M'!P2:P1001)</f>
        <v>0.41765578002446835</v>
      </c>
      <c r="N4" s="18">
        <f>MEDIAN('DEP3.M'!Q2:Q1001)</f>
        <v>3.562717764315116E-2</v>
      </c>
      <c r="O4" s="18">
        <f>MEDIAN('DEP3.M'!R2:R1001)</f>
        <v>3.459144476961909E-2</v>
      </c>
    </row>
    <row r="5" spans="1:26" x14ac:dyDescent="0.3">
      <c r="A5" t="s">
        <v>81</v>
      </c>
      <c r="B5" s="5">
        <f>COUNTIF('DEP3.H'!E2:E1001,"00")</f>
        <v>447</v>
      </c>
      <c r="C5" s="5">
        <f>COUNTIF('DEP3.H'!E2:E1001,"01")</f>
        <v>340</v>
      </c>
      <c r="D5" s="5">
        <f>COUNTIF('DEP3.H'!E2:E1001,"10")</f>
        <v>3</v>
      </c>
      <c r="E5" s="5">
        <f>COUNTIF('DEP3.H'!E2:E1001,"11")</f>
        <v>210</v>
      </c>
      <c r="F5" s="4"/>
      <c r="G5" s="18">
        <f>COUNTIF('DEP3.H'!K2:K1001,100)/1000</f>
        <v>0.57999999999999996</v>
      </c>
      <c r="H5" s="18">
        <f>COUNTIF('DEP3.H'!L2:L1001,100)/1000</f>
        <v>0.67200000000000004</v>
      </c>
      <c r="I5" s="18">
        <f>COUNTIF('DEP3.H'!M2:M1001,100)/1000</f>
        <v>0.89400000000000002</v>
      </c>
      <c r="J5" s="18">
        <f>COUNTIF('DEP3.H'!N2:N1001,100)/1000</f>
        <v>0.90400000000000003</v>
      </c>
      <c r="K5" s="2"/>
      <c r="L5" s="18">
        <f>MEDIAN('DEP3.H'!O2:O1001)</f>
        <v>0.65585139581624841</v>
      </c>
      <c r="M5" s="18">
        <f>MEDIAN('DEP3.H'!P2:P1001)</f>
        <v>0.55180120598681182</v>
      </c>
      <c r="N5" s="18">
        <f>MEDIAN('DEP3.H'!Q2:Q1001)</f>
        <v>6.5071996743714805E-2</v>
      </c>
      <c r="O5" s="18">
        <f>MEDIAN('DEP3.H'!R2:R1001)</f>
        <v>5.8688996348679613E-2</v>
      </c>
    </row>
    <row r="7" spans="1:26" x14ac:dyDescent="0.3">
      <c r="A7" s="22" t="s">
        <v>70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</row>
    <row r="8" spans="1:26" x14ac:dyDescent="0.3">
      <c r="A8" s="10" t="s">
        <v>22</v>
      </c>
      <c r="B8" s="6" t="s">
        <v>24</v>
      </c>
      <c r="C8" s="6" t="s">
        <v>25</v>
      </c>
      <c r="D8" s="6" t="s">
        <v>26</v>
      </c>
      <c r="E8" s="6" t="s">
        <v>27</v>
      </c>
      <c r="F8" s="6"/>
      <c r="G8" s="10" t="s">
        <v>40</v>
      </c>
      <c r="H8" s="10" t="s">
        <v>41</v>
      </c>
      <c r="I8" s="10" t="s">
        <v>42</v>
      </c>
      <c r="J8" s="10" t="s">
        <v>43</v>
      </c>
      <c r="K8" s="10"/>
      <c r="L8" s="10" t="s">
        <v>44</v>
      </c>
      <c r="M8" s="10" t="s">
        <v>45</v>
      </c>
      <c r="N8" s="10" t="s">
        <v>46</v>
      </c>
      <c r="O8" s="10" t="s">
        <v>47</v>
      </c>
    </row>
    <row r="9" spans="1:26" x14ac:dyDescent="0.3">
      <c r="A9" t="s">
        <v>79</v>
      </c>
      <c r="B9" s="5">
        <f>B3</f>
        <v>777</v>
      </c>
      <c r="C9" s="5">
        <v>0</v>
      </c>
      <c r="D9" s="5">
        <v>0</v>
      </c>
      <c r="E9" s="5">
        <v>0</v>
      </c>
      <c r="F9" s="4"/>
      <c r="G9" s="18">
        <f>COUNTIFS('DEP3.L'!K2:K1001,100,'DEP3.L'!$E$2:$E$1001,"00")/$B$9</f>
        <v>0.97168597168597171</v>
      </c>
      <c r="H9" s="18">
        <f>COUNTIFS('DEP3.L'!L2:L1001,100,'DEP3.L'!$E$2:$E$1001,"00")/$B$9</f>
        <v>0.9858429858429858</v>
      </c>
      <c r="I9" s="18">
        <f>COUNTIFS('DEP3.L'!M2:M1001,100,'DEP3.L'!$E$2:$E$1001,"00")/$B$9</f>
        <v>0.98712998712998712</v>
      </c>
      <c r="J9" s="18">
        <f>COUNTIFS('DEP3.L'!N2:N1001,100,'DEP3.L'!$E$2:$E$1001,"00")/$B$9</f>
        <v>0.98841698841698844</v>
      </c>
      <c r="K9" s="2"/>
      <c r="L9" s="18" cm="1">
        <f t="array" ref="L9">MEDIAN(IF('DEP3.L'!$E$2:$E$1001="00",'DEP3.L'!O2:O1001))</f>
        <v>0.1899505839584458</v>
      </c>
      <c r="M9" s="18" cm="1">
        <f t="array" ref="M9">MEDIAN(IF('DEP3.L'!$E$2:$E$1001="00",'DEP3.L'!P2:P1001))</f>
        <v>0.1718502569266589</v>
      </c>
      <c r="N9" s="18" cm="1">
        <f t="array" ref="N9">MEDIAN(IF('DEP3.L'!$E$2:$E$1001="00",'DEP3.L'!Q2:Q1001))</f>
        <v>1.4098924379501648E-2</v>
      </c>
      <c r="O9" s="18" cm="1">
        <f t="array" ref="O9">MEDIAN(IF('DEP3.L'!$E$2:$E$1001="00",'DEP3.L'!R2:R1001))</f>
        <v>1.4098924379501648E-2</v>
      </c>
    </row>
    <row r="10" spans="1:26" x14ac:dyDescent="0.3">
      <c r="A10" t="s">
        <v>80</v>
      </c>
      <c r="B10" s="5">
        <f>B4</f>
        <v>559</v>
      </c>
      <c r="C10" s="5">
        <v>0</v>
      </c>
      <c r="D10" s="5">
        <v>0</v>
      </c>
      <c r="E10" s="5">
        <v>0</v>
      </c>
      <c r="F10" s="4"/>
      <c r="G10" s="18">
        <f>COUNTIFS('DEP3.M'!K2:K1001,100,'DEP3.M'!$E$2:$E$1001,"00")/$B$10</f>
        <v>0.86404293381037567</v>
      </c>
      <c r="H10" s="18">
        <f>COUNTIFS('DEP3.M'!L2:L1001,100,'DEP3.M'!$E$2:$E$1001,"00")/$B$10</f>
        <v>0.95169946332737032</v>
      </c>
      <c r="I10" s="18">
        <f>COUNTIFS('DEP3.M'!M2:M1001,100,'DEP3.M'!$E$2:$E$1001,"00")/$B$10</f>
        <v>0.94633273703041143</v>
      </c>
      <c r="J10" s="18">
        <f>COUNTIFS('DEP3.M'!N2:N1001,100,'DEP3.M'!$E$2:$E$1001,"00")/$B$10</f>
        <v>0.94812164579606439</v>
      </c>
      <c r="K10" s="2"/>
      <c r="L10" s="18" cm="1">
        <f t="array" ref="L10">MEDIAN(IF('DEP3.M'!$E$2:$E$1001="00",'DEP3.M'!O2:O1001))</f>
        <v>0.44941699563734716</v>
      </c>
      <c r="M10" s="18" cm="1">
        <f t="array" ref="M10">MEDIAN(IF('DEP3.M'!$E$2:$E$1001="00",'DEP3.M'!P2:P1001))</f>
        <v>0.36243449909709974</v>
      </c>
      <c r="N10" s="18" cm="1">
        <f t="array" ref="N10">MEDIAN(IF('DEP3.M'!$E$2:$E$1001="00",'DEP3.M'!Q2:Q1001))</f>
        <v>3.666398437159147E-2</v>
      </c>
      <c r="O10" s="18" cm="1">
        <f t="array" ref="O10">MEDIAN(IF('DEP3.M'!$E$2:$E$1001="00",'DEP3.M'!R2:R1001))</f>
        <v>3.9780870011844598E-2</v>
      </c>
    </row>
    <row r="11" spans="1:26" x14ac:dyDescent="0.3">
      <c r="A11" t="s">
        <v>81</v>
      </c>
      <c r="B11" s="5">
        <f>B5</f>
        <v>447</v>
      </c>
      <c r="C11" s="5">
        <v>0</v>
      </c>
      <c r="D11" s="5">
        <v>0</v>
      </c>
      <c r="E11" s="5">
        <v>0</v>
      </c>
      <c r="F11" s="4"/>
      <c r="G11" s="18">
        <f>COUNTIFS('DEP3.H'!K2:K1001,100,'DEP3.H'!$E$2:$E$1001,"00")/$B$11</f>
        <v>0.40044742729306487</v>
      </c>
      <c r="H11" s="18">
        <f>COUNTIFS('DEP3.H'!L2:L1001,100,'DEP3.H'!$E$2:$E$1001,"00")/$B$11</f>
        <v>0.86129753914988816</v>
      </c>
      <c r="I11" s="18">
        <f>COUNTIFS('DEP3.H'!M2:M1001,100,'DEP3.H'!$E$2:$E$1001,"00")/$B$11</f>
        <v>0.87919463087248317</v>
      </c>
      <c r="J11" s="18">
        <f>COUNTIFS('DEP3.H'!N2:N1001,100,'DEP3.H'!$E$2:$E$1001,"00")/$B$11</f>
        <v>0.89932885906040272</v>
      </c>
      <c r="K11" s="2"/>
      <c r="L11" s="18" cm="1">
        <f t="array" ref="L11">MEDIAN(IF('DEP3.H'!$E$2:$E$1001="00",'DEP3.H'!O2:O1001))</f>
        <v>0.74865989049020409</v>
      </c>
      <c r="M11" s="18" cm="1">
        <f t="array" ref="M11">MEDIAN(IF('DEP3.H'!$E$2:$E$1001="00",'DEP3.H'!P2:P1001))</f>
        <v>0.51794309153485429</v>
      </c>
      <c r="N11" s="18" cm="1">
        <f t="array" ref="N11">MEDIAN(IF('DEP3.H'!$E$2:$E$1001="00",'DEP3.H'!Q2:Q1001))</f>
        <v>8.5557888361646545E-2</v>
      </c>
      <c r="O11" s="18" cm="1">
        <f t="array" ref="O11">MEDIAN(IF('DEP3.H'!$E$2:$E$1001="00",'DEP3.H'!R2:R1001))</f>
        <v>8.9924707527987008E-2</v>
      </c>
    </row>
    <row r="13" spans="1:26" x14ac:dyDescent="0.3">
      <c r="A13" s="22" t="s">
        <v>71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spans="1:26" x14ac:dyDescent="0.3">
      <c r="A14" s="10" t="s">
        <v>22</v>
      </c>
      <c r="B14" s="6" t="s">
        <v>24</v>
      </c>
      <c r="C14" s="6" t="s">
        <v>25</v>
      </c>
      <c r="D14" s="6" t="s">
        <v>26</v>
      </c>
      <c r="E14" s="6" t="s">
        <v>27</v>
      </c>
      <c r="F14" s="6"/>
      <c r="G14" s="10" t="s">
        <v>40</v>
      </c>
      <c r="H14" s="10" t="s">
        <v>41</v>
      </c>
      <c r="I14" s="10" t="s">
        <v>42</v>
      </c>
      <c r="J14" s="10" t="s">
        <v>43</v>
      </c>
      <c r="K14" s="10"/>
      <c r="L14" s="10" t="s">
        <v>44</v>
      </c>
      <c r="M14" s="10" t="s">
        <v>45</v>
      </c>
      <c r="N14" s="10" t="s">
        <v>46</v>
      </c>
      <c r="O14" s="10" t="s">
        <v>47</v>
      </c>
    </row>
    <row r="15" spans="1:26" x14ac:dyDescent="0.3">
      <c r="A15" t="s">
        <v>79</v>
      </c>
      <c r="B15" s="5">
        <v>0</v>
      </c>
      <c r="C15" s="5">
        <f>C3</f>
        <v>188</v>
      </c>
      <c r="D15" s="5">
        <v>0</v>
      </c>
      <c r="E15" s="5">
        <v>0</v>
      </c>
      <c r="F15" s="4"/>
      <c r="G15" s="18">
        <f>COUNTIFS('DEP3.L'!K2:K1001,100,'DEP3.L'!$E$2:$E$1001,"01")/$C$15</f>
        <v>9.5744680851063829E-2</v>
      </c>
      <c r="H15" s="18">
        <f>COUNTIFS('DEP3.L'!L2:L1001,100,'DEP3.L'!$E$2:$E$1001,"01")/$C$15</f>
        <v>7.9787234042553196E-2</v>
      </c>
      <c r="I15" s="18">
        <f>COUNTIFS('DEP3.L'!M2:M1001,100,'DEP3.L'!$E$2:$E$1001,"01")/$C$15</f>
        <v>0.89893617021276595</v>
      </c>
      <c r="J15" s="18">
        <f>COUNTIFS('DEP3.L'!N2:N1001,100,'DEP3.L'!$E$2:$E$1001,"01")/$C$15</f>
        <v>0.89893617021276595</v>
      </c>
      <c r="K15" s="2"/>
      <c r="L15" s="18" cm="1">
        <f t="array" ref="L15">MEDIAN(IF('DEP3.L'!$E$2:$E$1001="01",'DEP3.L'!O2:O1001))</f>
        <v>1.3001183482416585</v>
      </c>
      <c r="M15" s="18" cm="1">
        <f t="array" ref="M15">MEDIAN(IF('DEP3.L'!$E$2:$E$1001="01",'DEP3.L'!P2:P1001))</f>
        <v>1.4209147484402518</v>
      </c>
      <c r="N15" s="18" cm="1">
        <f t="array" ref="N15">MEDIAN(IF('DEP3.L'!$E$2:$E$1001="01",'DEP3.L'!Q2:Q1001))</f>
        <v>1.3592081964078564E-2</v>
      </c>
      <c r="O15" s="18" cm="1">
        <f t="array" ref="O15">MEDIAN(IF('DEP3.L'!$E$2:$E$1001="01",'DEP3.L'!R2:R1001))</f>
        <v>1.816397062767118E-2</v>
      </c>
    </row>
    <row r="16" spans="1:26" x14ac:dyDescent="0.3">
      <c r="A16" t="s">
        <v>80</v>
      </c>
      <c r="B16" s="5">
        <v>0</v>
      </c>
      <c r="C16" s="5">
        <f>C4</f>
        <v>323</v>
      </c>
      <c r="D16" s="5">
        <v>0</v>
      </c>
      <c r="E16" s="5">
        <v>0</v>
      </c>
      <c r="F16" s="4"/>
      <c r="G16" s="18">
        <f>COUNTIFS('DEP3.M'!K2:K1001,100,'DEP3.M'!$E$2:$E$1001,"01")/$C$16</f>
        <v>0.29411764705882354</v>
      </c>
      <c r="H16" s="18">
        <f>COUNTIFS('DEP3.M'!L2:L1001,100,'DEP3.M'!$E$2:$E$1001,"01")/$C$16</f>
        <v>0.1609907120743034</v>
      </c>
      <c r="I16" s="18">
        <f>COUNTIFS('DEP3.M'!M2:M1001,100,'DEP3.M'!$E$2:$E$1001,"01")/$C$16</f>
        <v>0.88854489164086692</v>
      </c>
      <c r="J16" s="18">
        <f>COUNTIFS('DEP3.M'!N2:N1001,100,'DEP3.M'!$E$2:$E$1001,"01")/$C$16</f>
        <v>0.88235294117647056</v>
      </c>
      <c r="K16" s="2"/>
      <c r="L16" s="18" cm="1">
        <f t="array" ref="L16">MEDIAN(IF('DEP3.M'!$E$2:$E$1001="01",'DEP3.M'!O2:O1001))</f>
        <v>0.87227384645738082</v>
      </c>
      <c r="M16" s="18" cm="1">
        <f t="array" ref="M16">MEDIAN(IF('DEP3.M'!$E$2:$E$1001="01",'DEP3.M'!P2:P1001))</f>
        <v>1.0399635615866014</v>
      </c>
      <c r="N16" s="18" cm="1">
        <f t="array" ref="N16">MEDIAN(IF('DEP3.M'!$E$2:$E$1001="01",'DEP3.M'!Q2:Q1001))</f>
        <v>4.0821994520255166E-2</v>
      </c>
      <c r="O16" s="18" cm="1">
        <f t="array" ref="O16">MEDIAN(IF('DEP3.M'!$E$2:$E$1001="01",'DEP3.M'!R2:R1001))</f>
        <v>5.024121643674679E-2</v>
      </c>
    </row>
    <row r="17" spans="1:15" x14ac:dyDescent="0.3">
      <c r="A17" t="s">
        <v>81</v>
      </c>
      <c r="B17" s="5">
        <v>0</v>
      </c>
      <c r="C17" s="5">
        <f>C5</f>
        <v>340</v>
      </c>
      <c r="D17" s="5">
        <v>0</v>
      </c>
      <c r="E17" s="5">
        <v>0</v>
      </c>
      <c r="F17" s="4"/>
      <c r="G17" s="18">
        <f>COUNTIFS('DEP3.H'!K2:K1001,100,'DEP3.H'!$E$2:$E$1001,"01")/$C$17</f>
        <v>0.71764705882352942</v>
      </c>
      <c r="H17" s="18">
        <f>COUNTIFS('DEP3.H'!L2:L1001,100,'DEP3.H'!$E$2:$E$1001,"01")/$C$17</f>
        <v>0.22647058823529412</v>
      </c>
      <c r="I17" s="18">
        <f>COUNTIFS('DEP3.H'!M2:M1001,100,'DEP3.H'!$E$2:$E$1001,"01")/$C$17</f>
        <v>0.87058823529411766</v>
      </c>
      <c r="J17" s="18">
        <f>COUNTIFS('DEP3.H'!N2:N1001,100,'DEP3.H'!$E$2:$E$1001,"01")/$C$17</f>
        <v>0.85882352941176465</v>
      </c>
      <c r="K17" s="2"/>
      <c r="L17" s="18" cm="1">
        <f t="array" ref="L17">MEDIAN(IF('DEP3.H'!$E$2:$E$1001="01",'DEP3.H'!O2:O1001))</f>
        <v>0.58698698473155464</v>
      </c>
      <c r="M17" s="18" cm="1">
        <f t="array" ref="M17">MEDIAN(IF('DEP3.H'!$E$2:$E$1001="01",'DEP3.H'!P2:P1001))</f>
        <v>0.8520825858952783</v>
      </c>
      <c r="N17" s="18" cm="1">
        <f t="array" ref="N17">MEDIAN(IF('DEP3.H'!$E$2:$E$1001="01",'DEP3.H'!Q2:Q1001))</f>
        <v>5.8688996348679613E-2</v>
      </c>
      <c r="O17" s="18" cm="1">
        <f t="array" ref="O17">MEDIAN(IF('DEP3.H'!$E$2:$E$1001="01",'DEP3.H'!R2:R1001))</f>
        <v>0.10147932207755607</v>
      </c>
    </row>
    <row r="19" spans="1:15" x14ac:dyDescent="0.3">
      <c r="A19" s="22" t="s">
        <v>72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spans="1:15" x14ac:dyDescent="0.3">
      <c r="A20" s="10" t="s">
        <v>22</v>
      </c>
      <c r="B20" s="6" t="s">
        <v>24</v>
      </c>
      <c r="C20" s="6" t="s">
        <v>25</v>
      </c>
      <c r="D20" s="6" t="s">
        <v>26</v>
      </c>
      <c r="E20" s="6" t="s">
        <v>27</v>
      </c>
      <c r="F20" s="6"/>
      <c r="G20" s="10" t="s">
        <v>40</v>
      </c>
      <c r="H20" s="10" t="s">
        <v>41</v>
      </c>
      <c r="I20" s="10" t="s">
        <v>42</v>
      </c>
      <c r="J20" s="10" t="s">
        <v>43</v>
      </c>
      <c r="K20" s="10"/>
      <c r="L20" s="10" t="s">
        <v>44</v>
      </c>
      <c r="M20" s="10" t="s">
        <v>45</v>
      </c>
      <c r="N20" s="10" t="s">
        <v>46</v>
      </c>
      <c r="O20" s="10" t="s">
        <v>47</v>
      </c>
    </row>
    <row r="21" spans="1:15" x14ac:dyDescent="0.3">
      <c r="A21" t="s">
        <v>79</v>
      </c>
      <c r="B21" s="5">
        <v>0</v>
      </c>
      <c r="C21" s="5">
        <v>0</v>
      </c>
      <c r="D21" s="5">
        <f>D3</f>
        <v>0</v>
      </c>
      <c r="E21" s="5">
        <v>0</v>
      </c>
      <c r="F21" s="4"/>
      <c r="G21" s="18" t="e">
        <f>COUNTIFS('DEP3.L'!K2:K1001,100,'DEP3.L'!$E$2:$E$1001,"10")/$D$21</f>
        <v>#DIV/0!</v>
      </c>
      <c r="H21" s="18" t="e">
        <f>COUNTIFS('DEP3.L'!L2:L1001,100,'DEP3.L'!$E$2:$E$1001,"10")/$D$21</f>
        <v>#DIV/0!</v>
      </c>
      <c r="I21" s="18" t="e">
        <f>COUNTIFS('DEP3.L'!M2:M1001,100,'DEP3.L'!$E$2:$E$1001,"10")/$D$21</f>
        <v>#DIV/0!</v>
      </c>
      <c r="J21" s="18" t="e">
        <f>COUNTIFS('DEP3.L'!N2:N1001,100,'DEP3.L'!$E$2:$E$1001,"10")/$D$21</f>
        <v>#DIV/0!</v>
      </c>
      <c r="K21" s="2"/>
      <c r="L21" s="18" t="e" cm="1">
        <f t="array" ref="L21">MEDIAN(IF('DEP3.L'!$E$2:$E$1001="10",'DEP3.L'!O2:O1001))</f>
        <v>#NUM!</v>
      </c>
      <c r="M21" s="18" t="e" cm="1">
        <f t="array" ref="M21">MEDIAN(IF('DEP3.L'!$E$2:$E$1001="10",'DEP3.L'!P2:P1001))</f>
        <v>#NUM!</v>
      </c>
      <c r="N21" s="18" t="e" cm="1">
        <f t="array" ref="N21">MEDIAN(IF('DEP3.L'!$E$2:$E$1001="10",'DEP3.L'!Q2:Q1001))</f>
        <v>#NUM!</v>
      </c>
      <c r="O21" s="18" t="e" cm="1">
        <f t="array" ref="O21">MEDIAN(IF('DEP3.L'!$E$2:$E$1001="10",'DEP3.L'!R2:R1001))</f>
        <v>#NUM!</v>
      </c>
    </row>
    <row r="22" spans="1:15" x14ac:dyDescent="0.3">
      <c r="A22" t="s">
        <v>80</v>
      </c>
      <c r="B22" s="5">
        <v>0</v>
      </c>
      <c r="C22" s="5">
        <v>0</v>
      </c>
      <c r="D22" s="5">
        <f>D4</f>
        <v>0</v>
      </c>
      <c r="E22" s="5">
        <v>0</v>
      </c>
      <c r="F22" s="4"/>
      <c r="G22" s="18" t="e">
        <f>COUNTIFS('DEP3.M'!K2:K1001,100,'DEP3.M'!$E$2:$E$1001,"10")/$D$22</f>
        <v>#DIV/0!</v>
      </c>
      <c r="H22" s="18" t="e">
        <f>COUNTIFS('DEP3.M'!L2:L1001,100,'DEP3.M'!$E$2:$E$1001,"10")/$D$22</f>
        <v>#DIV/0!</v>
      </c>
      <c r="I22" s="18" t="e">
        <f>COUNTIFS('DEP3.M'!M2:M1001,100,'DEP3.M'!$E$2:$E$1001,"10")/$D$22</f>
        <v>#DIV/0!</v>
      </c>
      <c r="J22" s="18" t="e">
        <f>COUNTIFS('DEP3.M'!N2:N1001,100,'DEP3.M'!$E$2:$E$1001,"10")/$D$22</f>
        <v>#DIV/0!</v>
      </c>
      <c r="K22" s="2"/>
      <c r="L22" s="18" t="e" cm="1">
        <f t="array" ref="L22">MEDIAN(IF('DEP3.M'!$E$2:$E$1001="10",'DEP3.M'!O2:O1001))</f>
        <v>#NUM!</v>
      </c>
      <c r="M22" s="18" t="e" cm="1">
        <f t="array" ref="M22">MEDIAN(IF('DEP3.M'!$E$2:$E$1001="10",'DEP3.M'!P2:P1001))</f>
        <v>#NUM!</v>
      </c>
      <c r="N22" s="18" t="e" cm="1">
        <f t="array" ref="N22">MEDIAN(IF('DEP3.M'!$E$2:$E$1001="10",'DEP3.M'!Q2:Q1001))</f>
        <v>#NUM!</v>
      </c>
      <c r="O22" s="18" t="e" cm="1">
        <f t="array" ref="O22">MEDIAN(IF('DEP3.M'!$E$2:$E$1001="10",'DEP3.M'!R2:R1001))</f>
        <v>#NUM!</v>
      </c>
    </row>
    <row r="23" spans="1:15" x14ac:dyDescent="0.3">
      <c r="A23" t="s">
        <v>81</v>
      </c>
      <c r="B23" s="5">
        <v>0</v>
      </c>
      <c r="C23" s="5">
        <v>0</v>
      </c>
      <c r="D23" s="5">
        <f>D5</f>
        <v>3</v>
      </c>
      <c r="E23" s="5">
        <v>0</v>
      </c>
      <c r="F23" s="4"/>
      <c r="G23" s="18">
        <f>COUNTIFS('DEP3.H'!K2:K1001,100,'DEP3.H'!$E$2:$E$1001,"10")/$D$23</f>
        <v>0</v>
      </c>
      <c r="H23" s="18">
        <f>COUNTIFS('DEP3.H'!L2:L1001,100,'DEP3.H'!$E$2:$E$1001,"10")/$D$23</f>
        <v>0</v>
      </c>
      <c r="I23" s="18">
        <f>COUNTIFS('DEP3.H'!M2:M1001,100,'DEP3.H'!$E$2:$E$1001,"10")/$D$23</f>
        <v>0.66666666666666663</v>
      </c>
      <c r="J23" s="18">
        <f>COUNTIFS('DEP3.H'!N2:N1001,100,'DEP3.H'!$E$2:$E$1001,"10")/$D$23</f>
        <v>0.66666666666666663</v>
      </c>
      <c r="K23" s="2"/>
      <c r="L23" s="18" cm="1">
        <f t="array" ref="L23">MEDIAN(IF('DEP3.H'!$E$2:$E$1001="10",'DEP3.H'!O2:O1001))</f>
        <v>0.80073239123988282</v>
      </c>
      <c r="M23" s="18" cm="1">
        <f t="array" ref="M23">MEDIAN(IF('DEP3.H'!$E$2:$E$1001="10",'DEP3.H'!P2:P1001))</f>
        <v>2.3895964699836716</v>
      </c>
      <c r="N23" s="18" cm="1">
        <f t="array" ref="N23">MEDIAN(IF('DEP3.H'!$E$2:$E$1001="10",'DEP3.H'!Q2:Q1001))</f>
        <v>3.9780870011844598E-2</v>
      </c>
      <c r="O23" s="18" cm="1">
        <f t="array" ref="O23">MEDIAN(IF('DEP3.H'!$E$2:$E$1001="10",'DEP3.H'!R2:R1001))</f>
        <v>4.0821994520255166E-2</v>
      </c>
    </row>
    <row r="25" spans="1:15" x14ac:dyDescent="0.3">
      <c r="A25" s="22" t="s">
        <v>73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</row>
    <row r="26" spans="1:15" x14ac:dyDescent="0.3">
      <c r="A26" s="10" t="s">
        <v>22</v>
      </c>
      <c r="B26" s="6" t="s">
        <v>24</v>
      </c>
      <c r="C26" s="6" t="s">
        <v>25</v>
      </c>
      <c r="D26" s="6" t="s">
        <v>26</v>
      </c>
      <c r="E26" s="6" t="s">
        <v>27</v>
      </c>
      <c r="F26" s="6"/>
      <c r="G26" s="10" t="s">
        <v>40</v>
      </c>
      <c r="H26" s="10" t="s">
        <v>41</v>
      </c>
      <c r="I26" s="10" t="s">
        <v>42</v>
      </c>
      <c r="J26" s="10" t="s">
        <v>43</v>
      </c>
      <c r="K26" s="10"/>
      <c r="L26" s="10" t="s">
        <v>44</v>
      </c>
      <c r="M26" s="10" t="s">
        <v>45</v>
      </c>
      <c r="N26" s="10" t="s">
        <v>46</v>
      </c>
      <c r="O26" s="10" t="s">
        <v>47</v>
      </c>
    </row>
    <row r="27" spans="1:15" x14ac:dyDescent="0.3">
      <c r="A27" t="s">
        <v>79</v>
      </c>
      <c r="B27" s="5">
        <v>0</v>
      </c>
      <c r="C27" s="5">
        <v>0</v>
      </c>
      <c r="D27" s="5">
        <v>0</v>
      </c>
      <c r="E27" s="5">
        <f>E3</f>
        <v>35</v>
      </c>
      <c r="F27" s="4"/>
      <c r="G27" s="18">
        <f>COUNTIFS('DEP3.L'!K2:K1001,100,'DEP3.L'!$E$2:$E$1001,"11")/$E$27</f>
        <v>0.2857142857142857</v>
      </c>
      <c r="H27" s="18">
        <f>COUNTIFS('DEP3.L'!L2:L1001,100,'DEP3.L'!$E$2:$E$1001,"11")/$E$27</f>
        <v>0.97142857142857142</v>
      </c>
      <c r="I27" s="18">
        <f>COUNTIFS('DEP3.L'!M2:M1001,100,'DEP3.L'!$E$2:$E$1001,"11")/$E$27</f>
        <v>0.94285714285714284</v>
      </c>
      <c r="J27" s="18">
        <f>COUNTIFS('DEP3.L'!N2:N1001,100,'DEP3.L'!$E$2:$E$1001,"11")/$E$27</f>
        <v>0.97142857142857142</v>
      </c>
      <c r="K27" s="2"/>
      <c r="L27" s="18" cm="1">
        <f t="array" ref="L27">MEDIAN(IF('DEP3.L'!$E$2:$E$1001="11",'DEP3.L'!O2:O1001))</f>
        <v>1.0272222925814367</v>
      </c>
      <c r="M27" s="18" cm="1">
        <f t="array" ref="M27">MEDIAN(IF('DEP3.L'!$E$2:$E$1001="11",'DEP3.L'!P2:P1001))</f>
        <v>1.0000050000287824E-5</v>
      </c>
      <c r="N27" s="18" cm="1">
        <f t="array" ref="N27">MEDIAN(IF('DEP3.L'!$E$2:$E$1001="11",'DEP3.L'!Q2:Q1001))</f>
        <v>7.0246149369644663E-3</v>
      </c>
      <c r="O27" s="18" cm="1">
        <f t="array" ref="O27">MEDIAN(IF('DEP3.L'!$E$2:$E$1001="11",'DEP3.L'!R2:R1001))</f>
        <v>1.0000050000287824E-5</v>
      </c>
    </row>
    <row r="28" spans="1:15" x14ac:dyDescent="0.3">
      <c r="A28" t="s">
        <v>80</v>
      </c>
      <c r="B28" s="5">
        <v>0</v>
      </c>
      <c r="C28" s="5">
        <v>0</v>
      </c>
      <c r="D28" s="5">
        <v>0</v>
      </c>
      <c r="E28" s="5">
        <f>E4</f>
        <v>118</v>
      </c>
      <c r="F28" s="4"/>
      <c r="G28" s="18">
        <f>COUNTIFS('DEP3.M'!K2:K1001,100,'DEP3.M'!$E$2:$E$1001,"11")/$E$28</f>
        <v>0.48305084745762711</v>
      </c>
      <c r="H28" s="18">
        <f>COUNTIFS('DEP3.M'!L2:L1001,100,'DEP3.M'!$E$2:$E$1001,"11")/$E$28</f>
        <v>1</v>
      </c>
      <c r="I28" s="18">
        <f>COUNTIFS('DEP3.M'!M2:M1001,100,'DEP3.M'!$E$2:$E$1001,"11")/$E$28</f>
        <v>0.97457627118644063</v>
      </c>
      <c r="J28" s="18">
        <f>COUNTIFS('DEP3.M'!N2:N1001,100,'DEP3.M'!$E$2:$E$1001,"11")/$E$28</f>
        <v>1</v>
      </c>
      <c r="K28" s="2"/>
      <c r="L28" s="18" cm="1">
        <f t="array" ref="L28">MEDIAN(IF('DEP3.M'!$E$2:$E$1001="11",'DEP3.M'!O2:O1001))</f>
        <v>0.69916525288550835</v>
      </c>
      <c r="M28" s="18" cm="1">
        <f t="array" ref="M28">MEDIAN(IF('DEP3.M'!$E$2:$E$1001="11",'DEP3.M'!P2:P1001))</f>
        <v>1.0000050000287824E-5</v>
      </c>
      <c r="N28" s="18" cm="1">
        <f t="array" ref="N28">MEDIAN(IF('DEP3.M'!$E$2:$E$1001="11",'DEP3.M'!Q2:Q1001))</f>
        <v>1.8673395022222584E-2</v>
      </c>
      <c r="O28" s="18" cm="1">
        <f t="array" ref="O28">MEDIAN(IF('DEP3.M'!$E$2:$E$1001="11",'DEP3.M'!R2:R1001))</f>
        <v>1.0000050000287824E-5</v>
      </c>
    </row>
    <row r="29" spans="1:15" x14ac:dyDescent="0.3">
      <c r="A29" t="s">
        <v>81</v>
      </c>
      <c r="B29" s="5">
        <v>0</v>
      </c>
      <c r="C29" s="5">
        <v>0</v>
      </c>
      <c r="D29" s="5">
        <v>0</v>
      </c>
      <c r="E29" s="5">
        <f>E5</f>
        <v>210</v>
      </c>
      <c r="F29" s="4"/>
      <c r="G29" s="18">
        <f>COUNTIFS('DEP3.H'!K2:K1001,100,'DEP3.H'!$E$2:$E$1001,"11")/$E$29</f>
        <v>0.74761904761904763</v>
      </c>
      <c r="H29" s="18">
        <f>COUNTIFS('DEP3.H'!L2:L1001,100,'DEP3.H'!$E$2:$E$1001,"11")/$E$29</f>
        <v>1</v>
      </c>
      <c r="I29" s="18">
        <f>COUNTIFS('DEP3.H'!M2:M1001,100,'DEP3.H'!$E$2:$E$1001,"11")/$E$29</f>
        <v>0.96666666666666667</v>
      </c>
      <c r="J29" s="18">
        <f>COUNTIFS('DEP3.H'!N2:N1001,100,'DEP3.H'!$E$2:$E$1001,"11")/$E$29</f>
        <v>0.99047619047619051</v>
      </c>
      <c r="K29" s="2"/>
      <c r="L29" s="18" cm="1">
        <f t="array" ref="L29">MEDIAN(IF('DEP3.H'!$E$2:$E$1001="11",'DEP3.H'!O2:O1001))</f>
        <v>0.56125171126419171</v>
      </c>
      <c r="M29" s="18" cm="1">
        <f t="array" ref="M29">MEDIAN(IF('DEP3.H'!$E$2:$E$1001="11",'DEP3.H'!P2:P1001))</f>
        <v>1.0000050000287824E-5</v>
      </c>
      <c r="N29" s="18" cm="1">
        <f t="array" ref="N29">MEDIAN(IF('DEP3.H'!$E$2:$E$1001="11",'DEP3.H'!Q2:Q1001))</f>
        <v>4.7091607533850569E-2</v>
      </c>
      <c r="O29" s="18" cm="1">
        <f t="array" ref="O29">MEDIAN(IF('DEP3.H'!$E$2:$E$1001="11",'DEP3.H'!R2:R1001))</f>
        <v>1.0000050000287824E-5</v>
      </c>
    </row>
  </sheetData>
  <mergeCells count="5">
    <mergeCell ref="A1:O1"/>
    <mergeCell ref="A7:O7"/>
    <mergeCell ref="A13:O13"/>
    <mergeCell ref="A19:O19"/>
    <mergeCell ref="A25:O25"/>
  </mergeCells>
  <phoneticPr fontId="6" type="noConversion"/>
  <conditionalFormatting sqref="G26:J26 G20:J20 G14:J14 G8:J8 G12:J12 G18:J18 G24:J24">
    <cfRule type="colorScale" priority="492">
      <colorScale>
        <cfvo type="min"/>
        <cfvo type="max"/>
        <color rgb="FFFFEF9C"/>
        <color rgb="FF63BE7B"/>
      </colorScale>
    </cfRule>
  </conditionalFormatting>
  <conditionalFormatting sqref="G3:J5">
    <cfRule type="colorScale" priority="518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519">
      <colorScale>
        <cfvo type="min"/>
        <cfvo type="max"/>
        <color rgb="FFFFEF9C"/>
        <color rgb="FF63BE7B"/>
      </colorScale>
    </cfRule>
    <cfRule type="colorScale" priority="520">
      <colorScale>
        <cfvo type="min"/>
        <cfvo type="max"/>
        <color rgb="FFFFEF9C"/>
        <color rgb="FF63BE7B"/>
      </colorScale>
    </cfRule>
    <cfRule type="colorScale" priority="521">
      <colorScale>
        <cfvo type="min"/>
        <cfvo type="max"/>
        <color rgb="FFFFEF9C"/>
        <color rgb="FF63BE7B"/>
      </colorScale>
    </cfRule>
    <cfRule type="colorScale" priority="5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9:J11">
    <cfRule type="colorScale" priority="528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529">
      <colorScale>
        <cfvo type="min"/>
        <cfvo type="max"/>
        <color rgb="FFFFEF9C"/>
        <color rgb="FF63BE7B"/>
      </colorScale>
    </cfRule>
    <cfRule type="colorScale" priority="530">
      <colorScale>
        <cfvo type="min"/>
        <cfvo type="max"/>
        <color rgb="FFFFEF9C"/>
        <color rgb="FF63BE7B"/>
      </colorScale>
    </cfRule>
    <cfRule type="colorScale" priority="531">
      <colorScale>
        <cfvo type="min"/>
        <cfvo type="max"/>
        <color rgb="FFFFEF9C"/>
        <color rgb="FF63BE7B"/>
      </colorScale>
    </cfRule>
    <cfRule type="colorScale" priority="5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5:J17">
    <cfRule type="colorScale" priority="538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539">
      <colorScale>
        <cfvo type="min"/>
        <cfvo type="max"/>
        <color rgb="FFFFEF9C"/>
        <color rgb="FF63BE7B"/>
      </colorScale>
    </cfRule>
    <cfRule type="colorScale" priority="540">
      <colorScale>
        <cfvo type="min"/>
        <cfvo type="max"/>
        <color rgb="FFFFEF9C"/>
        <color rgb="FF63BE7B"/>
      </colorScale>
    </cfRule>
    <cfRule type="colorScale" priority="541">
      <colorScale>
        <cfvo type="min"/>
        <cfvo type="max"/>
        <color rgb="FFFFEF9C"/>
        <color rgb="FF63BE7B"/>
      </colorScale>
    </cfRule>
    <cfRule type="colorScale" priority="5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21:J23">
    <cfRule type="colorScale" priority="548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549">
      <colorScale>
        <cfvo type="min"/>
        <cfvo type="max"/>
        <color rgb="FFFFEF9C"/>
        <color rgb="FF63BE7B"/>
      </colorScale>
    </cfRule>
    <cfRule type="colorScale" priority="550">
      <colorScale>
        <cfvo type="min"/>
        <cfvo type="max"/>
        <color rgb="FFFFEF9C"/>
        <color rgb="FF63BE7B"/>
      </colorScale>
    </cfRule>
    <cfRule type="colorScale" priority="551">
      <colorScale>
        <cfvo type="min"/>
        <cfvo type="max"/>
        <color rgb="FFFFEF9C"/>
        <color rgb="FF63BE7B"/>
      </colorScale>
    </cfRule>
    <cfRule type="colorScale" priority="55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27:J29">
    <cfRule type="colorScale" priority="558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559">
      <colorScale>
        <cfvo type="min"/>
        <cfvo type="max"/>
        <color rgb="FFFFEF9C"/>
        <color rgb="FF63BE7B"/>
      </colorScale>
    </cfRule>
    <cfRule type="colorScale" priority="560">
      <colorScale>
        <cfvo type="min"/>
        <cfvo type="max"/>
        <color rgb="FFFFEF9C"/>
        <color rgb="FF63BE7B"/>
      </colorScale>
    </cfRule>
    <cfRule type="colorScale" priority="561">
      <colorScale>
        <cfvo type="min"/>
        <cfvo type="max"/>
        <color rgb="FFFFEF9C"/>
        <color rgb="FF63BE7B"/>
      </colorScale>
    </cfRule>
    <cfRule type="colorScale" priority="56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26:O26 L20:O20 L14:O14 L8:O8 L12:O12 L24:O24 L18:O18">
    <cfRule type="colorScale" priority="563">
      <colorScale>
        <cfvo type="min"/>
        <cfvo type="max"/>
        <color rgb="FF63BE7B"/>
        <color rgb="FFFFEF9C"/>
      </colorScale>
    </cfRule>
  </conditionalFormatting>
  <conditionalFormatting sqref="L15:O17">
    <cfRule type="colorScale" priority="57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7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57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58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O5">
    <cfRule type="colorScale" priority="58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8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58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59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:O11">
    <cfRule type="colorScale" priority="59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9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59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60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1:O23">
    <cfRule type="colorScale" priority="60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60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0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61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7:O29">
    <cfRule type="colorScale" priority="61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61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1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62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6E97-BE59-40A8-B2DC-7F45752FDA52}">
  <dimension ref="A1:R1002"/>
  <sheetViews>
    <sheetView zoomScaleNormal="10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77734375" style="7" bestFit="1" customWidth="1"/>
    <col min="2" max="2" width="5.6640625" style="7" bestFit="1" customWidth="1"/>
    <col min="3" max="4" width="1.77734375" style="5" bestFit="1" customWidth="1"/>
    <col min="5" max="5" width="2.77734375" style="9" bestFit="1" customWidth="1"/>
    <col min="6" max="6" width="7.88671875" style="20" bestFit="1" customWidth="1"/>
    <col min="7" max="10" width="7.44140625" style="4" customWidth="1"/>
    <col min="11" max="14" width="7.109375" style="3" customWidth="1"/>
    <col min="15" max="18" width="7.21875" customWidth="1"/>
  </cols>
  <sheetData>
    <row r="1" spans="1:18" s="10" customFormat="1" x14ac:dyDescent="0.3">
      <c r="A1" s="6" t="s">
        <v>0</v>
      </c>
      <c r="B1" s="6" t="s">
        <v>2</v>
      </c>
      <c r="C1" s="6" t="s">
        <v>3</v>
      </c>
      <c r="D1" s="6" t="s">
        <v>4</v>
      </c>
      <c r="E1" s="8" t="s">
        <v>32</v>
      </c>
      <c r="F1" s="8" t="s">
        <v>5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  <c r="O1" s="10" t="s">
        <v>18</v>
      </c>
      <c r="P1" s="10" t="s">
        <v>19</v>
      </c>
      <c r="Q1" s="10" t="s">
        <v>20</v>
      </c>
      <c r="R1" s="10" t="s">
        <v>21</v>
      </c>
    </row>
    <row r="2" spans="1:18" x14ac:dyDescent="0.3">
      <c r="A2" s="7">
        <v>26</v>
      </c>
      <c r="B2" s="7">
        <v>500</v>
      </c>
      <c r="C2" s="7">
        <v>0</v>
      </c>
      <c r="D2" s="7">
        <v>0</v>
      </c>
      <c r="E2" s="20" t="str">
        <f t="shared" ref="E2:E65" si="0">_xlfn.CONCAT(C2,D2)</f>
        <v>00</v>
      </c>
      <c r="F2" s="21">
        <v>4.5959497061424401E-5</v>
      </c>
      <c r="G2" s="4">
        <v>0.17299999999999999</v>
      </c>
      <c r="H2" s="4">
        <v>0.173737373737374</v>
      </c>
      <c r="I2" s="4">
        <v>0</v>
      </c>
      <c r="J2" s="4">
        <v>0</v>
      </c>
      <c r="K2" s="5">
        <v>100</v>
      </c>
      <c r="L2" s="5">
        <v>100</v>
      </c>
      <c r="M2" s="5">
        <v>100</v>
      </c>
      <c r="N2" s="5">
        <v>100</v>
      </c>
      <c r="O2" s="2">
        <v>0.1899505839584458</v>
      </c>
      <c r="P2" s="2">
        <v>0.19084260652588883</v>
      </c>
      <c r="Q2" s="2">
        <v>1.0000050000287824E-5</v>
      </c>
      <c r="R2" s="2">
        <v>1.0000050000287824E-5</v>
      </c>
    </row>
    <row r="3" spans="1:18" x14ac:dyDescent="0.3">
      <c r="A3" s="7">
        <v>707</v>
      </c>
      <c r="B3" s="7">
        <v>499</v>
      </c>
      <c r="C3" s="7">
        <v>0</v>
      </c>
      <c r="D3" s="7">
        <v>0</v>
      </c>
      <c r="E3" s="20" t="str">
        <f t="shared" si="0"/>
        <v>00</v>
      </c>
      <c r="F3" s="21">
        <v>6.4157442111529997E-4</v>
      </c>
      <c r="G3" s="4">
        <v>0.121</v>
      </c>
      <c r="H3" s="4">
        <v>0.104417670682731</v>
      </c>
      <c r="I3" s="4">
        <v>0</v>
      </c>
      <c r="J3" s="4">
        <v>0</v>
      </c>
      <c r="K3" s="5">
        <v>100</v>
      </c>
      <c r="L3" s="5">
        <v>100</v>
      </c>
      <c r="M3" s="5">
        <v>100</v>
      </c>
      <c r="N3" s="5">
        <v>100</v>
      </c>
      <c r="O3" s="2">
        <v>0.12897038129696006</v>
      </c>
      <c r="P3" s="2">
        <v>0.11028112500458895</v>
      </c>
      <c r="Q3" s="2">
        <v>1.0000050000287824E-5</v>
      </c>
      <c r="R3" s="2">
        <v>1.0000050000287824E-5</v>
      </c>
    </row>
    <row r="4" spans="1:18" x14ac:dyDescent="0.3">
      <c r="A4" s="7">
        <v>688</v>
      </c>
      <c r="B4" s="7">
        <v>500</v>
      </c>
      <c r="C4" s="7">
        <v>0</v>
      </c>
      <c r="D4" s="7">
        <v>0</v>
      </c>
      <c r="E4" s="20" t="str">
        <f t="shared" si="0"/>
        <v>00</v>
      </c>
      <c r="F4" s="21">
        <v>7.2115065054728698E-4</v>
      </c>
      <c r="G4" s="4">
        <v>0.156</v>
      </c>
      <c r="H4" s="4">
        <v>0.12704918032786899</v>
      </c>
      <c r="I4" s="4">
        <v>0</v>
      </c>
      <c r="J4" s="4">
        <v>0</v>
      </c>
      <c r="K4" s="5">
        <v>100</v>
      </c>
      <c r="L4" s="5">
        <v>100</v>
      </c>
      <c r="M4" s="5">
        <v>100</v>
      </c>
      <c r="N4" s="5">
        <v>100</v>
      </c>
      <c r="O4" s="2">
        <v>0.16960278438617998</v>
      </c>
      <c r="P4" s="2">
        <v>0.13587605958377699</v>
      </c>
      <c r="Q4" s="2">
        <v>1.0000050000287824E-5</v>
      </c>
      <c r="R4" s="2">
        <v>1.0000050000287824E-5</v>
      </c>
    </row>
    <row r="5" spans="1:18" x14ac:dyDescent="0.3">
      <c r="A5" s="7">
        <v>430</v>
      </c>
      <c r="B5" s="7">
        <v>497</v>
      </c>
      <c r="C5" s="7">
        <v>0</v>
      </c>
      <c r="D5" s="7">
        <v>0</v>
      </c>
      <c r="E5" s="20" t="str">
        <f t="shared" si="0"/>
        <v>00</v>
      </c>
      <c r="F5" s="21">
        <v>8.2767191183063301E-4</v>
      </c>
      <c r="G5" s="4">
        <v>0.14199999999999999</v>
      </c>
      <c r="H5" s="4">
        <v>0.13426853707414799</v>
      </c>
      <c r="I5" s="4">
        <v>0</v>
      </c>
      <c r="J5" s="4">
        <v>0</v>
      </c>
      <c r="K5" s="5">
        <v>100</v>
      </c>
      <c r="L5" s="5">
        <v>100</v>
      </c>
      <c r="M5" s="5">
        <v>100</v>
      </c>
      <c r="N5" s="5">
        <v>100</v>
      </c>
      <c r="O5" s="2">
        <v>0.15315117949417478</v>
      </c>
      <c r="P5" s="2">
        <v>0.14418050750740799</v>
      </c>
      <c r="Q5" s="2">
        <v>1.0000050000287824E-5</v>
      </c>
      <c r="R5" s="2">
        <v>1.0000050000287824E-5</v>
      </c>
    </row>
    <row r="6" spans="1:18" x14ac:dyDescent="0.3">
      <c r="A6" s="7">
        <v>476</v>
      </c>
      <c r="B6" s="7">
        <v>499</v>
      </c>
      <c r="C6" s="7">
        <v>0</v>
      </c>
      <c r="D6" s="7">
        <v>0</v>
      </c>
      <c r="E6" s="20" t="str">
        <f t="shared" si="0"/>
        <v>00</v>
      </c>
      <c r="F6" s="21">
        <v>1.27160238871507E-3</v>
      </c>
      <c r="G6" s="4">
        <v>0.13200000000000001</v>
      </c>
      <c r="H6" s="4">
        <v>0.13480885311871199</v>
      </c>
      <c r="I6" s="4">
        <v>0</v>
      </c>
      <c r="J6" s="4">
        <v>0</v>
      </c>
      <c r="K6" s="5">
        <v>100</v>
      </c>
      <c r="L6" s="5">
        <v>100</v>
      </c>
      <c r="M6" s="5">
        <v>100</v>
      </c>
      <c r="N6" s="5">
        <v>100</v>
      </c>
      <c r="O6" s="2">
        <v>0.14156356432178688</v>
      </c>
      <c r="P6" s="2">
        <v>0.14480481740902024</v>
      </c>
      <c r="Q6" s="2">
        <v>1.0000050000287824E-5</v>
      </c>
      <c r="R6" s="2">
        <v>1.0000050000287824E-5</v>
      </c>
    </row>
    <row r="7" spans="1:18" x14ac:dyDescent="0.3">
      <c r="A7" s="7">
        <v>679</v>
      </c>
      <c r="B7" s="7">
        <v>495</v>
      </c>
      <c r="C7" s="7">
        <v>0</v>
      </c>
      <c r="D7" s="7">
        <v>0</v>
      </c>
      <c r="E7" s="20" t="str">
        <f t="shared" si="0"/>
        <v>00</v>
      </c>
      <c r="F7" s="21">
        <v>1.93904432269108E-3</v>
      </c>
      <c r="G7" s="4">
        <v>0.29599999999999999</v>
      </c>
      <c r="H7" s="4">
        <v>0.26709401709401698</v>
      </c>
      <c r="I7" s="4">
        <v>0</v>
      </c>
      <c r="J7" s="4">
        <v>0</v>
      </c>
      <c r="K7" s="5">
        <v>100</v>
      </c>
      <c r="L7" s="5">
        <v>100</v>
      </c>
      <c r="M7" s="5">
        <v>100</v>
      </c>
      <c r="N7" s="5">
        <v>100</v>
      </c>
      <c r="O7" s="2">
        <v>0.35097692282409471</v>
      </c>
      <c r="P7" s="2">
        <v>0.31073784875170674</v>
      </c>
      <c r="Q7" s="2">
        <v>1.0000050000287824E-5</v>
      </c>
      <c r="R7" s="2">
        <v>1.0000050000287824E-5</v>
      </c>
    </row>
    <row r="8" spans="1:18" x14ac:dyDescent="0.3">
      <c r="A8" s="7">
        <v>540</v>
      </c>
      <c r="B8" s="7">
        <v>498</v>
      </c>
      <c r="C8" s="7">
        <v>0</v>
      </c>
      <c r="D8" s="7">
        <v>0</v>
      </c>
      <c r="E8" s="20" t="str">
        <f t="shared" si="0"/>
        <v>00</v>
      </c>
      <c r="F8" s="21">
        <v>2.2162651694325299E-3</v>
      </c>
      <c r="G8" s="4">
        <v>0.503</v>
      </c>
      <c r="H8" s="4">
        <v>0.49068322981366502</v>
      </c>
      <c r="I8" s="4">
        <v>0</v>
      </c>
      <c r="J8" s="4">
        <v>0</v>
      </c>
      <c r="K8" s="5">
        <v>0</v>
      </c>
      <c r="L8" s="5">
        <v>100</v>
      </c>
      <c r="M8" s="5">
        <v>100</v>
      </c>
      <c r="N8" s="5">
        <v>100</v>
      </c>
      <c r="O8" s="2">
        <v>0.69916525288550835</v>
      </c>
      <c r="P8" s="2">
        <v>0.67468511772021056</v>
      </c>
      <c r="Q8" s="2">
        <v>1.0000050000287824E-5</v>
      </c>
      <c r="R8" s="2">
        <v>1.0000050000287824E-5</v>
      </c>
    </row>
    <row r="9" spans="1:18" x14ac:dyDescent="0.3">
      <c r="A9" s="7">
        <v>94</v>
      </c>
      <c r="B9" s="7">
        <v>500</v>
      </c>
      <c r="C9" s="7">
        <v>0</v>
      </c>
      <c r="D9" s="7">
        <v>0</v>
      </c>
      <c r="E9" s="20" t="str">
        <f t="shared" si="0"/>
        <v>00</v>
      </c>
      <c r="F9" s="21">
        <v>2.6502336137047399E-3</v>
      </c>
      <c r="G9" s="4">
        <v>7.5999999999999998E-2</v>
      </c>
      <c r="H9" s="4">
        <v>4.91803278688525E-2</v>
      </c>
      <c r="I9" s="4">
        <v>0</v>
      </c>
      <c r="J9" s="4">
        <v>0</v>
      </c>
      <c r="K9" s="5">
        <v>100</v>
      </c>
      <c r="L9" s="5">
        <v>100</v>
      </c>
      <c r="M9" s="5">
        <v>100</v>
      </c>
      <c r="N9" s="5">
        <v>100</v>
      </c>
      <c r="O9" s="2">
        <v>7.9043207340452851E-2</v>
      </c>
      <c r="P9" s="2">
        <v>5.0430853626891967E-2</v>
      </c>
      <c r="Q9" s="2">
        <v>1.0000050000287824E-5</v>
      </c>
      <c r="R9" s="2">
        <v>1.0000050000287824E-5</v>
      </c>
    </row>
    <row r="10" spans="1:18" x14ac:dyDescent="0.3">
      <c r="A10" s="7">
        <v>16</v>
      </c>
      <c r="B10" s="7">
        <v>495</v>
      </c>
      <c r="C10" s="7">
        <v>0</v>
      </c>
      <c r="D10" s="7">
        <v>0</v>
      </c>
      <c r="E10" s="20" t="str">
        <f t="shared" si="0"/>
        <v>00</v>
      </c>
      <c r="F10" s="21">
        <v>2.6937233534224301E-3</v>
      </c>
      <c r="G10" s="4">
        <v>0.22</v>
      </c>
      <c r="H10" s="4">
        <v>0.19341563786008201</v>
      </c>
      <c r="I10" s="4">
        <v>0</v>
      </c>
      <c r="J10" s="4">
        <v>0</v>
      </c>
      <c r="K10" s="5">
        <v>100</v>
      </c>
      <c r="L10" s="5">
        <v>100</v>
      </c>
      <c r="M10" s="5">
        <v>100</v>
      </c>
      <c r="N10" s="5">
        <v>100</v>
      </c>
      <c r="O10" s="2">
        <v>0.24846135929849961</v>
      </c>
      <c r="P10" s="2">
        <v>0.21494678411003082</v>
      </c>
      <c r="Q10" s="2">
        <v>1.0000050000287824E-5</v>
      </c>
      <c r="R10" s="2">
        <v>1.0000050000287824E-5</v>
      </c>
    </row>
    <row r="11" spans="1:18" x14ac:dyDescent="0.3">
      <c r="A11" s="7">
        <v>812</v>
      </c>
      <c r="B11" s="7">
        <v>492</v>
      </c>
      <c r="C11" s="7">
        <v>0</v>
      </c>
      <c r="D11" s="7">
        <v>0</v>
      </c>
      <c r="E11" s="20" t="str">
        <f t="shared" si="0"/>
        <v>00</v>
      </c>
      <c r="F11" s="21">
        <v>3.64414104068469E-3</v>
      </c>
      <c r="G11" s="4">
        <v>0.161</v>
      </c>
      <c r="H11" s="4">
        <v>0.16260162601625999</v>
      </c>
      <c r="I11" s="4">
        <v>1E-3</v>
      </c>
      <c r="J11" s="4">
        <v>0</v>
      </c>
      <c r="K11" s="5">
        <v>100</v>
      </c>
      <c r="L11" s="5">
        <v>100</v>
      </c>
      <c r="M11" s="5">
        <v>100</v>
      </c>
      <c r="N11" s="5">
        <v>100</v>
      </c>
      <c r="O11" s="2">
        <v>0.17554457251493091</v>
      </c>
      <c r="P11" s="2">
        <v>0.17745536714278146</v>
      </c>
      <c r="Q11" s="2">
        <v>1.0005003335835344E-3</v>
      </c>
      <c r="R11" s="2">
        <v>1.0000050000287824E-5</v>
      </c>
    </row>
    <row r="12" spans="1:18" x14ac:dyDescent="0.3">
      <c r="A12" s="7">
        <v>429</v>
      </c>
      <c r="B12" s="7">
        <v>491</v>
      </c>
      <c r="C12" s="7">
        <v>0</v>
      </c>
      <c r="D12" s="7">
        <v>0</v>
      </c>
      <c r="E12" s="20" t="str">
        <f t="shared" si="0"/>
        <v>00</v>
      </c>
      <c r="F12" s="21">
        <v>3.8076667651814802E-3</v>
      </c>
      <c r="G12" s="4">
        <v>0.21</v>
      </c>
      <c r="H12" s="4">
        <v>0.22177419354838701</v>
      </c>
      <c r="I12" s="4">
        <v>0</v>
      </c>
      <c r="J12" s="4">
        <v>1E-3</v>
      </c>
      <c r="K12" s="5">
        <v>100</v>
      </c>
      <c r="L12" s="5">
        <v>100</v>
      </c>
      <c r="M12" s="5">
        <v>100</v>
      </c>
      <c r="N12" s="5">
        <v>100</v>
      </c>
      <c r="O12" s="2">
        <v>0.23572233352106983</v>
      </c>
      <c r="P12" s="2">
        <v>0.25073855726009653</v>
      </c>
      <c r="Q12" s="2">
        <v>1.0000050000287824E-5</v>
      </c>
      <c r="R12" s="2">
        <v>1.0005003335835344E-3</v>
      </c>
    </row>
    <row r="13" spans="1:18" x14ac:dyDescent="0.3">
      <c r="A13" s="7">
        <v>735</v>
      </c>
      <c r="B13" s="7">
        <v>495</v>
      </c>
      <c r="C13" s="7">
        <v>0</v>
      </c>
      <c r="D13" s="7">
        <v>0</v>
      </c>
      <c r="E13" s="20" t="str">
        <f t="shared" si="0"/>
        <v>00</v>
      </c>
      <c r="F13" s="21">
        <v>3.99986538904355E-3</v>
      </c>
      <c r="G13" s="4">
        <v>0.315</v>
      </c>
      <c r="H13" s="4">
        <v>0.30290456431535301</v>
      </c>
      <c r="I13" s="4">
        <v>0</v>
      </c>
      <c r="J13" s="4">
        <v>0</v>
      </c>
      <c r="K13" s="5">
        <v>100</v>
      </c>
      <c r="L13" s="5">
        <v>100</v>
      </c>
      <c r="M13" s="5">
        <v>100</v>
      </c>
      <c r="N13" s="5">
        <v>100</v>
      </c>
      <c r="O13" s="2">
        <v>0.37833644071991168</v>
      </c>
      <c r="P13" s="2">
        <v>0.36083295408739646</v>
      </c>
      <c r="Q13" s="2">
        <v>1.0000050000287824E-5</v>
      </c>
      <c r="R13" s="2">
        <v>1.0000050000287824E-5</v>
      </c>
    </row>
    <row r="14" spans="1:18" x14ac:dyDescent="0.3">
      <c r="A14" s="7">
        <v>600</v>
      </c>
      <c r="B14" s="7">
        <v>490</v>
      </c>
      <c r="C14" s="7">
        <v>0</v>
      </c>
      <c r="D14" s="7">
        <v>0</v>
      </c>
      <c r="E14" s="20" t="str">
        <f t="shared" si="0"/>
        <v>00</v>
      </c>
      <c r="F14" s="21">
        <v>5.5467604669403201E-3</v>
      </c>
      <c r="G14" s="4">
        <v>5.0999999999999997E-2</v>
      </c>
      <c r="H14" s="4">
        <v>5.0200803212851398E-2</v>
      </c>
      <c r="I14" s="4">
        <v>0</v>
      </c>
      <c r="J14" s="4">
        <v>0</v>
      </c>
      <c r="K14" s="5">
        <v>100</v>
      </c>
      <c r="L14" s="5">
        <v>100</v>
      </c>
      <c r="M14" s="5">
        <v>100</v>
      </c>
      <c r="N14" s="5">
        <v>100</v>
      </c>
      <c r="O14" s="2">
        <v>5.2346480372209236E-2</v>
      </c>
      <c r="P14" s="2">
        <v>5.150468853271991E-2</v>
      </c>
      <c r="Q14" s="2">
        <v>1.0000050000287824E-5</v>
      </c>
      <c r="R14" s="2">
        <v>1.0000050000287824E-5</v>
      </c>
    </row>
    <row r="15" spans="1:18" x14ac:dyDescent="0.3">
      <c r="A15" s="7">
        <v>60</v>
      </c>
      <c r="B15" s="7">
        <v>496</v>
      </c>
      <c r="C15" s="7">
        <v>0</v>
      </c>
      <c r="D15" s="7">
        <v>0</v>
      </c>
      <c r="E15" s="20" t="str">
        <f t="shared" si="0"/>
        <v>00</v>
      </c>
      <c r="F15" s="21">
        <v>7.2849177619842597E-3</v>
      </c>
      <c r="G15" s="4">
        <v>0.24099999999999999</v>
      </c>
      <c r="H15" s="4">
        <v>0.22653061224489801</v>
      </c>
      <c r="I15" s="4">
        <v>0</v>
      </c>
      <c r="J15" s="4">
        <v>0</v>
      </c>
      <c r="K15" s="5">
        <v>100</v>
      </c>
      <c r="L15" s="5">
        <v>100</v>
      </c>
      <c r="M15" s="5">
        <v>100</v>
      </c>
      <c r="N15" s="5">
        <v>100</v>
      </c>
      <c r="O15" s="2">
        <v>0.27575350158650713</v>
      </c>
      <c r="P15" s="2">
        <v>0.25686918602224601</v>
      </c>
      <c r="Q15" s="2">
        <v>1.0000050000287824E-5</v>
      </c>
      <c r="R15" s="2">
        <v>1.0000050000287824E-5</v>
      </c>
    </row>
    <row r="16" spans="1:18" x14ac:dyDescent="0.3">
      <c r="A16" s="7">
        <v>507</v>
      </c>
      <c r="B16" s="7">
        <v>488</v>
      </c>
      <c r="C16" s="7">
        <v>0</v>
      </c>
      <c r="D16" s="7">
        <v>0</v>
      </c>
      <c r="E16" s="20" t="str">
        <f t="shared" si="0"/>
        <v>00</v>
      </c>
      <c r="F16" s="21">
        <v>8.1902757180018302E-3</v>
      </c>
      <c r="G16" s="4">
        <v>0.14000000000000001</v>
      </c>
      <c r="H16" s="4">
        <v>0.12804878048780499</v>
      </c>
      <c r="I16" s="4">
        <v>0</v>
      </c>
      <c r="J16" s="4">
        <v>1E-3</v>
      </c>
      <c r="K16" s="5">
        <v>100</v>
      </c>
      <c r="L16" s="5">
        <v>100</v>
      </c>
      <c r="M16" s="5">
        <v>100</v>
      </c>
      <c r="N16" s="5">
        <v>100</v>
      </c>
      <c r="O16" s="2">
        <v>0.15082288973458366</v>
      </c>
      <c r="P16" s="2">
        <v>0.13702179756429128</v>
      </c>
      <c r="Q16" s="2">
        <v>1.0000050000287824E-5</v>
      </c>
      <c r="R16" s="2">
        <v>1.0005003335835344E-3</v>
      </c>
    </row>
    <row r="17" spans="1:18" x14ac:dyDescent="0.3">
      <c r="A17" s="7">
        <v>577</v>
      </c>
      <c r="B17" s="7">
        <v>493</v>
      </c>
      <c r="C17" s="7">
        <v>0</v>
      </c>
      <c r="D17" s="7">
        <v>0</v>
      </c>
      <c r="E17" s="20" t="str">
        <f t="shared" si="0"/>
        <v>00</v>
      </c>
      <c r="F17" s="21">
        <v>9.9681318962213591E-3</v>
      </c>
      <c r="G17" s="4">
        <v>0.121</v>
      </c>
      <c r="H17" s="4">
        <v>0.10728744939271299</v>
      </c>
      <c r="I17" s="4">
        <v>0</v>
      </c>
      <c r="J17" s="4">
        <v>0</v>
      </c>
      <c r="K17" s="5">
        <v>100</v>
      </c>
      <c r="L17" s="5">
        <v>100</v>
      </c>
      <c r="M17" s="5">
        <v>100</v>
      </c>
      <c r="N17" s="5">
        <v>100</v>
      </c>
      <c r="O17" s="2">
        <v>0.12897038129696006</v>
      </c>
      <c r="P17" s="2">
        <v>0.11349064174107697</v>
      </c>
      <c r="Q17" s="2">
        <v>1.0000050000287824E-5</v>
      </c>
      <c r="R17" s="2">
        <v>1.0000050000287824E-5</v>
      </c>
    </row>
    <row r="18" spans="1:18" x14ac:dyDescent="0.3">
      <c r="A18" s="7">
        <v>647</v>
      </c>
      <c r="B18" s="7">
        <v>490</v>
      </c>
      <c r="C18" s="7">
        <v>0</v>
      </c>
      <c r="D18" s="7">
        <v>0</v>
      </c>
      <c r="E18" s="20" t="str">
        <f t="shared" si="0"/>
        <v>00</v>
      </c>
      <c r="F18" s="21">
        <v>1.08689215252243E-2</v>
      </c>
      <c r="G18" s="4">
        <v>0.47199999999999998</v>
      </c>
      <c r="H18" s="4">
        <v>0.443037974683544</v>
      </c>
      <c r="I18" s="4">
        <v>0</v>
      </c>
      <c r="J18" s="4">
        <v>0</v>
      </c>
      <c r="K18" s="5">
        <v>100</v>
      </c>
      <c r="L18" s="5">
        <v>100</v>
      </c>
      <c r="M18" s="5">
        <v>100</v>
      </c>
      <c r="N18" s="5">
        <v>100</v>
      </c>
      <c r="O18" s="2">
        <v>0.63865899527587555</v>
      </c>
      <c r="P18" s="2">
        <v>0.58525821854875981</v>
      </c>
      <c r="Q18" s="2">
        <v>1.0000050000287824E-5</v>
      </c>
      <c r="R18" s="2">
        <v>1.0000050000287824E-5</v>
      </c>
    </row>
    <row r="19" spans="1:18" x14ac:dyDescent="0.3">
      <c r="A19" s="7">
        <v>211</v>
      </c>
      <c r="B19" s="7">
        <v>488</v>
      </c>
      <c r="C19" s="7">
        <v>0</v>
      </c>
      <c r="D19" s="7">
        <v>0</v>
      </c>
      <c r="E19" s="20" t="str">
        <f t="shared" si="0"/>
        <v>00</v>
      </c>
      <c r="F19" s="21">
        <v>1.10667010350614E-2</v>
      </c>
      <c r="G19" s="4">
        <v>0.08</v>
      </c>
      <c r="H19" s="4">
        <v>6.2880324543610505E-2</v>
      </c>
      <c r="I19" s="4">
        <v>0</v>
      </c>
      <c r="J19" s="4">
        <v>0</v>
      </c>
      <c r="K19" s="5">
        <v>100</v>
      </c>
      <c r="L19" s="5">
        <v>100</v>
      </c>
      <c r="M19" s="5">
        <v>100</v>
      </c>
      <c r="N19" s="5">
        <v>100</v>
      </c>
      <c r="O19" s="2">
        <v>8.3381608939051013E-2</v>
      </c>
      <c r="P19" s="2">
        <v>6.4944282960951186E-2</v>
      </c>
      <c r="Q19" s="2">
        <v>1.0000050000287824E-5</v>
      </c>
      <c r="R19" s="2">
        <v>1.0000050000287824E-5</v>
      </c>
    </row>
    <row r="20" spans="1:18" x14ac:dyDescent="0.3">
      <c r="A20" s="7">
        <v>712</v>
      </c>
      <c r="B20" s="7">
        <v>494</v>
      </c>
      <c r="C20" s="7">
        <v>0</v>
      </c>
      <c r="D20" s="7">
        <v>0</v>
      </c>
      <c r="E20" s="20" t="str">
        <f t="shared" si="0"/>
        <v>00</v>
      </c>
      <c r="F20" s="21">
        <v>1.11109434495704E-2</v>
      </c>
      <c r="G20" s="4">
        <v>0.28299999999999997</v>
      </c>
      <c r="H20" s="4">
        <v>0.29423868312757201</v>
      </c>
      <c r="I20" s="4">
        <v>0</v>
      </c>
      <c r="J20" s="4">
        <v>0</v>
      </c>
      <c r="K20" s="5">
        <v>100</v>
      </c>
      <c r="L20" s="5">
        <v>100</v>
      </c>
      <c r="M20" s="5">
        <v>100</v>
      </c>
      <c r="N20" s="5">
        <v>100</v>
      </c>
      <c r="O20" s="2">
        <v>0.33267943838251657</v>
      </c>
      <c r="P20" s="2">
        <v>0.34847817673455395</v>
      </c>
      <c r="Q20" s="2">
        <v>1.0000050000287824E-5</v>
      </c>
      <c r="R20" s="2">
        <v>1.0000050000287824E-5</v>
      </c>
    </row>
    <row r="21" spans="1:18" x14ac:dyDescent="0.3">
      <c r="A21" s="7">
        <v>614</v>
      </c>
      <c r="B21" s="7">
        <v>488</v>
      </c>
      <c r="C21" s="7">
        <v>0</v>
      </c>
      <c r="D21" s="7">
        <v>0</v>
      </c>
      <c r="E21" s="20" t="str">
        <f t="shared" si="0"/>
        <v>00</v>
      </c>
      <c r="F21" s="21">
        <v>1.31671754321543E-2</v>
      </c>
      <c r="G21" s="4">
        <v>0.17</v>
      </c>
      <c r="H21" s="4">
        <v>0.16255144032921801</v>
      </c>
      <c r="I21" s="4">
        <v>1E-3</v>
      </c>
      <c r="J21" s="4">
        <v>1E-3</v>
      </c>
      <c r="K21" s="5">
        <v>100</v>
      </c>
      <c r="L21" s="5">
        <v>100</v>
      </c>
      <c r="M21" s="5">
        <v>100</v>
      </c>
      <c r="N21" s="5">
        <v>100</v>
      </c>
      <c r="O21" s="2">
        <v>0.18632957819149348</v>
      </c>
      <c r="P21" s="2">
        <v>0.17739543845789862</v>
      </c>
      <c r="Q21" s="2">
        <v>1.0005003335835344E-3</v>
      </c>
      <c r="R21" s="2">
        <v>1.0005003335835344E-3</v>
      </c>
    </row>
    <row r="22" spans="1:18" x14ac:dyDescent="0.3">
      <c r="A22" s="7">
        <v>91</v>
      </c>
      <c r="B22" s="7">
        <v>484</v>
      </c>
      <c r="C22" s="7">
        <v>0</v>
      </c>
      <c r="D22" s="7">
        <v>0</v>
      </c>
      <c r="E22" s="20" t="str">
        <f t="shared" si="0"/>
        <v>00</v>
      </c>
      <c r="F22" s="21">
        <v>1.3710279947878301E-2</v>
      </c>
      <c r="G22" s="4">
        <v>0.16800000000000001</v>
      </c>
      <c r="H22" s="4">
        <v>0.159183673469388</v>
      </c>
      <c r="I22" s="4">
        <v>0</v>
      </c>
      <c r="J22" s="4">
        <v>0</v>
      </c>
      <c r="K22" s="5">
        <v>100</v>
      </c>
      <c r="L22" s="5">
        <v>100</v>
      </c>
      <c r="M22" s="5">
        <v>100</v>
      </c>
      <c r="N22" s="5">
        <v>100</v>
      </c>
      <c r="O22" s="2">
        <v>0.1839228381609285</v>
      </c>
      <c r="P22" s="2">
        <v>0.17338204175514618</v>
      </c>
      <c r="Q22" s="2">
        <v>1.0000050000287824E-5</v>
      </c>
      <c r="R22" s="2">
        <v>1.0000050000287824E-5</v>
      </c>
    </row>
    <row r="23" spans="1:18" x14ac:dyDescent="0.3">
      <c r="A23" s="7">
        <v>672</v>
      </c>
      <c r="B23" s="7">
        <v>486</v>
      </c>
      <c r="C23" s="7">
        <v>0</v>
      </c>
      <c r="D23" s="7">
        <v>0</v>
      </c>
      <c r="E23" s="20" t="str">
        <f t="shared" si="0"/>
        <v>00</v>
      </c>
      <c r="F23" s="21">
        <v>1.4831680507314701E-2</v>
      </c>
      <c r="G23" s="4">
        <v>0.46700000000000003</v>
      </c>
      <c r="H23" s="4">
        <v>0.43815513626834401</v>
      </c>
      <c r="I23" s="4">
        <v>0</v>
      </c>
      <c r="J23" s="4">
        <v>2E-3</v>
      </c>
      <c r="K23" s="5">
        <v>100</v>
      </c>
      <c r="L23" s="5">
        <v>100</v>
      </c>
      <c r="M23" s="5">
        <v>100</v>
      </c>
      <c r="N23" s="5">
        <v>100</v>
      </c>
      <c r="O23" s="2">
        <v>0.62923385481629268</v>
      </c>
      <c r="P23" s="2">
        <v>0.5765295103774849</v>
      </c>
      <c r="Q23" s="2">
        <v>1.0000050000287824E-5</v>
      </c>
      <c r="R23" s="2">
        <v>2.0020026706730793E-3</v>
      </c>
    </row>
    <row r="24" spans="1:18" x14ac:dyDescent="0.3">
      <c r="A24" s="7">
        <v>474</v>
      </c>
      <c r="B24" s="7">
        <v>487</v>
      </c>
      <c r="C24" s="7">
        <v>0</v>
      </c>
      <c r="D24" s="7">
        <v>0</v>
      </c>
      <c r="E24" s="20" t="str">
        <f t="shared" si="0"/>
        <v>00</v>
      </c>
      <c r="F24" s="21">
        <v>1.6459879335394601E-2</v>
      </c>
      <c r="G24" s="4">
        <v>9.6000000000000002E-2</v>
      </c>
      <c r="H24" s="4">
        <v>9.3877551020408206E-2</v>
      </c>
      <c r="I24" s="4">
        <v>0</v>
      </c>
      <c r="J24" s="4">
        <v>0</v>
      </c>
      <c r="K24" s="5">
        <v>100</v>
      </c>
      <c r="L24" s="5">
        <v>100</v>
      </c>
      <c r="M24" s="5">
        <v>100</v>
      </c>
      <c r="N24" s="5">
        <v>100</v>
      </c>
      <c r="O24" s="2">
        <v>0.10092591858996053</v>
      </c>
      <c r="P24" s="2">
        <v>9.8580828672447551E-2</v>
      </c>
      <c r="Q24" s="2">
        <v>1.0000050000287824E-5</v>
      </c>
      <c r="R24" s="2">
        <v>1.0000050000287824E-5</v>
      </c>
    </row>
    <row r="25" spans="1:18" x14ac:dyDescent="0.3">
      <c r="A25" s="7">
        <v>262</v>
      </c>
      <c r="B25" s="7">
        <v>490</v>
      </c>
      <c r="C25" s="7">
        <v>0</v>
      </c>
      <c r="D25" s="7">
        <v>0</v>
      </c>
      <c r="E25" s="20" t="str">
        <f t="shared" si="0"/>
        <v>00</v>
      </c>
      <c r="F25" s="21">
        <v>1.7088705307651501E-2</v>
      </c>
      <c r="G25" s="4">
        <v>0.155</v>
      </c>
      <c r="H25" s="4">
        <v>0.14372469635627499</v>
      </c>
      <c r="I25" s="4">
        <v>0</v>
      </c>
      <c r="J25" s="4">
        <v>0</v>
      </c>
      <c r="K25" s="5">
        <v>100</v>
      </c>
      <c r="L25" s="5">
        <v>100</v>
      </c>
      <c r="M25" s="5">
        <v>100</v>
      </c>
      <c r="N25" s="5">
        <v>100</v>
      </c>
      <c r="O25" s="2">
        <v>0.16841865162496325</v>
      </c>
      <c r="P25" s="2">
        <v>0.15516333814164424</v>
      </c>
      <c r="Q25" s="2">
        <v>1.0000050000287824E-5</v>
      </c>
      <c r="R25" s="2">
        <v>1.0000050000287824E-5</v>
      </c>
    </row>
    <row r="26" spans="1:18" x14ac:dyDescent="0.3">
      <c r="A26" s="7">
        <v>184</v>
      </c>
      <c r="B26" s="7">
        <v>485</v>
      </c>
      <c r="C26" s="7">
        <v>0</v>
      </c>
      <c r="D26" s="7">
        <v>0</v>
      </c>
      <c r="E26" s="20" t="str">
        <f t="shared" si="0"/>
        <v>00</v>
      </c>
      <c r="F26" s="21">
        <v>1.75808338762822E-2</v>
      </c>
      <c r="G26" s="4">
        <v>0.33700000000000002</v>
      </c>
      <c r="H26" s="4">
        <v>0.31874999999999998</v>
      </c>
      <c r="I26" s="4">
        <v>0</v>
      </c>
      <c r="J26" s="4">
        <v>0</v>
      </c>
      <c r="K26" s="5">
        <v>100</v>
      </c>
      <c r="L26" s="5">
        <v>100</v>
      </c>
      <c r="M26" s="5">
        <v>100</v>
      </c>
      <c r="N26" s="5">
        <v>100</v>
      </c>
      <c r="O26" s="2">
        <v>0.41098028879627452</v>
      </c>
      <c r="P26" s="2">
        <v>0.38382593300468321</v>
      </c>
      <c r="Q26" s="2">
        <v>1.0000050000287824E-5</v>
      </c>
      <c r="R26" s="2">
        <v>1.0000050000287824E-5</v>
      </c>
    </row>
    <row r="27" spans="1:18" x14ac:dyDescent="0.3">
      <c r="A27" s="7">
        <v>319</v>
      </c>
      <c r="B27" s="7">
        <v>484</v>
      </c>
      <c r="C27" s="7">
        <v>0</v>
      </c>
      <c r="D27" s="7">
        <v>0</v>
      </c>
      <c r="E27" s="20" t="str">
        <f t="shared" si="0"/>
        <v>00</v>
      </c>
      <c r="F27" s="21">
        <v>1.9207073114108499E-2</v>
      </c>
      <c r="G27" s="4">
        <v>0.121</v>
      </c>
      <c r="H27" s="4">
        <v>0.112903225806452</v>
      </c>
      <c r="I27" s="4">
        <v>1E-3</v>
      </c>
      <c r="J27" s="4">
        <v>1E-3</v>
      </c>
      <c r="K27" s="5">
        <v>100</v>
      </c>
      <c r="L27" s="5">
        <v>100</v>
      </c>
      <c r="M27" s="5">
        <v>100</v>
      </c>
      <c r="N27" s="5">
        <v>100</v>
      </c>
      <c r="O27" s="2">
        <v>0.12897038129696006</v>
      </c>
      <c r="P27" s="2">
        <v>0.11980119981262102</v>
      </c>
      <c r="Q27" s="2">
        <v>1.0005003335835344E-3</v>
      </c>
      <c r="R27" s="2">
        <v>1.0005003335835344E-3</v>
      </c>
    </row>
    <row r="28" spans="1:18" x14ac:dyDescent="0.3">
      <c r="A28" s="7">
        <v>709</v>
      </c>
      <c r="B28" s="7">
        <v>475</v>
      </c>
      <c r="C28" s="7">
        <v>0</v>
      </c>
      <c r="D28" s="7">
        <v>0</v>
      </c>
      <c r="E28" s="20" t="str">
        <f t="shared" si="0"/>
        <v>00</v>
      </c>
      <c r="F28" s="21">
        <v>1.9602207641371602E-2</v>
      </c>
      <c r="G28" s="4">
        <v>8.2000000000000003E-2</v>
      </c>
      <c r="H28" s="4">
        <v>9.2184368737474903E-2</v>
      </c>
      <c r="I28" s="4">
        <v>0</v>
      </c>
      <c r="J28" s="4">
        <v>1E-3</v>
      </c>
      <c r="K28" s="5">
        <v>100</v>
      </c>
      <c r="L28" s="5">
        <v>100</v>
      </c>
      <c r="M28" s="5">
        <v>100</v>
      </c>
      <c r="N28" s="5">
        <v>100</v>
      </c>
      <c r="O28" s="2">
        <v>8.5557888361646545E-2</v>
      </c>
      <c r="P28" s="2">
        <v>9.671397026848462E-2</v>
      </c>
      <c r="Q28" s="2">
        <v>1.0000050000287824E-5</v>
      </c>
      <c r="R28" s="2">
        <v>1.0005003335835344E-3</v>
      </c>
    </row>
    <row r="29" spans="1:18" x14ac:dyDescent="0.3">
      <c r="A29" s="7">
        <v>23</v>
      </c>
      <c r="B29" s="7">
        <v>484</v>
      </c>
      <c r="C29" s="7">
        <v>0</v>
      </c>
      <c r="D29" s="7">
        <v>0</v>
      </c>
      <c r="E29" s="20" t="str">
        <f t="shared" si="0"/>
        <v>00</v>
      </c>
      <c r="F29" s="21">
        <v>2.0136423868351499E-2</v>
      </c>
      <c r="G29" s="4">
        <v>0.2</v>
      </c>
      <c r="H29" s="4">
        <v>0.19230769230769201</v>
      </c>
      <c r="I29" s="4">
        <v>1E-3</v>
      </c>
      <c r="J29" s="4">
        <v>0</v>
      </c>
      <c r="K29" s="5">
        <v>100</v>
      </c>
      <c r="L29" s="5">
        <v>100</v>
      </c>
      <c r="M29" s="5">
        <v>100</v>
      </c>
      <c r="N29" s="5">
        <v>100</v>
      </c>
      <c r="O29" s="2">
        <v>0.22314355131420971</v>
      </c>
      <c r="P29" s="2">
        <v>0.21357410029805876</v>
      </c>
      <c r="Q29" s="2">
        <v>1.0005003335835344E-3</v>
      </c>
      <c r="R29" s="2">
        <v>1.0000050000287824E-5</v>
      </c>
    </row>
    <row r="30" spans="1:18" x14ac:dyDescent="0.3">
      <c r="A30" s="7">
        <v>603</v>
      </c>
      <c r="B30" s="7">
        <v>469</v>
      </c>
      <c r="C30" s="7">
        <v>0</v>
      </c>
      <c r="D30" s="7">
        <v>0</v>
      </c>
      <c r="E30" s="20" t="str">
        <f t="shared" si="0"/>
        <v>00</v>
      </c>
      <c r="F30" s="21">
        <v>2.0990991205439301E-2</v>
      </c>
      <c r="G30" s="4">
        <v>0.17399999999999999</v>
      </c>
      <c r="H30" s="4">
        <v>0.18108651911468801</v>
      </c>
      <c r="I30" s="4">
        <v>1E-3</v>
      </c>
      <c r="J30" s="4">
        <v>3.0000000000000001E-3</v>
      </c>
      <c r="K30" s="5">
        <v>100</v>
      </c>
      <c r="L30" s="5">
        <v>100</v>
      </c>
      <c r="M30" s="5">
        <v>100</v>
      </c>
      <c r="N30" s="5">
        <v>100</v>
      </c>
      <c r="O30" s="2">
        <v>0.1911605054611589</v>
      </c>
      <c r="P30" s="2">
        <v>0.19977684065403356</v>
      </c>
      <c r="Q30" s="2">
        <v>1.0005003335835344E-3</v>
      </c>
      <c r="R30" s="2">
        <v>3.0045090202987243E-3</v>
      </c>
    </row>
    <row r="31" spans="1:18" x14ac:dyDescent="0.3">
      <c r="A31" s="7">
        <v>734</v>
      </c>
      <c r="B31" s="7">
        <v>490</v>
      </c>
      <c r="C31" s="7">
        <v>0</v>
      </c>
      <c r="D31" s="7">
        <v>0</v>
      </c>
      <c r="E31" s="20" t="str">
        <f t="shared" si="0"/>
        <v>00</v>
      </c>
      <c r="F31" s="21">
        <v>2.2015444931533401E-2</v>
      </c>
      <c r="G31" s="4">
        <v>0.129</v>
      </c>
      <c r="H31" s="4">
        <v>0.123232323232323</v>
      </c>
      <c r="I31" s="4">
        <v>0</v>
      </c>
      <c r="J31" s="4">
        <v>1E-3</v>
      </c>
      <c r="K31" s="5">
        <v>100</v>
      </c>
      <c r="L31" s="5">
        <v>100</v>
      </c>
      <c r="M31" s="5">
        <v>100</v>
      </c>
      <c r="N31" s="5">
        <v>100</v>
      </c>
      <c r="O31" s="2">
        <v>0.13811330212963427</v>
      </c>
      <c r="P31" s="2">
        <v>0.1315132284682852</v>
      </c>
      <c r="Q31" s="2">
        <v>1.0000050000287824E-5</v>
      </c>
      <c r="R31" s="2">
        <v>1.0005003335835344E-3</v>
      </c>
    </row>
    <row r="32" spans="1:18" x14ac:dyDescent="0.3">
      <c r="A32" s="7">
        <v>181</v>
      </c>
      <c r="B32" s="7">
        <v>474</v>
      </c>
      <c r="C32" s="7">
        <v>0</v>
      </c>
      <c r="D32" s="7">
        <v>0</v>
      </c>
      <c r="E32" s="20" t="str">
        <f t="shared" si="0"/>
        <v>00</v>
      </c>
      <c r="F32" s="21">
        <v>2.3352331440292601E-2</v>
      </c>
      <c r="G32" s="4">
        <v>0.11899999999999999</v>
      </c>
      <c r="H32" s="4">
        <v>0.116935483870968</v>
      </c>
      <c r="I32" s="4">
        <v>1E-3</v>
      </c>
      <c r="J32" s="4">
        <v>0</v>
      </c>
      <c r="K32" s="5">
        <v>100</v>
      </c>
      <c r="L32" s="5">
        <v>100</v>
      </c>
      <c r="M32" s="5">
        <v>100</v>
      </c>
      <c r="N32" s="5">
        <v>100</v>
      </c>
      <c r="O32" s="2">
        <v>0.12669765304595754</v>
      </c>
      <c r="P32" s="2">
        <v>0.12435701634848162</v>
      </c>
      <c r="Q32" s="2">
        <v>1.0005003335835344E-3</v>
      </c>
      <c r="R32" s="2">
        <v>1.0000050000287824E-5</v>
      </c>
    </row>
    <row r="33" spans="1:18" x14ac:dyDescent="0.3">
      <c r="A33" s="7">
        <v>124</v>
      </c>
      <c r="B33" s="7">
        <v>474</v>
      </c>
      <c r="C33" s="7">
        <v>0</v>
      </c>
      <c r="D33" s="7">
        <v>0</v>
      </c>
      <c r="E33" s="20" t="str">
        <f t="shared" si="0"/>
        <v>00</v>
      </c>
      <c r="F33" s="21">
        <v>2.4565735266247401E-2</v>
      </c>
      <c r="G33" s="4">
        <v>0.152</v>
      </c>
      <c r="H33" s="4">
        <v>0.15090543259557301</v>
      </c>
      <c r="I33" s="4">
        <v>0</v>
      </c>
      <c r="J33" s="4">
        <v>0</v>
      </c>
      <c r="K33" s="5">
        <v>100</v>
      </c>
      <c r="L33" s="5">
        <v>100</v>
      </c>
      <c r="M33" s="5">
        <v>100</v>
      </c>
      <c r="N33" s="5">
        <v>100</v>
      </c>
      <c r="O33" s="2">
        <v>0.16487464319023401</v>
      </c>
      <c r="P33" s="2">
        <v>0.16358471206061639</v>
      </c>
      <c r="Q33" s="2">
        <v>1.0000050000287824E-5</v>
      </c>
      <c r="R33" s="2">
        <v>1.0000050000287824E-5</v>
      </c>
    </row>
    <row r="34" spans="1:18" x14ac:dyDescent="0.3">
      <c r="A34" s="7">
        <v>825</v>
      </c>
      <c r="B34" s="7">
        <v>468</v>
      </c>
      <c r="C34" s="7">
        <v>0</v>
      </c>
      <c r="D34" s="7">
        <v>0</v>
      </c>
      <c r="E34" s="20" t="str">
        <f t="shared" si="0"/>
        <v>00</v>
      </c>
      <c r="F34" s="21">
        <v>2.62876482945615E-2</v>
      </c>
      <c r="G34" s="4">
        <v>0.17499999999999999</v>
      </c>
      <c r="H34" s="4">
        <v>0.155136268343816</v>
      </c>
      <c r="I34" s="4">
        <v>1E-3</v>
      </c>
      <c r="J34" s="4">
        <v>2E-3</v>
      </c>
      <c r="K34" s="5">
        <v>100</v>
      </c>
      <c r="L34" s="5">
        <v>100</v>
      </c>
      <c r="M34" s="5">
        <v>100</v>
      </c>
      <c r="N34" s="5">
        <v>100</v>
      </c>
      <c r="O34" s="2">
        <v>0.19237189264745613</v>
      </c>
      <c r="P34" s="2">
        <v>0.1685799289416588</v>
      </c>
      <c r="Q34" s="2">
        <v>1.0005003335835344E-3</v>
      </c>
      <c r="R34" s="2">
        <v>2.0020026706730793E-3</v>
      </c>
    </row>
    <row r="35" spans="1:18" x14ac:dyDescent="0.3">
      <c r="A35" s="7">
        <v>659</v>
      </c>
      <c r="B35" s="7">
        <v>471</v>
      </c>
      <c r="C35" s="7">
        <v>0</v>
      </c>
      <c r="D35" s="7">
        <v>0</v>
      </c>
      <c r="E35" s="20" t="str">
        <f t="shared" si="0"/>
        <v>00</v>
      </c>
      <c r="F35" s="21">
        <v>2.6666560411390299E-2</v>
      </c>
      <c r="G35" s="4">
        <v>0.115</v>
      </c>
      <c r="H35" s="4">
        <v>0.12298387096774201</v>
      </c>
      <c r="I35" s="4">
        <v>0</v>
      </c>
      <c r="J35" s="4">
        <v>0</v>
      </c>
      <c r="K35" s="5">
        <v>100</v>
      </c>
      <c r="L35" s="5">
        <v>100</v>
      </c>
      <c r="M35" s="5">
        <v>100</v>
      </c>
      <c r="N35" s="5">
        <v>100</v>
      </c>
      <c r="O35" s="2">
        <v>0.12216763397420753</v>
      </c>
      <c r="P35" s="2">
        <v>0.13122989563624346</v>
      </c>
      <c r="Q35" s="2">
        <v>1.0000050000287824E-5</v>
      </c>
      <c r="R35" s="2">
        <v>1.0000050000287824E-5</v>
      </c>
    </row>
    <row r="36" spans="1:18" x14ac:dyDescent="0.3">
      <c r="A36" s="7">
        <v>818</v>
      </c>
      <c r="B36" s="7">
        <v>471</v>
      </c>
      <c r="C36" s="7">
        <v>0</v>
      </c>
      <c r="D36" s="7">
        <v>0</v>
      </c>
      <c r="E36" s="20" t="str">
        <f t="shared" si="0"/>
        <v>00</v>
      </c>
      <c r="F36" s="21">
        <v>2.8814459002636E-2</v>
      </c>
      <c r="G36" s="4">
        <v>0.314</v>
      </c>
      <c r="H36" s="4">
        <v>0.291581108829569</v>
      </c>
      <c r="I36" s="4">
        <v>2E-3</v>
      </c>
      <c r="J36" s="4">
        <v>1E-3</v>
      </c>
      <c r="K36" s="5">
        <v>100</v>
      </c>
      <c r="L36" s="5">
        <v>100</v>
      </c>
      <c r="M36" s="5">
        <v>100</v>
      </c>
      <c r="N36" s="5">
        <v>100</v>
      </c>
      <c r="O36" s="2">
        <v>0.37687765125625189</v>
      </c>
      <c r="P36" s="2">
        <v>0.34471970605123031</v>
      </c>
      <c r="Q36" s="2">
        <v>2.0020026706730793E-3</v>
      </c>
      <c r="R36" s="2">
        <v>1.0005003335835344E-3</v>
      </c>
    </row>
    <row r="37" spans="1:18" x14ac:dyDescent="0.3">
      <c r="A37" s="7">
        <v>201</v>
      </c>
      <c r="B37" s="7">
        <v>475</v>
      </c>
      <c r="C37" s="7">
        <v>0</v>
      </c>
      <c r="D37" s="7">
        <v>0</v>
      </c>
      <c r="E37" s="20" t="str">
        <f t="shared" si="0"/>
        <v>00</v>
      </c>
      <c r="F37" s="21">
        <v>2.888923328256E-2</v>
      </c>
      <c r="G37" s="4">
        <v>0.25600000000000001</v>
      </c>
      <c r="H37" s="4">
        <v>0.226069246435845</v>
      </c>
      <c r="I37" s="4">
        <v>0</v>
      </c>
      <c r="J37" s="4">
        <v>3.0000000000000001E-3</v>
      </c>
      <c r="K37" s="5">
        <v>100</v>
      </c>
      <c r="L37" s="5">
        <v>100</v>
      </c>
      <c r="M37" s="5">
        <v>100</v>
      </c>
      <c r="N37" s="5">
        <v>100</v>
      </c>
      <c r="O37" s="2">
        <v>0.29571424414904518</v>
      </c>
      <c r="P37" s="2">
        <v>0.25627287507408891</v>
      </c>
      <c r="Q37" s="2">
        <v>1.0000050000287824E-5</v>
      </c>
      <c r="R37" s="2">
        <v>3.0045090202987243E-3</v>
      </c>
    </row>
    <row r="38" spans="1:18" x14ac:dyDescent="0.3">
      <c r="A38" s="7">
        <v>159</v>
      </c>
      <c r="B38" s="7">
        <v>487</v>
      </c>
      <c r="C38" s="7">
        <v>0</v>
      </c>
      <c r="D38" s="7">
        <v>0</v>
      </c>
      <c r="E38" s="20" t="str">
        <f t="shared" si="0"/>
        <v>00</v>
      </c>
      <c r="F38" s="21">
        <v>2.89599025497582E-2</v>
      </c>
      <c r="G38" s="4">
        <v>9.2999999999999999E-2</v>
      </c>
      <c r="H38" s="4">
        <v>9.0543259557344102E-2</v>
      </c>
      <c r="I38" s="4">
        <v>0</v>
      </c>
      <c r="J38" s="4">
        <v>2E-3</v>
      </c>
      <c r="K38" s="5">
        <v>100</v>
      </c>
      <c r="L38" s="5">
        <v>100</v>
      </c>
      <c r="M38" s="5">
        <v>100</v>
      </c>
      <c r="N38" s="5">
        <v>100</v>
      </c>
      <c r="O38" s="2">
        <v>9.7612828867000415E-2</v>
      </c>
      <c r="P38" s="2">
        <v>9.4907846264397577E-2</v>
      </c>
      <c r="Q38" s="2">
        <v>1.0000050000287824E-5</v>
      </c>
      <c r="R38" s="2">
        <v>2.0020026706730793E-3</v>
      </c>
    </row>
    <row r="39" spans="1:18" x14ac:dyDescent="0.3">
      <c r="A39" s="7">
        <v>329</v>
      </c>
      <c r="B39" s="7">
        <v>467</v>
      </c>
      <c r="C39" s="7">
        <v>0</v>
      </c>
      <c r="D39" s="7">
        <v>0</v>
      </c>
      <c r="E39" s="20" t="str">
        <f t="shared" si="0"/>
        <v>00</v>
      </c>
      <c r="F39" s="21">
        <v>2.9794058624966199E-2</v>
      </c>
      <c r="G39" s="4">
        <v>0.125</v>
      </c>
      <c r="H39" s="4">
        <v>0.113131313131313</v>
      </c>
      <c r="I39" s="4">
        <v>0</v>
      </c>
      <c r="J39" s="4">
        <v>0</v>
      </c>
      <c r="K39" s="5">
        <v>100</v>
      </c>
      <c r="L39" s="5">
        <v>100</v>
      </c>
      <c r="M39" s="5">
        <v>100</v>
      </c>
      <c r="N39" s="5">
        <v>100</v>
      </c>
      <c r="O39" s="2">
        <v>0.13353139262452263</v>
      </c>
      <c r="P39" s="2">
        <v>0.12005834949351878</v>
      </c>
      <c r="Q39" s="2">
        <v>1.0000050000287824E-5</v>
      </c>
      <c r="R39" s="2">
        <v>1.0000050000287824E-5</v>
      </c>
    </row>
    <row r="40" spans="1:18" x14ac:dyDescent="0.3">
      <c r="A40" s="7">
        <v>290</v>
      </c>
      <c r="B40" s="7">
        <v>476</v>
      </c>
      <c r="C40" s="7">
        <v>0</v>
      </c>
      <c r="D40" s="7">
        <v>0</v>
      </c>
      <c r="E40" s="20" t="str">
        <f t="shared" si="0"/>
        <v>00</v>
      </c>
      <c r="F40" s="21">
        <v>3.2023711210210803E-2</v>
      </c>
      <c r="G40" s="4">
        <v>0.41699999999999998</v>
      </c>
      <c r="H40" s="4">
        <v>0.34573304157549201</v>
      </c>
      <c r="I40" s="4">
        <v>2E-3</v>
      </c>
      <c r="J40" s="4">
        <v>0</v>
      </c>
      <c r="K40" s="5">
        <v>100</v>
      </c>
      <c r="L40" s="5">
        <v>100</v>
      </c>
      <c r="M40" s="5">
        <v>100</v>
      </c>
      <c r="N40" s="5">
        <v>100</v>
      </c>
      <c r="O40" s="2">
        <v>0.53956809263164474</v>
      </c>
      <c r="P40" s="2">
        <v>0.42423981750351775</v>
      </c>
      <c r="Q40" s="2">
        <v>2.0020026706730793E-3</v>
      </c>
      <c r="R40" s="2">
        <v>1.0000050000287824E-5</v>
      </c>
    </row>
    <row r="41" spans="1:18" x14ac:dyDescent="0.3">
      <c r="A41" s="7">
        <v>348</v>
      </c>
      <c r="B41" s="7">
        <v>478</v>
      </c>
      <c r="C41" s="7">
        <v>0</v>
      </c>
      <c r="D41" s="7">
        <v>0</v>
      </c>
      <c r="E41" s="20" t="str">
        <f t="shared" si="0"/>
        <v>00</v>
      </c>
      <c r="F41" s="21">
        <v>3.21983991740507E-2</v>
      </c>
      <c r="G41" s="4">
        <v>0.14099999999999999</v>
      </c>
      <c r="H41" s="4">
        <v>0.134538152610442</v>
      </c>
      <c r="I41" s="4">
        <v>1E-3</v>
      </c>
      <c r="J41" s="4">
        <v>0</v>
      </c>
      <c r="K41" s="5">
        <v>100</v>
      </c>
      <c r="L41" s="5">
        <v>100</v>
      </c>
      <c r="M41" s="5">
        <v>100</v>
      </c>
      <c r="N41" s="5">
        <v>100</v>
      </c>
      <c r="O41" s="2">
        <v>0.15198635699788171</v>
      </c>
      <c r="P41" s="2">
        <v>0.1444919869209054</v>
      </c>
      <c r="Q41" s="2">
        <v>1.0005003335835344E-3</v>
      </c>
      <c r="R41" s="2">
        <v>1.0000050000287824E-5</v>
      </c>
    </row>
    <row r="42" spans="1:18" x14ac:dyDescent="0.3">
      <c r="A42" s="7">
        <v>804</v>
      </c>
      <c r="B42" s="7">
        <v>478</v>
      </c>
      <c r="C42" s="7">
        <v>0</v>
      </c>
      <c r="D42" s="7">
        <v>0</v>
      </c>
      <c r="E42" s="20" t="str">
        <f t="shared" si="0"/>
        <v>00</v>
      </c>
      <c r="F42" s="21">
        <v>3.3131224577759903E-2</v>
      </c>
      <c r="G42" s="4">
        <v>0.115</v>
      </c>
      <c r="H42" s="4">
        <v>0.113131313131313</v>
      </c>
      <c r="I42" s="4">
        <v>1E-3</v>
      </c>
      <c r="J42" s="4">
        <v>1E-3</v>
      </c>
      <c r="K42" s="5">
        <v>100</v>
      </c>
      <c r="L42" s="5">
        <v>100</v>
      </c>
      <c r="M42" s="5">
        <v>100</v>
      </c>
      <c r="N42" s="5">
        <v>100</v>
      </c>
      <c r="O42" s="2">
        <v>0.12216763397420753</v>
      </c>
      <c r="P42" s="2">
        <v>0.12005834949351878</v>
      </c>
      <c r="Q42" s="2">
        <v>1.0005003335835344E-3</v>
      </c>
      <c r="R42" s="2">
        <v>1.0005003335835344E-3</v>
      </c>
    </row>
    <row r="43" spans="1:18" x14ac:dyDescent="0.3">
      <c r="A43" s="7">
        <v>743</v>
      </c>
      <c r="B43" s="7">
        <v>468</v>
      </c>
      <c r="C43" s="7">
        <v>0</v>
      </c>
      <c r="D43" s="7">
        <v>0</v>
      </c>
      <c r="E43" s="20" t="str">
        <f t="shared" si="0"/>
        <v>00</v>
      </c>
      <c r="F43" s="21">
        <v>3.4591728083303602E-2</v>
      </c>
      <c r="G43" s="4">
        <v>6.4000000000000001E-2</v>
      </c>
      <c r="H43" s="4">
        <v>5.22088353413655E-2</v>
      </c>
      <c r="I43" s="4">
        <v>0</v>
      </c>
      <c r="J43" s="4">
        <v>1E-3</v>
      </c>
      <c r="K43" s="5">
        <v>100</v>
      </c>
      <c r="L43" s="5">
        <v>100</v>
      </c>
      <c r="M43" s="5">
        <v>100</v>
      </c>
      <c r="N43" s="5">
        <v>100</v>
      </c>
      <c r="O43" s="2">
        <v>6.613980250454507E-2</v>
      </c>
      <c r="P43" s="2">
        <v>5.3621091439097525E-2</v>
      </c>
      <c r="Q43" s="2">
        <v>1.0000050000287824E-5</v>
      </c>
      <c r="R43" s="2">
        <v>1.0005003335835344E-3</v>
      </c>
    </row>
    <row r="44" spans="1:18" x14ac:dyDescent="0.3">
      <c r="A44" s="7">
        <v>206</v>
      </c>
      <c r="B44" s="7">
        <v>476</v>
      </c>
      <c r="C44" s="7">
        <v>0</v>
      </c>
      <c r="D44" s="7">
        <v>0</v>
      </c>
      <c r="E44" s="20" t="str">
        <f t="shared" si="0"/>
        <v>00</v>
      </c>
      <c r="F44" s="21">
        <v>3.4711550839293899E-2</v>
      </c>
      <c r="G44" s="4">
        <v>0.40100000000000002</v>
      </c>
      <c r="H44" s="4">
        <v>0.34754797441364599</v>
      </c>
      <c r="I44" s="4">
        <v>2E-3</v>
      </c>
      <c r="J44" s="4">
        <v>2E-3</v>
      </c>
      <c r="K44" s="5">
        <v>100</v>
      </c>
      <c r="L44" s="5">
        <v>100</v>
      </c>
      <c r="M44" s="5">
        <v>100</v>
      </c>
      <c r="N44" s="5">
        <v>100</v>
      </c>
      <c r="O44" s="2">
        <v>0.51249368086668778</v>
      </c>
      <c r="P44" s="2">
        <v>0.42701766649389855</v>
      </c>
      <c r="Q44" s="2">
        <v>2.0020026706730793E-3</v>
      </c>
      <c r="R44" s="2">
        <v>2.0020026706730793E-3</v>
      </c>
    </row>
    <row r="45" spans="1:18" x14ac:dyDescent="0.3">
      <c r="A45" s="7">
        <v>856</v>
      </c>
      <c r="B45" s="7">
        <v>479</v>
      </c>
      <c r="C45" s="7">
        <v>0</v>
      </c>
      <c r="D45" s="7">
        <v>0</v>
      </c>
      <c r="E45" s="20" t="str">
        <f t="shared" si="0"/>
        <v>00</v>
      </c>
      <c r="F45" s="21">
        <v>3.49110160193465E-2</v>
      </c>
      <c r="G45" s="4">
        <v>0.111</v>
      </c>
      <c r="H45" s="4">
        <v>9.4567404426559407E-2</v>
      </c>
      <c r="I45" s="4">
        <v>1E-3</v>
      </c>
      <c r="J45" s="4">
        <v>3.0000000000000001E-3</v>
      </c>
      <c r="K45" s="5">
        <v>100</v>
      </c>
      <c r="L45" s="5">
        <v>100</v>
      </c>
      <c r="M45" s="5">
        <v>100</v>
      </c>
      <c r="N45" s="5">
        <v>100</v>
      </c>
      <c r="O45" s="2">
        <v>0.11765804346823246</v>
      </c>
      <c r="P45" s="2">
        <v>9.9342443332263358E-2</v>
      </c>
      <c r="Q45" s="2">
        <v>1.0005003335835344E-3</v>
      </c>
      <c r="R45" s="2">
        <v>3.0045090202987243E-3</v>
      </c>
    </row>
    <row r="46" spans="1:18" x14ac:dyDescent="0.3">
      <c r="A46" s="7">
        <v>609</v>
      </c>
      <c r="B46" s="7">
        <v>467</v>
      </c>
      <c r="C46" s="7">
        <v>0</v>
      </c>
      <c r="D46" s="7">
        <v>0</v>
      </c>
      <c r="E46" s="20" t="str">
        <f t="shared" si="0"/>
        <v>00</v>
      </c>
      <c r="F46" s="21">
        <v>3.5132352103647201E-2</v>
      </c>
      <c r="G46" s="4">
        <v>5.8000000000000003E-2</v>
      </c>
      <c r="H46" s="4">
        <v>5.6795131845841798E-2</v>
      </c>
      <c r="I46" s="4">
        <v>0</v>
      </c>
      <c r="J46" s="4">
        <v>0</v>
      </c>
      <c r="K46" s="5">
        <v>100</v>
      </c>
      <c r="L46" s="5">
        <v>100</v>
      </c>
      <c r="M46" s="5">
        <v>100</v>
      </c>
      <c r="N46" s="5">
        <v>100</v>
      </c>
      <c r="O46" s="2">
        <v>5.9750004405774049E-2</v>
      </c>
      <c r="P46" s="2">
        <v>5.8471768455333854E-2</v>
      </c>
      <c r="Q46" s="2">
        <v>1.0000050000287824E-5</v>
      </c>
      <c r="R46" s="2">
        <v>1.0000050000287824E-5</v>
      </c>
    </row>
    <row r="47" spans="1:18" x14ac:dyDescent="0.3">
      <c r="A47" s="7">
        <v>441</v>
      </c>
      <c r="B47" s="7">
        <v>472</v>
      </c>
      <c r="C47" s="7">
        <v>0</v>
      </c>
      <c r="D47" s="7">
        <v>0</v>
      </c>
      <c r="E47" s="20" t="str">
        <f t="shared" si="0"/>
        <v>00</v>
      </c>
      <c r="F47" s="21">
        <v>3.5936982128376198E-2</v>
      </c>
      <c r="G47" s="4">
        <v>0.151</v>
      </c>
      <c r="H47" s="4">
        <v>0.11764705882352899</v>
      </c>
      <c r="I47" s="4">
        <v>2E-3</v>
      </c>
      <c r="J47" s="4">
        <v>0</v>
      </c>
      <c r="K47" s="5">
        <v>100</v>
      </c>
      <c r="L47" s="5">
        <v>100</v>
      </c>
      <c r="M47" s="5">
        <v>100</v>
      </c>
      <c r="N47" s="5">
        <v>100</v>
      </c>
      <c r="O47" s="2">
        <v>0.16369609267078977</v>
      </c>
      <c r="P47" s="2">
        <v>0.12516314295400555</v>
      </c>
      <c r="Q47" s="2">
        <v>2.0020026706730793E-3</v>
      </c>
      <c r="R47" s="2">
        <v>1.0000050000287824E-5</v>
      </c>
    </row>
    <row r="48" spans="1:18" x14ac:dyDescent="0.3">
      <c r="A48" s="7">
        <v>69</v>
      </c>
      <c r="B48" s="7">
        <v>471</v>
      </c>
      <c r="C48" s="7">
        <v>0</v>
      </c>
      <c r="D48" s="7">
        <v>0</v>
      </c>
      <c r="E48" s="20" t="str">
        <f t="shared" si="0"/>
        <v>00</v>
      </c>
      <c r="F48" s="21">
        <v>3.6008641298129897E-2</v>
      </c>
      <c r="G48" s="4">
        <v>0.159</v>
      </c>
      <c r="H48" s="4">
        <v>0.160965794768612</v>
      </c>
      <c r="I48" s="4">
        <v>0</v>
      </c>
      <c r="J48" s="4">
        <v>2E-3</v>
      </c>
      <c r="K48" s="5">
        <v>100</v>
      </c>
      <c r="L48" s="5">
        <v>100</v>
      </c>
      <c r="M48" s="5">
        <v>100</v>
      </c>
      <c r="N48" s="5">
        <v>100</v>
      </c>
      <c r="O48" s="2">
        <v>0.17316361900918903</v>
      </c>
      <c r="P48" s="2">
        <v>0.17550380429782775</v>
      </c>
      <c r="Q48" s="2">
        <v>1.0000050000287824E-5</v>
      </c>
      <c r="R48" s="2">
        <v>2.0020026706730793E-3</v>
      </c>
    </row>
    <row r="49" spans="1:18" x14ac:dyDescent="0.3">
      <c r="A49" s="7">
        <v>829</v>
      </c>
      <c r="B49" s="7">
        <v>461</v>
      </c>
      <c r="C49" s="7">
        <v>0</v>
      </c>
      <c r="D49" s="7">
        <v>0</v>
      </c>
      <c r="E49" s="20" t="str">
        <f t="shared" si="0"/>
        <v>00</v>
      </c>
      <c r="F49" s="21">
        <v>3.7099582875546898E-2</v>
      </c>
      <c r="G49" s="4">
        <v>0.10100000000000001</v>
      </c>
      <c r="H49" s="4">
        <v>9.6385542168674704E-2</v>
      </c>
      <c r="I49" s="4">
        <v>1E-3</v>
      </c>
      <c r="J49" s="4">
        <v>1E-3</v>
      </c>
      <c r="K49" s="5">
        <v>100</v>
      </c>
      <c r="L49" s="5">
        <v>100</v>
      </c>
      <c r="M49" s="5">
        <v>100</v>
      </c>
      <c r="N49" s="5">
        <v>100</v>
      </c>
      <c r="O49" s="2">
        <v>0.10647224451051676</v>
      </c>
      <c r="P49" s="2">
        <v>0.10135249426028746</v>
      </c>
      <c r="Q49" s="2">
        <v>1.0005003335835344E-3</v>
      </c>
      <c r="R49" s="2">
        <v>1.0005003335835344E-3</v>
      </c>
    </row>
    <row r="50" spans="1:18" x14ac:dyDescent="0.3">
      <c r="A50" s="7">
        <v>652</v>
      </c>
      <c r="B50" s="7">
        <v>461</v>
      </c>
      <c r="C50" s="7">
        <v>0</v>
      </c>
      <c r="D50" s="7">
        <v>0</v>
      </c>
      <c r="E50" s="20" t="str">
        <f t="shared" si="0"/>
        <v>00</v>
      </c>
      <c r="F50" s="21">
        <v>3.7193031416051098E-2</v>
      </c>
      <c r="G50" s="4">
        <v>0.52500000000000002</v>
      </c>
      <c r="H50" s="4">
        <v>0.48966942148760301</v>
      </c>
      <c r="I50" s="4">
        <v>2E-3</v>
      </c>
      <c r="J50" s="4">
        <v>1E-3</v>
      </c>
      <c r="K50" s="5">
        <v>0</v>
      </c>
      <c r="L50" s="5">
        <v>100</v>
      </c>
      <c r="M50" s="5">
        <v>100</v>
      </c>
      <c r="N50" s="5">
        <v>100</v>
      </c>
      <c r="O50" s="2">
        <v>0.74444047494749588</v>
      </c>
      <c r="P50" s="2">
        <v>0.6726965700886538</v>
      </c>
      <c r="Q50" s="2">
        <v>2.0020026706730793E-3</v>
      </c>
      <c r="R50" s="2">
        <v>1.0005003335835344E-3</v>
      </c>
    </row>
    <row r="51" spans="1:18" x14ac:dyDescent="0.3">
      <c r="A51" s="7">
        <v>83</v>
      </c>
      <c r="B51" s="7">
        <v>456</v>
      </c>
      <c r="C51" s="7">
        <v>0</v>
      </c>
      <c r="D51" s="7">
        <v>0</v>
      </c>
      <c r="E51" s="20" t="str">
        <f t="shared" si="0"/>
        <v>00</v>
      </c>
      <c r="F51" s="21">
        <v>3.74001443734268E-2</v>
      </c>
      <c r="G51" s="4">
        <v>0.16800000000000001</v>
      </c>
      <c r="H51" s="4">
        <v>0.14486921529175101</v>
      </c>
      <c r="I51" s="4">
        <v>4.0000000000000001E-3</v>
      </c>
      <c r="J51" s="4">
        <v>0</v>
      </c>
      <c r="K51" s="5">
        <v>100</v>
      </c>
      <c r="L51" s="5">
        <v>100</v>
      </c>
      <c r="M51" s="5">
        <v>100</v>
      </c>
      <c r="N51" s="5">
        <v>100</v>
      </c>
      <c r="O51" s="2">
        <v>0.1839228381609285</v>
      </c>
      <c r="P51" s="2">
        <v>0.15650085717221249</v>
      </c>
      <c r="Q51" s="2">
        <v>4.0080213975388218E-3</v>
      </c>
      <c r="R51" s="2">
        <v>1.0000050000287824E-5</v>
      </c>
    </row>
    <row r="52" spans="1:18" x14ac:dyDescent="0.3">
      <c r="A52" s="7">
        <v>478</v>
      </c>
      <c r="B52" s="7">
        <v>470</v>
      </c>
      <c r="C52" s="7">
        <v>0</v>
      </c>
      <c r="D52" s="7">
        <v>0</v>
      </c>
      <c r="E52" s="20" t="str">
        <f t="shared" si="0"/>
        <v>00</v>
      </c>
      <c r="F52" s="21">
        <v>3.7759836891061702E-2</v>
      </c>
      <c r="G52" s="4">
        <v>0.124</v>
      </c>
      <c r="H52" s="4">
        <v>0.119191919191919</v>
      </c>
      <c r="I52" s="4">
        <v>2E-3</v>
      </c>
      <c r="J52" s="4">
        <v>1E-3</v>
      </c>
      <c r="K52" s="5">
        <v>100</v>
      </c>
      <c r="L52" s="5">
        <v>100</v>
      </c>
      <c r="M52" s="5">
        <v>100</v>
      </c>
      <c r="N52" s="5">
        <v>100</v>
      </c>
      <c r="O52" s="2">
        <v>0.13238918804574562</v>
      </c>
      <c r="P52" s="2">
        <v>0.12691551921965571</v>
      </c>
      <c r="Q52" s="2">
        <v>2.0020026706730793E-3</v>
      </c>
      <c r="R52" s="2">
        <v>1.0005003335835344E-3</v>
      </c>
    </row>
    <row r="53" spans="1:18" x14ac:dyDescent="0.3">
      <c r="A53" s="7">
        <v>949</v>
      </c>
      <c r="B53" s="7">
        <v>473</v>
      </c>
      <c r="C53" s="7">
        <v>0</v>
      </c>
      <c r="D53" s="7">
        <v>0</v>
      </c>
      <c r="E53" s="20" t="str">
        <f t="shared" si="0"/>
        <v>00</v>
      </c>
      <c r="F53" s="21">
        <v>3.7885032548481197E-2</v>
      </c>
      <c r="G53" s="4">
        <v>0.127</v>
      </c>
      <c r="H53" s="4">
        <v>0.12967032967032999</v>
      </c>
      <c r="I53" s="4">
        <v>1E-3</v>
      </c>
      <c r="J53" s="4">
        <v>1E-3</v>
      </c>
      <c r="K53" s="5">
        <v>100</v>
      </c>
      <c r="L53" s="5">
        <v>100</v>
      </c>
      <c r="M53" s="5">
        <v>100</v>
      </c>
      <c r="N53" s="5">
        <v>100</v>
      </c>
      <c r="O53" s="2">
        <v>0.13581972314253485</v>
      </c>
      <c r="P53" s="2">
        <v>0.13888320769647022</v>
      </c>
      <c r="Q53" s="2">
        <v>1.0005003335835344E-3</v>
      </c>
      <c r="R53" s="2">
        <v>1.0005003335835344E-3</v>
      </c>
    </row>
    <row r="54" spans="1:18" x14ac:dyDescent="0.3">
      <c r="A54" s="7">
        <v>241</v>
      </c>
      <c r="B54" s="7">
        <v>464</v>
      </c>
      <c r="C54" s="7">
        <v>0</v>
      </c>
      <c r="D54" s="7">
        <v>0</v>
      </c>
      <c r="E54" s="20" t="str">
        <f t="shared" si="0"/>
        <v>00</v>
      </c>
      <c r="F54" s="21">
        <v>3.8517508876635798E-2</v>
      </c>
      <c r="G54" s="4">
        <v>0.27300000000000002</v>
      </c>
      <c r="H54" s="4">
        <v>0.25154639175257698</v>
      </c>
      <c r="I54" s="4">
        <v>0</v>
      </c>
      <c r="J54" s="4">
        <v>2E-3</v>
      </c>
      <c r="K54" s="5">
        <v>100</v>
      </c>
      <c r="L54" s="5">
        <v>100</v>
      </c>
      <c r="M54" s="5">
        <v>100</v>
      </c>
      <c r="N54" s="5">
        <v>100</v>
      </c>
      <c r="O54" s="2">
        <v>0.31882880144861769</v>
      </c>
      <c r="P54" s="2">
        <v>0.28974605667263198</v>
      </c>
      <c r="Q54" s="2">
        <v>1.0000050000287824E-5</v>
      </c>
      <c r="R54" s="2">
        <v>2.0020026706730793E-3</v>
      </c>
    </row>
    <row r="55" spans="1:18" x14ac:dyDescent="0.3">
      <c r="A55" s="7">
        <v>639</v>
      </c>
      <c r="B55" s="7">
        <v>464</v>
      </c>
      <c r="C55" s="7">
        <v>0</v>
      </c>
      <c r="D55" s="7">
        <v>0</v>
      </c>
      <c r="E55" s="20" t="str">
        <f t="shared" si="0"/>
        <v>00</v>
      </c>
      <c r="F55" s="21">
        <v>3.8891440322850301E-2</v>
      </c>
      <c r="G55" s="4">
        <v>0.13900000000000001</v>
      </c>
      <c r="H55" s="4">
        <v>0.121703853955375</v>
      </c>
      <c r="I55" s="4">
        <v>0</v>
      </c>
      <c r="J55" s="4">
        <v>3.0000000000000001E-3</v>
      </c>
      <c r="K55" s="5">
        <v>100</v>
      </c>
      <c r="L55" s="5">
        <v>100</v>
      </c>
      <c r="M55" s="5">
        <v>100</v>
      </c>
      <c r="N55" s="5">
        <v>100</v>
      </c>
      <c r="O55" s="2">
        <v>0.14966077455440627</v>
      </c>
      <c r="P55" s="2">
        <v>0.12977144604019994</v>
      </c>
      <c r="Q55" s="2">
        <v>1.0000050000287824E-5</v>
      </c>
      <c r="R55" s="2">
        <v>3.0045090202987243E-3</v>
      </c>
    </row>
    <row r="56" spans="1:18" x14ac:dyDescent="0.3">
      <c r="A56" s="7">
        <v>315</v>
      </c>
      <c r="B56" s="7">
        <v>461</v>
      </c>
      <c r="C56" s="7">
        <v>0</v>
      </c>
      <c r="D56" s="7">
        <v>0</v>
      </c>
      <c r="E56" s="20" t="str">
        <f t="shared" si="0"/>
        <v>00</v>
      </c>
      <c r="F56" s="21">
        <v>3.93512177201088E-2</v>
      </c>
      <c r="G56" s="4">
        <v>0.104</v>
      </c>
      <c r="H56" s="4">
        <v>0.108433734939759</v>
      </c>
      <c r="I56" s="4">
        <v>1E-3</v>
      </c>
      <c r="J56" s="4">
        <v>1E-3</v>
      </c>
      <c r="K56" s="5">
        <v>100</v>
      </c>
      <c r="L56" s="5">
        <v>100</v>
      </c>
      <c r="M56" s="5">
        <v>100</v>
      </c>
      <c r="N56" s="5">
        <v>100</v>
      </c>
      <c r="O56" s="2">
        <v>0.10981486600720657</v>
      </c>
      <c r="P56" s="2">
        <v>0.11477551459242818</v>
      </c>
      <c r="Q56" s="2">
        <v>1.0005003335835344E-3</v>
      </c>
      <c r="R56" s="2">
        <v>1.0005003335835344E-3</v>
      </c>
    </row>
    <row r="57" spans="1:18" x14ac:dyDescent="0.3">
      <c r="A57" s="7">
        <v>558</v>
      </c>
      <c r="B57" s="7">
        <v>464</v>
      </c>
      <c r="C57" s="7">
        <v>0</v>
      </c>
      <c r="D57" s="7">
        <v>0</v>
      </c>
      <c r="E57" s="20" t="str">
        <f t="shared" si="0"/>
        <v>00</v>
      </c>
      <c r="F57" s="21">
        <v>3.9888889422773903E-2</v>
      </c>
      <c r="G57" s="4">
        <v>0.218</v>
      </c>
      <c r="H57" s="4">
        <v>0.228744939271255</v>
      </c>
      <c r="I57" s="4">
        <v>0</v>
      </c>
      <c r="J57" s="4">
        <v>1E-3</v>
      </c>
      <c r="K57" s="5">
        <v>100</v>
      </c>
      <c r="L57" s="5">
        <v>100</v>
      </c>
      <c r="M57" s="5">
        <v>100</v>
      </c>
      <c r="N57" s="5">
        <v>100</v>
      </c>
      <c r="O57" s="2">
        <v>0.24590053843682594</v>
      </c>
      <c r="P57" s="2">
        <v>0.25973614206122153</v>
      </c>
      <c r="Q57" s="2">
        <v>1.0000050000287824E-5</v>
      </c>
      <c r="R57" s="2">
        <v>1.0005003335835344E-3</v>
      </c>
    </row>
    <row r="58" spans="1:18" x14ac:dyDescent="0.3">
      <c r="A58" s="7">
        <v>785</v>
      </c>
      <c r="B58" s="7">
        <v>462</v>
      </c>
      <c r="C58" s="7">
        <v>0</v>
      </c>
      <c r="D58" s="7">
        <v>0</v>
      </c>
      <c r="E58" s="20" t="str">
        <f t="shared" si="0"/>
        <v>00</v>
      </c>
      <c r="F58" s="21">
        <v>4.1218972577813297E-2</v>
      </c>
      <c r="G58" s="4">
        <v>0.252</v>
      </c>
      <c r="H58" s="4">
        <v>0.25352112676056299</v>
      </c>
      <c r="I58" s="4">
        <v>2E-3</v>
      </c>
      <c r="J58" s="4">
        <v>2E-3</v>
      </c>
      <c r="K58" s="5">
        <v>100</v>
      </c>
      <c r="L58" s="5">
        <v>100</v>
      </c>
      <c r="M58" s="5">
        <v>100</v>
      </c>
      <c r="N58" s="5">
        <v>100</v>
      </c>
      <c r="O58" s="2">
        <v>0.2903523010076598</v>
      </c>
      <c r="P58" s="2">
        <v>0.29238796348919316</v>
      </c>
      <c r="Q58" s="2">
        <v>2.0020026706730793E-3</v>
      </c>
      <c r="R58" s="2">
        <v>2.0020026706730793E-3</v>
      </c>
    </row>
    <row r="59" spans="1:18" x14ac:dyDescent="0.3">
      <c r="A59" s="7">
        <v>998</v>
      </c>
      <c r="B59" s="7">
        <v>459</v>
      </c>
      <c r="C59" s="7">
        <v>0</v>
      </c>
      <c r="D59" s="7">
        <v>0</v>
      </c>
      <c r="E59" s="20" t="str">
        <f t="shared" si="0"/>
        <v>00</v>
      </c>
      <c r="F59" s="21">
        <v>4.2386255908298698E-2</v>
      </c>
      <c r="G59" s="4">
        <v>0.106</v>
      </c>
      <c r="H59" s="4">
        <v>8.1632653061224497E-2</v>
      </c>
      <c r="I59" s="4">
        <v>0</v>
      </c>
      <c r="J59" s="4">
        <v>2E-3</v>
      </c>
      <c r="K59" s="5">
        <v>100</v>
      </c>
      <c r="L59" s="5">
        <v>100</v>
      </c>
      <c r="M59" s="5">
        <v>100</v>
      </c>
      <c r="N59" s="5">
        <v>100</v>
      </c>
      <c r="O59" s="2">
        <v>0.11204950380862289</v>
      </c>
      <c r="P59" s="2">
        <v>8.5157808340306826E-2</v>
      </c>
      <c r="Q59" s="2">
        <v>1.0000050000287824E-5</v>
      </c>
      <c r="R59" s="2">
        <v>2.0020026706730793E-3</v>
      </c>
    </row>
    <row r="60" spans="1:18" x14ac:dyDescent="0.3">
      <c r="A60" s="7">
        <v>778</v>
      </c>
      <c r="B60" s="7">
        <v>472</v>
      </c>
      <c r="C60" s="7">
        <v>0</v>
      </c>
      <c r="D60" s="7">
        <v>0</v>
      </c>
      <c r="E60" s="20" t="str">
        <f t="shared" si="0"/>
        <v>00</v>
      </c>
      <c r="F60" s="21">
        <v>4.2998974555572701E-2</v>
      </c>
      <c r="G60" s="4">
        <v>0.152</v>
      </c>
      <c r="H60" s="4">
        <v>0.127789046653144</v>
      </c>
      <c r="I60" s="4">
        <v>1E-3</v>
      </c>
      <c r="J60" s="4">
        <v>3.0000000000000001E-3</v>
      </c>
      <c r="K60" s="5">
        <v>100</v>
      </c>
      <c r="L60" s="5">
        <v>100</v>
      </c>
      <c r="M60" s="5">
        <v>100</v>
      </c>
      <c r="N60" s="5">
        <v>100</v>
      </c>
      <c r="O60" s="2">
        <v>0.16487464319023401</v>
      </c>
      <c r="P60" s="2">
        <v>0.13672396535508191</v>
      </c>
      <c r="Q60" s="2">
        <v>1.0005003335835344E-3</v>
      </c>
      <c r="R60" s="2">
        <v>3.0045090202987243E-3</v>
      </c>
    </row>
    <row r="61" spans="1:18" x14ac:dyDescent="0.3">
      <c r="A61" s="7">
        <v>155</v>
      </c>
      <c r="B61" s="7">
        <v>468</v>
      </c>
      <c r="C61" s="7">
        <v>0</v>
      </c>
      <c r="D61" s="7">
        <v>0</v>
      </c>
      <c r="E61" s="20" t="str">
        <f t="shared" si="0"/>
        <v>00</v>
      </c>
      <c r="F61" s="21">
        <v>4.5000170057714499E-2</v>
      </c>
      <c r="G61" s="4">
        <v>0.13</v>
      </c>
      <c r="H61" s="4">
        <v>8.9770354906054298E-2</v>
      </c>
      <c r="I61" s="4">
        <v>0</v>
      </c>
      <c r="J61" s="4">
        <v>3.0000000000000001E-3</v>
      </c>
      <c r="K61" s="5">
        <v>100</v>
      </c>
      <c r="L61" s="5">
        <v>100</v>
      </c>
      <c r="M61" s="5">
        <v>100</v>
      </c>
      <c r="N61" s="5">
        <v>100</v>
      </c>
      <c r="O61" s="2">
        <v>0.13926206733350766</v>
      </c>
      <c r="P61" s="2">
        <v>9.4058354061880983E-2</v>
      </c>
      <c r="Q61" s="2">
        <v>1.0000050000287824E-5</v>
      </c>
      <c r="R61" s="2">
        <v>3.0045090202987243E-3</v>
      </c>
    </row>
    <row r="62" spans="1:18" x14ac:dyDescent="0.3">
      <c r="A62" s="7">
        <v>948</v>
      </c>
      <c r="B62" s="7">
        <v>441</v>
      </c>
      <c r="C62" s="7">
        <v>0</v>
      </c>
      <c r="D62" s="7">
        <v>0</v>
      </c>
      <c r="E62" s="20" t="str">
        <f t="shared" si="0"/>
        <v>00</v>
      </c>
      <c r="F62" s="21">
        <v>4.5015519657868999E-2</v>
      </c>
      <c r="G62" s="4">
        <v>0.28499999999999998</v>
      </c>
      <c r="H62" s="4">
        <v>0.27383367139959403</v>
      </c>
      <c r="I62" s="4">
        <v>4.0000000000000001E-3</v>
      </c>
      <c r="J62" s="4">
        <v>2E-3</v>
      </c>
      <c r="K62" s="5">
        <v>100</v>
      </c>
      <c r="L62" s="5">
        <v>100</v>
      </c>
      <c r="M62" s="5">
        <v>100</v>
      </c>
      <c r="N62" s="5">
        <v>100</v>
      </c>
      <c r="O62" s="2">
        <v>0.33547273628812929</v>
      </c>
      <c r="P62" s="2">
        <v>0.31997618764198937</v>
      </c>
      <c r="Q62" s="2">
        <v>4.0080213975388218E-3</v>
      </c>
      <c r="R62" s="2">
        <v>2.0020026706730793E-3</v>
      </c>
    </row>
    <row r="63" spans="1:18" x14ac:dyDescent="0.3">
      <c r="A63" s="7">
        <v>93</v>
      </c>
      <c r="B63" s="7">
        <v>466</v>
      </c>
      <c r="C63" s="7">
        <v>0</v>
      </c>
      <c r="D63" s="7">
        <v>0</v>
      </c>
      <c r="E63" s="20" t="str">
        <f t="shared" si="0"/>
        <v>00</v>
      </c>
      <c r="F63" s="21">
        <v>4.5408089451405703E-2</v>
      </c>
      <c r="G63" s="4">
        <v>6.8000000000000005E-2</v>
      </c>
      <c r="H63" s="4">
        <v>9.2369477911646597E-2</v>
      </c>
      <c r="I63" s="4">
        <v>0</v>
      </c>
      <c r="J63" s="4">
        <v>1E-3</v>
      </c>
      <c r="K63" s="5">
        <v>100</v>
      </c>
      <c r="L63" s="5">
        <v>100</v>
      </c>
      <c r="M63" s="5">
        <v>100</v>
      </c>
      <c r="N63" s="5">
        <v>100</v>
      </c>
      <c r="O63" s="2">
        <v>7.0422464296545931E-2</v>
      </c>
      <c r="P63" s="2">
        <v>9.6917897192421776E-2</v>
      </c>
      <c r="Q63" s="2">
        <v>1.0000050000287824E-5</v>
      </c>
      <c r="R63" s="2">
        <v>1.0005003335835344E-3</v>
      </c>
    </row>
    <row r="64" spans="1:18" x14ac:dyDescent="0.3">
      <c r="A64" s="7">
        <v>284</v>
      </c>
      <c r="B64" s="7">
        <v>448</v>
      </c>
      <c r="C64" s="7">
        <v>0</v>
      </c>
      <c r="D64" s="7">
        <v>0</v>
      </c>
      <c r="E64" s="20" t="str">
        <f t="shared" si="0"/>
        <v>00</v>
      </c>
      <c r="F64" s="21">
        <v>4.6483002002613301E-2</v>
      </c>
      <c r="G64" s="4">
        <v>8.7999999999999995E-2</v>
      </c>
      <c r="H64" s="4">
        <v>9.4188376753506997E-2</v>
      </c>
      <c r="I64" s="4">
        <v>3.0000000000000001E-3</v>
      </c>
      <c r="J64" s="4">
        <v>0</v>
      </c>
      <c r="K64" s="5">
        <v>100</v>
      </c>
      <c r="L64" s="5">
        <v>100</v>
      </c>
      <c r="M64" s="5">
        <v>100</v>
      </c>
      <c r="N64" s="5">
        <v>100</v>
      </c>
      <c r="O64" s="2">
        <v>9.2115288907805626E-2</v>
      </c>
      <c r="P64" s="2">
        <v>9.8923915919287453E-2</v>
      </c>
      <c r="Q64" s="2">
        <v>3.0045090202987243E-3</v>
      </c>
      <c r="R64" s="2">
        <v>1.0000050000287824E-5</v>
      </c>
    </row>
    <row r="65" spans="1:18" x14ac:dyDescent="0.3">
      <c r="A65" s="7">
        <v>299</v>
      </c>
      <c r="B65" s="7">
        <v>450</v>
      </c>
      <c r="C65" s="7">
        <v>0</v>
      </c>
      <c r="D65" s="7">
        <v>0</v>
      </c>
      <c r="E65" s="20" t="str">
        <f t="shared" si="0"/>
        <v>00</v>
      </c>
      <c r="F65" s="21">
        <v>4.7496811582186299E-2</v>
      </c>
      <c r="G65" s="4">
        <v>0.22600000000000001</v>
      </c>
      <c r="H65" s="4">
        <v>0.211693548387097</v>
      </c>
      <c r="I65" s="4">
        <v>3.0000000000000001E-3</v>
      </c>
      <c r="J65" s="4">
        <v>3.0000000000000001E-3</v>
      </c>
      <c r="K65" s="5">
        <v>100</v>
      </c>
      <c r="L65" s="5">
        <v>100</v>
      </c>
      <c r="M65" s="5">
        <v>100</v>
      </c>
      <c r="N65" s="5">
        <v>100</v>
      </c>
      <c r="O65" s="2">
        <v>0.25618340539240991</v>
      </c>
      <c r="P65" s="2">
        <v>0.23786836673956196</v>
      </c>
      <c r="Q65" s="2">
        <v>3.0045090202987243E-3</v>
      </c>
      <c r="R65" s="2">
        <v>3.0045090202987243E-3</v>
      </c>
    </row>
    <row r="66" spans="1:18" x14ac:dyDescent="0.3">
      <c r="A66" s="7">
        <v>136</v>
      </c>
      <c r="B66" s="7">
        <v>463</v>
      </c>
      <c r="C66" s="7">
        <v>0</v>
      </c>
      <c r="D66" s="7">
        <v>0</v>
      </c>
      <c r="E66" s="20" t="str">
        <f t="shared" ref="E66:E129" si="1">_xlfn.CONCAT(C66,D66)</f>
        <v>00</v>
      </c>
      <c r="F66" s="21">
        <v>5.1458649111291499E-2</v>
      </c>
      <c r="G66" s="4">
        <v>0.18099999999999999</v>
      </c>
      <c r="H66" s="4">
        <v>0.162886597938144</v>
      </c>
      <c r="I66" s="4">
        <v>1E-3</v>
      </c>
      <c r="J66" s="4">
        <v>0</v>
      </c>
      <c r="K66" s="5">
        <v>100</v>
      </c>
      <c r="L66" s="5">
        <v>100</v>
      </c>
      <c r="M66" s="5">
        <v>100</v>
      </c>
      <c r="N66" s="5">
        <v>100</v>
      </c>
      <c r="O66" s="2">
        <v>0.1996711951290677</v>
      </c>
      <c r="P66" s="2">
        <v>0.17779573133575013</v>
      </c>
      <c r="Q66" s="2">
        <v>1.0005003335835344E-3</v>
      </c>
      <c r="R66" s="2">
        <v>1.0000050000287824E-5</v>
      </c>
    </row>
    <row r="67" spans="1:18" x14ac:dyDescent="0.3">
      <c r="A67" s="7">
        <v>6</v>
      </c>
      <c r="B67" s="7">
        <v>457</v>
      </c>
      <c r="C67" s="7">
        <v>0</v>
      </c>
      <c r="D67" s="7">
        <v>0</v>
      </c>
      <c r="E67" s="20" t="str">
        <f t="shared" si="1"/>
        <v>00</v>
      </c>
      <c r="F67" s="21">
        <v>5.1871877597916297E-2</v>
      </c>
      <c r="G67" s="4">
        <v>0.152</v>
      </c>
      <c r="H67" s="4">
        <v>0.14314516129032301</v>
      </c>
      <c r="I67" s="4">
        <v>6.0000000000000001E-3</v>
      </c>
      <c r="J67" s="4">
        <v>2E-3</v>
      </c>
      <c r="K67" s="5">
        <v>100</v>
      </c>
      <c r="L67" s="5">
        <v>100</v>
      </c>
      <c r="M67" s="5">
        <v>100</v>
      </c>
      <c r="N67" s="5">
        <v>100</v>
      </c>
      <c r="O67" s="2">
        <v>0.16487464319023401</v>
      </c>
      <c r="P67" s="2">
        <v>0.15448675780051108</v>
      </c>
      <c r="Q67" s="2">
        <v>6.0180723255630212E-3</v>
      </c>
      <c r="R67" s="2">
        <v>2.0020026706730793E-3</v>
      </c>
    </row>
    <row r="68" spans="1:18" x14ac:dyDescent="0.3">
      <c r="A68" s="7">
        <v>602</v>
      </c>
      <c r="B68" s="7">
        <v>461</v>
      </c>
      <c r="C68" s="7">
        <v>0</v>
      </c>
      <c r="D68" s="7">
        <v>0</v>
      </c>
      <c r="E68" s="20" t="str">
        <f t="shared" si="1"/>
        <v>00</v>
      </c>
      <c r="F68" s="21">
        <v>5.2102271466477598E-2</v>
      </c>
      <c r="G68" s="4">
        <v>0.156</v>
      </c>
      <c r="H68" s="4">
        <v>0.110416666666667</v>
      </c>
      <c r="I68" s="4">
        <v>0</v>
      </c>
      <c r="J68" s="4">
        <v>1E-3</v>
      </c>
      <c r="K68" s="5">
        <v>100</v>
      </c>
      <c r="L68" s="5">
        <v>100</v>
      </c>
      <c r="M68" s="5">
        <v>100</v>
      </c>
      <c r="N68" s="5">
        <v>100</v>
      </c>
      <c r="O68" s="2">
        <v>0.16960278438617998</v>
      </c>
      <c r="P68" s="2">
        <v>0.11700209067331249</v>
      </c>
      <c r="Q68" s="2">
        <v>1.0000050000287824E-5</v>
      </c>
      <c r="R68" s="2">
        <v>1.0005003335835344E-3</v>
      </c>
    </row>
    <row r="69" spans="1:18" x14ac:dyDescent="0.3">
      <c r="A69" s="7">
        <v>144</v>
      </c>
      <c r="B69" s="7">
        <v>459</v>
      </c>
      <c r="C69" s="7">
        <v>0</v>
      </c>
      <c r="D69" s="7">
        <v>0</v>
      </c>
      <c r="E69" s="20" t="str">
        <f t="shared" si="1"/>
        <v>00</v>
      </c>
      <c r="F69" s="21">
        <v>5.3097480606880403E-2</v>
      </c>
      <c r="G69" s="4">
        <v>0.14399999999999999</v>
      </c>
      <c r="H69" s="4">
        <v>0.14457831325301199</v>
      </c>
      <c r="I69" s="4">
        <v>4.0000000000000001E-3</v>
      </c>
      <c r="J69" s="4">
        <v>3.0000000000000001E-3</v>
      </c>
      <c r="K69" s="5">
        <v>100</v>
      </c>
      <c r="L69" s="5">
        <v>100</v>
      </c>
      <c r="M69" s="5">
        <v>100</v>
      </c>
      <c r="N69" s="5">
        <v>100</v>
      </c>
      <c r="O69" s="2">
        <v>0.15548490284039498</v>
      </c>
      <c r="P69" s="2">
        <v>0.15616073075528239</v>
      </c>
      <c r="Q69" s="2">
        <v>4.0080213975388218E-3</v>
      </c>
      <c r="R69" s="2">
        <v>3.0045090202987243E-3</v>
      </c>
    </row>
    <row r="70" spans="1:18" x14ac:dyDescent="0.3">
      <c r="A70" s="7">
        <v>741</v>
      </c>
      <c r="B70" s="7">
        <v>439</v>
      </c>
      <c r="C70" s="7">
        <v>0</v>
      </c>
      <c r="D70" s="7">
        <v>0</v>
      </c>
      <c r="E70" s="20" t="str">
        <f t="shared" si="1"/>
        <v>00</v>
      </c>
      <c r="F70" s="21">
        <v>5.3199787802605703E-2</v>
      </c>
      <c r="G70" s="4">
        <v>0.317</v>
      </c>
      <c r="H70" s="4">
        <v>0.29045643153527001</v>
      </c>
      <c r="I70" s="4">
        <v>0</v>
      </c>
      <c r="J70" s="4">
        <v>1E-3</v>
      </c>
      <c r="K70" s="5">
        <v>100</v>
      </c>
      <c r="L70" s="5">
        <v>100</v>
      </c>
      <c r="M70" s="5">
        <v>100</v>
      </c>
      <c r="N70" s="5">
        <v>100</v>
      </c>
      <c r="O70" s="2">
        <v>0.38126041941134692</v>
      </c>
      <c r="P70" s="2">
        <v>0.34313337698799556</v>
      </c>
      <c r="Q70" s="2">
        <v>1.0000050000287824E-5</v>
      </c>
      <c r="R70" s="2">
        <v>1.0005003335835344E-3</v>
      </c>
    </row>
    <row r="71" spans="1:18" x14ac:dyDescent="0.3">
      <c r="A71" s="7">
        <v>340</v>
      </c>
      <c r="B71" s="7">
        <v>453</v>
      </c>
      <c r="C71" s="7">
        <v>0</v>
      </c>
      <c r="D71" s="7">
        <v>0</v>
      </c>
      <c r="E71" s="20" t="str">
        <f t="shared" si="1"/>
        <v>00</v>
      </c>
      <c r="F71" s="21">
        <v>5.4716771559687002E-2</v>
      </c>
      <c r="G71" s="4">
        <v>0.38200000000000001</v>
      </c>
      <c r="H71" s="4">
        <v>0.31422505307855603</v>
      </c>
      <c r="I71" s="4">
        <v>5.0000000000000001E-3</v>
      </c>
      <c r="J71" s="4">
        <v>2E-3</v>
      </c>
      <c r="K71" s="5">
        <v>100</v>
      </c>
      <c r="L71" s="5">
        <v>100</v>
      </c>
      <c r="M71" s="5">
        <v>100</v>
      </c>
      <c r="N71" s="5">
        <v>100</v>
      </c>
      <c r="O71" s="2">
        <v>0.48126682152444628</v>
      </c>
      <c r="P71" s="2">
        <v>0.37720577079376078</v>
      </c>
      <c r="Q71" s="2">
        <v>5.0125418235442863E-3</v>
      </c>
      <c r="R71" s="2">
        <v>2.0020026706730793E-3</v>
      </c>
    </row>
    <row r="72" spans="1:18" x14ac:dyDescent="0.3">
      <c r="A72" s="7">
        <v>25</v>
      </c>
      <c r="B72" s="7">
        <v>449</v>
      </c>
      <c r="C72" s="7">
        <v>0</v>
      </c>
      <c r="D72" s="7">
        <v>0</v>
      </c>
      <c r="E72" s="20" t="str">
        <f t="shared" si="1"/>
        <v>00</v>
      </c>
      <c r="F72" s="21">
        <v>5.4717588190800102E-2</v>
      </c>
      <c r="G72" s="4">
        <v>0.28999999999999998</v>
      </c>
      <c r="H72" s="4">
        <v>0.24791666666666701</v>
      </c>
      <c r="I72" s="4">
        <v>0</v>
      </c>
      <c r="J72" s="4">
        <v>1E-3</v>
      </c>
      <c r="K72" s="5">
        <v>100</v>
      </c>
      <c r="L72" s="5">
        <v>100</v>
      </c>
      <c r="M72" s="5">
        <v>100</v>
      </c>
      <c r="N72" s="5">
        <v>100</v>
      </c>
      <c r="O72" s="2">
        <v>0.34249030894677601</v>
      </c>
      <c r="P72" s="2">
        <v>0.28490814556905614</v>
      </c>
      <c r="Q72" s="2">
        <v>1.0000050000287824E-5</v>
      </c>
      <c r="R72" s="2">
        <v>1.0005003335835344E-3</v>
      </c>
    </row>
    <row r="73" spans="1:18" x14ac:dyDescent="0.3">
      <c r="A73" s="7">
        <v>227</v>
      </c>
      <c r="B73" s="7">
        <v>442</v>
      </c>
      <c r="C73" s="7">
        <v>0</v>
      </c>
      <c r="D73" s="7">
        <v>0</v>
      </c>
      <c r="E73" s="20" t="str">
        <f t="shared" si="1"/>
        <v>00</v>
      </c>
      <c r="F73" s="21">
        <v>5.5066217931971001E-2</v>
      </c>
      <c r="G73" s="4">
        <v>0.113</v>
      </c>
      <c r="H73" s="4">
        <v>0.104417670682731</v>
      </c>
      <c r="I73" s="4">
        <v>1E-3</v>
      </c>
      <c r="J73" s="4">
        <v>3.0000000000000001E-3</v>
      </c>
      <c r="K73" s="5">
        <v>100</v>
      </c>
      <c r="L73" s="5">
        <v>100</v>
      </c>
      <c r="M73" s="5">
        <v>100</v>
      </c>
      <c r="N73" s="5">
        <v>100</v>
      </c>
      <c r="O73" s="2">
        <v>0.11991029667255755</v>
      </c>
      <c r="P73" s="2">
        <v>0.11028112500458895</v>
      </c>
      <c r="Q73" s="2">
        <v>1.0005003335835344E-3</v>
      </c>
      <c r="R73" s="2">
        <v>3.0045090202987243E-3</v>
      </c>
    </row>
    <row r="74" spans="1:18" x14ac:dyDescent="0.3">
      <c r="A74" s="7">
        <v>305</v>
      </c>
      <c r="B74" s="7">
        <v>451</v>
      </c>
      <c r="C74" s="7">
        <v>0</v>
      </c>
      <c r="D74" s="7">
        <v>0</v>
      </c>
      <c r="E74" s="20" t="str">
        <f t="shared" si="1"/>
        <v>00</v>
      </c>
      <c r="F74" s="21">
        <v>5.5273381532672597E-2</v>
      </c>
      <c r="G74" s="4">
        <v>0.20100000000000001</v>
      </c>
      <c r="H74" s="4">
        <v>0.20766129032258099</v>
      </c>
      <c r="I74" s="4">
        <v>1E-3</v>
      </c>
      <c r="J74" s="4">
        <v>1E-3</v>
      </c>
      <c r="K74" s="5">
        <v>100</v>
      </c>
      <c r="L74" s="5">
        <v>100</v>
      </c>
      <c r="M74" s="5">
        <v>100</v>
      </c>
      <c r="N74" s="5">
        <v>100</v>
      </c>
      <c r="O74" s="2">
        <v>0.22439433321586247</v>
      </c>
      <c r="P74" s="2">
        <v>0.23276631485566665</v>
      </c>
      <c r="Q74" s="2">
        <v>1.0005003335835344E-3</v>
      </c>
      <c r="R74" s="2">
        <v>1.0005003335835344E-3</v>
      </c>
    </row>
    <row r="75" spans="1:18" x14ac:dyDescent="0.3">
      <c r="A75" s="7">
        <v>894</v>
      </c>
      <c r="B75" s="7">
        <v>446</v>
      </c>
      <c r="C75" s="7">
        <v>0</v>
      </c>
      <c r="D75" s="7">
        <v>0</v>
      </c>
      <c r="E75" s="20" t="str">
        <f t="shared" si="1"/>
        <v>00</v>
      </c>
      <c r="F75" s="21">
        <v>5.5878637910773202E-2</v>
      </c>
      <c r="G75" s="4">
        <v>0.186</v>
      </c>
      <c r="H75" s="4">
        <v>0.16632860040568001</v>
      </c>
      <c r="I75" s="4">
        <v>1E-3</v>
      </c>
      <c r="J75" s="4">
        <v>4.0000000000000001E-3</v>
      </c>
      <c r="K75" s="5">
        <v>100</v>
      </c>
      <c r="L75" s="5">
        <v>100</v>
      </c>
      <c r="M75" s="5">
        <v>100</v>
      </c>
      <c r="N75" s="5">
        <v>100</v>
      </c>
      <c r="O75" s="2">
        <v>0.20579491297959668</v>
      </c>
      <c r="P75" s="2">
        <v>0.18191595954645606</v>
      </c>
      <c r="Q75" s="2">
        <v>1.0005003335835344E-3</v>
      </c>
      <c r="R75" s="2">
        <v>4.0080213975388218E-3</v>
      </c>
    </row>
    <row r="76" spans="1:18" x14ac:dyDescent="0.3">
      <c r="A76" s="7">
        <v>65</v>
      </c>
      <c r="B76" s="7">
        <v>447</v>
      </c>
      <c r="C76" s="7">
        <v>0</v>
      </c>
      <c r="D76" s="7">
        <v>0</v>
      </c>
      <c r="E76" s="20" t="str">
        <f t="shared" si="1"/>
        <v>00</v>
      </c>
      <c r="F76" s="21">
        <v>5.5932749903185801E-2</v>
      </c>
      <c r="G76" s="4">
        <v>0.30399999999999999</v>
      </c>
      <c r="H76" s="4">
        <v>0.27463312368972698</v>
      </c>
      <c r="I76" s="4">
        <v>2E-3</v>
      </c>
      <c r="J76" s="4">
        <v>2E-3</v>
      </c>
      <c r="K76" s="5">
        <v>100</v>
      </c>
      <c r="L76" s="5">
        <v>100</v>
      </c>
      <c r="M76" s="5">
        <v>100</v>
      </c>
      <c r="N76" s="5">
        <v>100</v>
      </c>
      <c r="O76" s="2">
        <v>0.36240561864771748</v>
      </c>
      <c r="P76" s="2">
        <v>0.32107771583061634</v>
      </c>
      <c r="Q76" s="2">
        <v>2.0020026706730793E-3</v>
      </c>
      <c r="R76" s="2">
        <v>2.0020026706730793E-3</v>
      </c>
    </row>
    <row r="77" spans="1:18" x14ac:dyDescent="0.3">
      <c r="A77" s="7">
        <v>398</v>
      </c>
      <c r="B77" s="7">
        <v>433</v>
      </c>
      <c r="C77" s="7">
        <v>0</v>
      </c>
      <c r="D77" s="7">
        <v>0</v>
      </c>
      <c r="E77" s="20" t="str">
        <f t="shared" si="1"/>
        <v>00</v>
      </c>
      <c r="F77" s="21">
        <v>5.7317395206567E-2</v>
      </c>
      <c r="G77" s="4">
        <v>0.124</v>
      </c>
      <c r="H77" s="4">
        <v>0.12676056338028199</v>
      </c>
      <c r="I77" s="4">
        <v>3.0000000000000001E-3</v>
      </c>
      <c r="J77" s="4">
        <v>2E-3</v>
      </c>
      <c r="K77" s="5">
        <v>100</v>
      </c>
      <c r="L77" s="5">
        <v>100</v>
      </c>
      <c r="M77" s="5">
        <v>100</v>
      </c>
      <c r="N77" s="5">
        <v>100</v>
      </c>
      <c r="O77" s="2">
        <v>0.13238918804574562</v>
      </c>
      <c r="P77" s="2">
        <v>0.13554549199622418</v>
      </c>
      <c r="Q77" s="2">
        <v>3.0045090202987243E-3</v>
      </c>
      <c r="R77" s="2">
        <v>2.0020026706730793E-3</v>
      </c>
    </row>
    <row r="78" spans="1:18" x14ac:dyDescent="0.3">
      <c r="A78" s="7">
        <v>133</v>
      </c>
      <c r="B78" s="7">
        <v>434</v>
      </c>
      <c r="C78" s="7">
        <v>0</v>
      </c>
      <c r="D78" s="7">
        <v>0</v>
      </c>
      <c r="E78" s="20" t="str">
        <f t="shared" si="1"/>
        <v>00</v>
      </c>
      <c r="F78" s="21">
        <v>5.7600299698850201E-2</v>
      </c>
      <c r="G78" s="4">
        <v>0.19600000000000001</v>
      </c>
      <c r="H78" s="4">
        <v>0.153209109730849</v>
      </c>
      <c r="I78" s="4">
        <v>0</v>
      </c>
      <c r="J78" s="4">
        <v>1E-3</v>
      </c>
      <c r="K78" s="5">
        <v>100</v>
      </c>
      <c r="L78" s="5">
        <v>100</v>
      </c>
      <c r="M78" s="5">
        <v>100</v>
      </c>
      <c r="N78" s="5">
        <v>100</v>
      </c>
      <c r="O78" s="2">
        <v>0.21815600980317063</v>
      </c>
      <c r="P78" s="2">
        <v>0.16630149760977112</v>
      </c>
      <c r="Q78" s="2">
        <v>1.0000050000287824E-5</v>
      </c>
      <c r="R78" s="2">
        <v>1.0005003335835344E-3</v>
      </c>
    </row>
    <row r="79" spans="1:18" x14ac:dyDescent="0.3">
      <c r="A79" s="7">
        <v>419</v>
      </c>
      <c r="B79" s="7">
        <v>449</v>
      </c>
      <c r="C79" s="7">
        <v>0</v>
      </c>
      <c r="D79" s="7">
        <v>0</v>
      </c>
      <c r="E79" s="20" t="str">
        <f t="shared" si="1"/>
        <v>00</v>
      </c>
      <c r="F79" s="21">
        <v>5.9382782310695201E-2</v>
      </c>
      <c r="G79" s="4">
        <v>0.14199999999999999</v>
      </c>
      <c r="H79" s="4">
        <v>0.132382892057026</v>
      </c>
      <c r="I79" s="4">
        <v>1E-3</v>
      </c>
      <c r="J79" s="4">
        <v>2E-3</v>
      </c>
      <c r="K79" s="5">
        <v>100</v>
      </c>
      <c r="L79" s="5">
        <v>100</v>
      </c>
      <c r="M79" s="5">
        <v>100</v>
      </c>
      <c r="N79" s="5">
        <v>100</v>
      </c>
      <c r="O79" s="2">
        <v>0.15315117949417478</v>
      </c>
      <c r="P79" s="2">
        <v>0.14200478152514964</v>
      </c>
      <c r="Q79" s="2">
        <v>1.0005003335835344E-3</v>
      </c>
      <c r="R79" s="2">
        <v>2.0020026706730793E-3</v>
      </c>
    </row>
    <row r="80" spans="1:18" x14ac:dyDescent="0.3">
      <c r="A80" s="7">
        <v>651</v>
      </c>
      <c r="B80" s="7">
        <v>445</v>
      </c>
      <c r="C80" s="7">
        <v>0</v>
      </c>
      <c r="D80" s="7">
        <v>0</v>
      </c>
      <c r="E80" s="20" t="str">
        <f t="shared" si="1"/>
        <v>00</v>
      </c>
      <c r="F80" s="21">
        <v>6.0653819269939499E-2</v>
      </c>
      <c r="G80" s="4">
        <v>0.49</v>
      </c>
      <c r="H80" s="4">
        <v>0.43368421052631601</v>
      </c>
      <c r="I80" s="4">
        <v>4.0000000000000001E-3</v>
      </c>
      <c r="J80" s="4">
        <v>4.0000000000000001E-3</v>
      </c>
      <c r="K80" s="5">
        <v>100</v>
      </c>
      <c r="L80" s="5">
        <v>100</v>
      </c>
      <c r="M80" s="5">
        <v>100</v>
      </c>
      <c r="N80" s="5">
        <v>100</v>
      </c>
      <c r="O80" s="2">
        <v>0.67334455326376563</v>
      </c>
      <c r="P80" s="2">
        <v>0.56860342443280243</v>
      </c>
      <c r="Q80" s="2">
        <v>4.0080213975388218E-3</v>
      </c>
      <c r="R80" s="2">
        <v>4.0080213975388218E-3</v>
      </c>
    </row>
    <row r="81" spans="1:18" x14ac:dyDescent="0.3">
      <c r="A81" s="7">
        <v>317</v>
      </c>
      <c r="B81" s="7">
        <v>451</v>
      </c>
      <c r="C81" s="7">
        <v>0</v>
      </c>
      <c r="D81" s="7">
        <v>0</v>
      </c>
      <c r="E81" s="20" t="str">
        <f t="shared" si="1"/>
        <v>00</v>
      </c>
      <c r="F81" s="21">
        <v>6.2899198860294103E-2</v>
      </c>
      <c r="G81" s="4">
        <v>0.28399999999999997</v>
      </c>
      <c r="H81" s="4">
        <v>0.247422680412371</v>
      </c>
      <c r="I81" s="4">
        <v>6.0000000000000001E-3</v>
      </c>
      <c r="J81" s="4">
        <v>4.0000000000000001E-3</v>
      </c>
      <c r="K81" s="5">
        <v>100</v>
      </c>
      <c r="L81" s="5">
        <v>100</v>
      </c>
      <c r="M81" s="5">
        <v>100</v>
      </c>
      <c r="N81" s="5">
        <v>100</v>
      </c>
      <c r="O81" s="2">
        <v>0.33407511202149148</v>
      </c>
      <c r="P81" s="2">
        <v>0.28425153735499153</v>
      </c>
      <c r="Q81" s="2">
        <v>6.0180723255630212E-3</v>
      </c>
      <c r="R81" s="2">
        <v>4.0080213975388218E-3</v>
      </c>
    </row>
    <row r="82" spans="1:18" x14ac:dyDescent="0.3">
      <c r="A82" s="7">
        <v>898</v>
      </c>
      <c r="B82" s="7">
        <v>445</v>
      </c>
      <c r="C82" s="7">
        <v>0</v>
      </c>
      <c r="D82" s="7">
        <v>0</v>
      </c>
      <c r="E82" s="20" t="str">
        <f t="shared" si="1"/>
        <v>00</v>
      </c>
      <c r="F82" s="21">
        <v>6.4103096434771897E-2</v>
      </c>
      <c r="G82" s="4">
        <v>0.14699999999999999</v>
      </c>
      <c r="H82" s="4">
        <v>0.10655737704918</v>
      </c>
      <c r="I82" s="4">
        <v>2E-3</v>
      </c>
      <c r="J82" s="4">
        <v>1E-3</v>
      </c>
      <c r="K82" s="5">
        <v>100</v>
      </c>
      <c r="L82" s="5">
        <v>100</v>
      </c>
      <c r="M82" s="5">
        <v>100</v>
      </c>
      <c r="N82" s="5">
        <v>100</v>
      </c>
      <c r="O82" s="2">
        <v>0.15899573149045795</v>
      </c>
      <c r="P82" s="2">
        <v>0.1126731625041125</v>
      </c>
      <c r="Q82" s="2">
        <v>2.0020026706730793E-3</v>
      </c>
      <c r="R82" s="2">
        <v>1.0005003335835344E-3</v>
      </c>
    </row>
    <row r="83" spans="1:18" x14ac:dyDescent="0.3">
      <c r="A83" s="7">
        <v>682</v>
      </c>
      <c r="B83" s="7">
        <v>445</v>
      </c>
      <c r="C83" s="7">
        <v>0</v>
      </c>
      <c r="D83" s="7">
        <v>0</v>
      </c>
      <c r="E83" s="20" t="str">
        <f t="shared" si="1"/>
        <v>00</v>
      </c>
      <c r="F83" s="21">
        <v>6.4140477262970105E-2</v>
      </c>
      <c r="G83" s="4">
        <v>0.112</v>
      </c>
      <c r="H83" s="4">
        <v>9.2783505154639206E-2</v>
      </c>
      <c r="I83" s="4">
        <v>3.0000000000000001E-3</v>
      </c>
      <c r="J83" s="4">
        <v>2E-3</v>
      </c>
      <c r="K83" s="5">
        <v>100</v>
      </c>
      <c r="L83" s="5">
        <v>100</v>
      </c>
      <c r="M83" s="5">
        <v>100</v>
      </c>
      <c r="N83" s="5">
        <v>100</v>
      </c>
      <c r="O83" s="2">
        <v>0.11878353598996698</v>
      </c>
      <c r="P83" s="2">
        <v>9.737416402517636E-2</v>
      </c>
      <c r="Q83" s="2">
        <v>3.0045090202987243E-3</v>
      </c>
      <c r="R83" s="2">
        <v>2.0020026706730793E-3</v>
      </c>
    </row>
    <row r="84" spans="1:18" x14ac:dyDescent="0.3">
      <c r="A84" s="7">
        <v>702</v>
      </c>
      <c r="B84" s="7">
        <v>446</v>
      </c>
      <c r="C84" s="7">
        <v>0</v>
      </c>
      <c r="D84" s="7">
        <v>0</v>
      </c>
      <c r="E84" s="20" t="str">
        <f t="shared" si="1"/>
        <v>00</v>
      </c>
      <c r="F84" s="21">
        <v>6.5822225580661406E-2</v>
      </c>
      <c r="G84" s="4">
        <v>0.129</v>
      </c>
      <c r="H84" s="4">
        <v>0.120481927710843</v>
      </c>
      <c r="I84" s="4">
        <v>2E-3</v>
      </c>
      <c r="J84" s="4">
        <v>1E-3</v>
      </c>
      <c r="K84" s="5">
        <v>100</v>
      </c>
      <c r="L84" s="5">
        <v>100</v>
      </c>
      <c r="M84" s="5">
        <v>100</v>
      </c>
      <c r="N84" s="5">
        <v>100</v>
      </c>
      <c r="O84" s="2">
        <v>0.13811330212963427</v>
      </c>
      <c r="P84" s="2">
        <v>0.12838116664820634</v>
      </c>
      <c r="Q84" s="2">
        <v>2.0020026706730793E-3</v>
      </c>
      <c r="R84" s="2">
        <v>1.0005003335835344E-3</v>
      </c>
    </row>
    <row r="85" spans="1:18" x14ac:dyDescent="0.3">
      <c r="A85" s="7">
        <v>781</v>
      </c>
      <c r="B85" s="7">
        <v>456</v>
      </c>
      <c r="C85" s="7">
        <v>0</v>
      </c>
      <c r="D85" s="7">
        <v>0</v>
      </c>
      <c r="E85" s="20" t="str">
        <f t="shared" si="1"/>
        <v>00</v>
      </c>
      <c r="F85" s="21">
        <v>6.6050740307928596E-2</v>
      </c>
      <c r="G85" s="4">
        <v>9.2999999999999999E-2</v>
      </c>
      <c r="H85" s="4">
        <v>0.100806451612903</v>
      </c>
      <c r="I85" s="4">
        <v>2E-3</v>
      </c>
      <c r="J85" s="4">
        <v>2E-3</v>
      </c>
      <c r="K85" s="5">
        <v>100</v>
      </c>
      <c r="L85" s="5">
        <v>100</v>
      </c>
      <c r="M85" s="5">
        <v>100</v>
      </c>
      <c r="N85" s="5">
        <v>100</v>
      </c>
      <c r="O85" s="2">
        <v>9.7612828867000415E-2</v>
      </c>
      <c r="P85" s="2">
        <v>0.10625697470486319</v>
      </c>
      <c r="Q85" s="2">
        <v>2.0020026706730793E-3</v>
      </c>
      <c r="R85" s="2">
        <v>2.0020026706730793E-3</v>
      </c>
    </row>
    <row r="86" spans="1:18" x14ac:dyDescent="0.3">
      <c r="A86" s="7">
        <v>660</v>
      </c>
      <c r="B86" s="7">
        <v>442</v>
      </c>
      <c r="C86" s="7">
        <v>0</v>
      </c>
      <c r="D86" s="7">
        <v>0</v>
      </c>
      <c r="E86" s="20" t="str">
        <f t="shared" si="1"/>
        <v>00</v>
      </c>
      <c r="F86" s="21">
        <v>6.7851085489062796E-2</v>
      </c>
      <c r="G86" s="4">
        <v>0.30299999999999999</v>
      </c>
      <c r="H86" s="4">
        <v>0.265432098765432</v>
      </c>
      <c r="I86" s="4">
        <v>3.0000000000000001E-3</v>
      </c>
      <c r="J86" s="4">
        <v>2E-3</v>
      </c>
      <c r="K86" s="5">
        <v>100</v>
      </c>
      <c r="L86" s="5">
        <v>100</v>
      </c>
      <c r="M86" s="5">
        <v>100</v>
      </c>
      <c r="N86" s="5">
        <v>100</v>
      </c>
      <c r="O86" s="2">
        <v>0.36096986822161309</v>
      </c>
      <c r="P86" s="2">
        <v>0.30847284212085446</v>
      </c>
      <c r="Q86" s="2">
        <v>3.0045090202987243E-3</v>
      </c>
      <c r="R86" s="2">
        <v>2.0020026706730793E-3</v>
      </c>
    </row>
    <row r="87" spans="1:18" x14ac:dyDescent="0.3">
      <c r="A87" s="7">
        <v>686</v>
      </c>
      <c r="B87" s="7">
        <v>450</v>
      </c>
      <c r="C87" s="7">
        <v>0</v>
      </c>
      <c r="D87" s="7">
        <v>0</v>
      </c>
      <c r="E87" s="20" t="str">
        <f t="shared" si="1"/>
        <v>00</v>
      </c>
      <c r="F87" s="21">
        <v>6.8418314392848706E-2</v>
      </c>
      <c r="G87" s="4">
        <v>0.14399999999999999</v>
      </c>
      <c r="H87" s="4">
        <v>0.15927419354838701</v>
      </c>
      <c r="I87" s="4">
        <v>3.0000000000000001E-3</v>
      </c>
      <c r="J87" s="4">
        <v>2E-3</v>
      </c>
      <c r="K87" s="5">
        <v>100</v>
      </c>
      <c r="L87" s="5">
        <v>100</v>
      </c>
      <c r="M87" s="5">
        <v>100</v>
      </c>
      <c r="N87" s="5">
        <v>100</v>
      </c>
      <c r="O87" s="2">
        <v>0.15548490284039498</v>
      </c>
      <c r="P87" s="2">
        <v>0.17348970492612592</v>
      </c>
      <c r="Q87" s="2">
        <v>3.0045090202987243E-3</v>
      </c>
      <c r="R87" s="2">
        <v>2.0020026706730793E-3</v>
      </c>
    </row>
    <row r="88" spans="1:18" x14ac:dyDescent="0.3">
      <c r="A88" s="7">
        <v>301</v>
      </c>
      <c r="B88" s="7">
        <v>436</v>
      </c>
      <c r="C88" s="7">
        <v>0</v>
      </c>
      <c r="D88" s="7">
        <v>0</v>
      </c>
      <c r="E88" s="20" t="str">
        <f t="shared" si="1"/>
        <v>00</v>
      </c>
      <c r="F88" s="21">
        <v>6.8745013324811394E-2</v>
      </c>
      <c r="G88" s="4">
        <v>0.184</v>
      </c>
      <c r="H88" s="4">
        <v>0.18548387096774199</v>
      </c>
      <c r="I88" s="4">
        <v>4.0000000000000001E-3</v>
      </c>
      <c r="J88" s="4">
        <v>0</v>
      </c>
      <c r="K88" s="5">
        <v>100</v>
      </c>
      <c r="L88" s="5">
        <v>100</v>
      </c>
      <c r="M88" s="5">
        <v>100</v>
      </c>
      <c r="N88" s="5">
        <v>100</v>
      </c>
      <c r="O88" s="2">
        <v>0.20334092401802997</v>
      </c>
      <c r="P88" s="2">
        <v>0.20516104876377747</v>
      </c>
      <c r="Q88" s="2">
        <v>4.0080213975388218E-3</v>
      </c>
      <c r="R88" s="2">
        <v>1.0000050000287824E-5</v>
      </c>
    </row>
    <row r="89" spans="1:18" x14ac:dyDescent="0.3">
      <c r="A89" s="7">
        <v>923</v>
      </c>
      <c r="B89" s="7">
        <v>436</v>
      </c>
      <c r="C89" s="7">
        <v>0</v>
      </c>
      <c r="D89" s="7">
        <v>0</v>
      </c>
      <c r="E89" s="20" t="str">
        <f t="shared" si="1"/>
        <v>00</v>
      </c>
      <c r="F89" s="21">
        <v>6.88153039254841E-2</v>
      </c>
      <c r="G89" s="4">
        <v>0.151</v>
      </c>
      <c r="H89" s="4">
        <v>0.13008130081300801</v>
      </c>
      <c r="I89" s="4">
        <v>1E-3</v>
      </c>
      <c r="J89" s="4">
        <v>1E-3</v>
      </c>
      <c r="K89" s="5">
        <v>100</v>
      </c>
      <c r="L89" s="5">
        <v>100</v>
      </c>
      <c r="M89" s="5">
        <v>100</v>
      </c>
      <c r="N89" s="5">
        <v>100</v>
      </c>
      <c r="O89" s="2">
        <v>0.16369609267078977</v>
      </c>
      <c r="P89" s="2">
        <v>0.13935552091051112</v>
      </c>
      <c r="Q89" s="2">
        <v>1.0005003335835344E-3</v>
      </c>
      <c r="R89" s="2">
        <v>1.0005003335835344E-3</v>
      </c>
    </row>
    <row r="90" spans="1:18" x14ac:dyDescent="0.3">
      <c r="A90" s="7">
        <v>691</v>
      </c>
      <c r="B90" s="7">
        <v>450</v>
      </c>
      <c r="C90" s="7">
        <v>0</v>
      </c>
      <c r="D90" s="7">
        <v>0</v>
      </c>
      <c r="E90" s="20" t="str">
        <f t="shared" si="1"/>
        <v>00</v>
      </c>
      <c r="F90" s="21">
        <v>6.946478992032E-2</v>
      </c>
      <c r="G90" s="4">
        <v>0.13</v>
      </c>
      <c r="H90" s="4">
        <v>0.12903225806451599</v>
      </c>
      <c r="I90" s="4">
        <v>0</v>
      </c>
      <c r="J90" s="4">
        <v>4.0000000000000001E-3</v>
      </c>
      <c r="K90" s="5">
        <v>100</v>
      </c>
      <c r="L90" s="5">
        <v>100</v>
      </c>
      <c r="M90" s="5">
        <v>100</v>
      </c>
      <c r="N90" s="5">
        <v>100</v>
      </c>
      <c r="O90" s="2">
        <v>0.13926206733350766</v>
      </c>
      <c r="P90" s="2">
        <v>0.13815033848081704</v>
      </c>
      <c r="Q90" s="2">
        <v>1.0000050000287824E-5</v>
      </c>
      <c r="R90" s="2">
        <v>4.0080213975388218E-3</v>
      </c>
    </row>
    <row r="91" spans="1:18" x14ac:dyDescent="0.3">
      <c r="A91" s="7">
        <v>24</v>
      </c>
      <c r="B91" s="7">
        <v>454</v>
      </c>
      <c r="C91" s="7">
        <v>0</v>
      </c>
      <c r="D91" s="7">
        <v>0</v>
      </c>
      <c r="E91" s="20" t="str">
        <f t="shared" si="1"/>
        <v>00</v>
      </c>
      <c r="F91" s="21">
        <v>6.9701096186346997E-2</v>
      </c>
      <c r="G91" s="4">
        <v>0.104</v>
      </c>
      <c r="H91" s="4">
        <v>9.0725806451612906E-2</v>
      </c>
      <c r="I91" s="4">
        <v>5.0000000000000001E-3</v>
      </c>
      <c r="J91" s="4">
        <v>2E-3</v>
      </c>
      <c r="K91" s="5">
        <v>100</v>
      </c>
      <c r="L91" s="5">
        <v>100</v>
      </c>
      <c r="M91" s="5">
        <v>100</v>
      </c>
      <c r="N91" s="5">
        <v>100</v>
      </c>
      <c r="O91" s="2">
        <v>0.10981486600720657</v>
      </c>
      <c r="P91" s="2">
        <v>9.5108587222249102E-2</v>
      </c>
      <c r="Q91" s="2">
        <v>5.0125418235442863E-3</v>
      </c>
      <c r="R91" s="2">
        <v>2.0020026706730793E-3</v>
      </c>
    </row>
    <row r="92" spans="1:18" x14ac:dyDescent="0.3">
      <c r="A92" s="7">
        <v>895</v>
      </c>
      <c r="B92" s="7">
        <v>442</v>
      </c>
      <c r="C92" s="7">
        <v>0</v>
      </c>
      <c r="D92" s="7">
        <v>0</v>
      </c>
      <c r="E92" s="20" t="str">
        <f t="shared" si="1"/>
        <v>00</v>
      </c>
      <c r="F92" s="21">
        <v>7.0702727916252095E-2</v>
      </c>
      <c r="G92" s="4">
        <v>0.10100000000000001</v>
      </c>
      <c r="H92" s="4">
        <v>9.7560975609756101E-2</v>
      </c>
      <c r="I92" s="4">
        <v>2E-3</v>
      </c>
      <c r="J92" s="4">
        <v>1E-3</v>
      </c>
      <c r="K92" s="5">
        <v>100</v>
      </c>
      <c r="L92" s="5">
        <v>100</v>
      </c>
      <c r="M92" s="5">
        <v>100</v>
      </c>
      <c r="N92" s="5">
        <v>100</v>
      </c>
      <c r="O92" s="2">
        <v>0.10647224451051676</v>
      </c>
      <c r="P92" s="2">
        <v>0.10265415406008334</v>
      </c>
      <c r="Q92" s="2">
        <v>2.0020026706730793E-3</v>
      </c>
      <c r="R92" s="2">
        <v>1.0005003335835344E-3</v>
      </c>
    </row>
    <row r="93" spans="1:18" x14ac:dyDescent="0.3">
      <c r="A93" s="7">
        <v>52</v>
      </c>
      <c r="B93" s="7">
        <v>421</v>
      </c>
      <c r="C93" s="7">
        <v>0</v>
      </c>
      <c r="D93" s="7">
        <v>0</v>
      </c>
      <c r="E93" s="20" t="str">
        <f t="shared" si="1"/>
        <v>00</v>
      </c>
      <c r="F93" s="21">
        <v>7.2118671393960804E-2</v>
      </c>
      <c r="G93" s="4">
        <v>0.222</v>
      </c>
      <c r="H93" s="4">
        <v>0.15151515151515199</v>
      </c>
      <c r="I93" s="4">
        <v>2E-3</v>
      </c>
      <c r="J93" s="4">
        <v>3.0000000000000001E-3</v>
      </c>
      <c r="K93" s="5">
        <v>100</v>
      </c>
      <c r="L93" s="5">
        <v>100</v>
      </c>
      <c r="M93" s="5">
        <v>100</v>
      </c>
      <c r="N93" s="5">
        <v>100</v>
      </c>
      <c r="O93" s="2">
        <v>0.25102875480374542</v>
      </c>
      <c r="P93" s="2">
        <v>0.16430305129127692</v>
      </c>
      <c r="Q93" s="2">
        <v>2.0020026706730793E-3</v>
      </c>
      <c r="R93" s="2">
        <v>3.0045090202987243E-3</v>
      </c>
    </row>
    <row r="94" spans="1:18" x14ac:dyDescent="0.3">
      <c r="A94" s="7">
        <v>459</v>
      </c>
      <c r="B94" s="7">
        <v>420</v>
      </c>
      <c r="C94" s="7">
        <v>0</v>
      </c>
      <c r="D94" s="7">
        <v>0</v>
      </c>
      <c r="E94" s="20" t="str">
        <f t="shared" si="1"/>
        <v>00</v>
      </c>
      <c r="F94" s="21">
        <v>7.45215656871418E-2</v>
      </c>
      <c r="G94" s="4">
        <v>0.17499999999999999</v>
      </c>
      <c r="H94" s="4">
        <v>0.154786150712831</v>
      </c>
      <c r="I94" s="4">
        <v>2E-3</v>
      </c>
      <c r="J94" s="4">
        <v>1E-3</v>
      </c>
      <c r="K94" s="5">
        <v>100</v>
      </c>
      <c r="L94" s="5">
        <v>100</v>
      </c>
      <c r="M94" s="5">
        <v>100</v>
      </c>
      <c r="N94" s="5">
        <v>100</v>
      </c>
      <c r="O94" s="2">
        <v>0.19237189264745613</v>
      </c>
      <c r="P94" s="2">
        <v>0.16816560756382229</v>
      </c>
      <c r="Q94" s="2">
        <v>2.0020026706730793E-3</v>
      </c>
      <c r="R94" s="2">
        <v>1.0005003335835344E-3</v>
      </c>
    </row>
    <row r="95" spans="1:18" x14ac:dyDescent="0.3">
      <c r="A95" s="7">
        <v>271</v>
      </c>
      <c r="B95" s="7">
        <v>444</v>
      </c>
      <c r="C95" s="7">
        <v>0</v>
      </c>
      <c r="D95" s="7">
        <v>0</v>
      </c>
      <c r="E95" s="20" t="str">
        <f t="shared" si="1"/>
        <v>00</v>
      </c>
      <c r="F95" s="21">
        <v>7.5266338265576202E-2</v>
      </c>
      <c r="G95" s="4">
        <v>0.22600000000000001</v>
      </c>
      <c r="H95" s="4">
        <v>0.20206185567010301</v>
      </c>
      <c r="I95" s="4">
        <v>4.0000000000000001E-3</v>
      </c>
      <c r="J95" s="4">
        <v>6.0000000000000001E-3</v>
      </c>
      <c r="K95" s="5">
        <v>100</v>
      </c>
      <c r="L95" s="5">
        <v>100</v>
      </c>
      <c r="M95" s="5">
        <v>100</v>
      </c>
      <c r="N95" s="5">
        <v>100</v>
      </c>
      <c r="O95" s="2">
        <v>0.25618340539240991</v>
      </c>
      <c r="P95" s="2">
        <v>0.22572419790770132</v>
      </c>
      <c r="Q95" s="2">
        <v>4.0080213975388218E-3</v>
      </c>
      <c r="R95" s="2">
        <v>6.0180723255630212E-3</v>
      </c>
    </row>
    <row r="96" spans="1:18" x14ac:dyDescent="0.3">
      <c r="A96" s="7">
        <v>860</v>
      </c>
      <c r="B96" s="7">
        <v>433</v>
      </c>
      <c r="C96" s="7">
        <v>0</v>
      </c>
      <c r="D96" s="7">
        <v>0</v>
      </c>
      <c r="E96" s="20" t="str">
        <f t="shared" si="1"/>
        <v>00</v>
      </c>
      <c r="F96" s="21">
        <v>7.64993522648999E-2</v>
      </c>
      <c r="G96" s="4">
        <v>0.20499999999999999</v>
      </c>
      <c r="H96" s="4">
        <v>0.21298174442190701</v>
      </c>
      <c r="I96" s="4">
        <v>1E-3</v>
      </c>
      <c r="J96" s="4">
        <v>5.0000000000000001E-3</v>
      </c>
      <c r="K96" s="5">
        <v>100</v>
      </c>
      <c r="L96" s="5">
        <v>100</v>
      </c>
      <c r="M96" s="5">
        <v>100</v>
      </c>
      <c r="N96" s="5">
        <v>100</v>
      </c>
      <c r="O96" s="2">
        <v>0.22941316432780509</v>
      </c>
      <c r="P96" s="2">
        <v>0.23950383441941703</v>
      </c>
      <c r="Q96" s="2">
        <v>1.0005003335835344E-3</v>
      </c>
      <c r="R96" s="2">
        <v>5.0125418235442863E-3</v>
      </c>
    </row>
    <row r="97" spans="1:18" x14ac:dyDescent="0.3">
      <c r="A97" s="7">
        <v>962</v>
      </c>
      <c r="B97" s="7">
        <v>444</v>
      </c>
      <c r="C97" s="7">
        <v>0</v>
      </c>
      <c r="D97" s="7">
        <v>0</v>
      </c>
      <c r="E97" s="20" t="str">
        <f t="shared" si="1"/>
        <v>00</v>
      </c>
      <c r="F97" s="21">
        <v>7.6955556216069601E-2</v>
      </c>
      <c r="G97" s="4">
        <v>0.44600000000000001</v>
      </c>
      <c r="H97" s="4">
        <v>0.20172910662824201</v>
      </c>
      <c r="I97" s="4">
        <v>2E-3</v>
      </c>
      <c r="J97" s="4">
        <v>2E-3</v>
      </c>
      <c r="K97" s="5">
        <v>100</v>
      </c>
      <c r="L97" s="5">
        <v>100</v>
      </c>
      <c r="M97" s="5">
        <v>100</v>
      </c>
      <c r="N97" s="5">
        <v>100</v>
      </c>
      <c r="O97" s="2">
        <v>0.59059059223485311</v>
      </c>
      <c r="P97" s="2">
        <v>0.22530727375952067</v>
      </c>
      <c r="Q97" s="2">
        <v>2.0020026706730793E-3</v>
      </c>
      <c r="R97" s="2">
        <v>2.0020026706730793E-3</v>
      </c>
    </row>
    <row r="98" spans="1:18" x14ac:dyDescent="0.3">
      <c r="A98" s="7">
        <v>226</v>
      </c>
      <c r="B98" s="7">
        <v>436</v>
      </c>
      <c r="C98" s="7">
        <v>0</v>
      </c>
      <c r="D98" s="7">
        <v>0</v>
      </c>
      <c r="E98" s="20" t="str">
        <f t="shared" si="1"/>
        <v>00</v>
      </c>
      <c r="F98" s="21">
        <v>7.6974221763528097E-2</v>
      </c>
      <c r="G98" s="4">
        <v>0.155</v>
      </c>
      <c r="H98" s="4">
        <v>0.145454545454545</v>
      </c>
      <c r="I98" s="4">
        <v>1E-3</v>
      </c>
      <c r="J98" s="4">
        <v>2E-3</v>
      </c>
      <c r="K98" s="5">
        <v>100</v>
      </c>
      <c r="L98" s="5">
        <v>100</v>
      </c>
      <c r="M98" s="5">
        <v>100</v>
      </c>
      <c r="N98" s="5">
        <v>100</v>
      </c>
      <c r="O98" s="2">
        <v>0.16841865162496325</v>
      </c>
      <c r="P98" s="2">
        <v>0.15718558352241188</v>
      </c>
      <c r="Q98" s="2">
        <v>1.0005003335835344E-3</v>
      </c>
      <c r="R98" s="2">
        <v>2.0020026706730793E-3</v>
      </c>
    </row>
    <row r="99" spans="1:18" x14ac:dyDescent="0.3">
      <c r="A99" s="7">
        <v>790</v>
      </c>
      <c r="B99" s="7">
        <v>442</v>
      </c>
      <c r="C99" s="7">
        <v>0</v>
      </c>
      <c r="D99" s="7">
        <v>0</v>
      </c>
      <c r="E99" s="20" t="str">
        <f t="shared" si="1"/>
        <v>00</v>
      </c>
      <c r="F99" s="21">
        <v>7.7010593030960806E-2</v>
      </c>
      <c r="G99" s="4">
        <v>0.16</v>
      </c>
      <c r="H99" s="4">
        <v>0.135627530364372</v>
      </c>
      <c r="I99" s="4">
        <v>2E-3</v>
      </c>
      <c r="J99" s="4">
        <v>1E-3</v>
      </c>
      <c r="K99" s="5">
        <v>100</v>
      </c>
      <c r="L99" s="5">
        <v>100</v>
      </c>
      <c r="M99" s="5">
        <v>100</v>
      </c>
      <c r="N99" s="5">
        <v>100</v>
      </c>
      <c r="O99" s="2">
        <v>0.1743533871447778</v>
      </c>
      <c r="P99" s="2">
        <v>0.14575150395929745</v>
      </c>
      <c r="Q99" s="2">
        <v>2.0020026706730793E-3</v>
      </c>
      <c r="R99" s="2">
        <v>1.0005003335835344E-3</v>
      </c>
    </row>
    <row r="100" spans="1:18" x14ac:dyDescent="0.3">
      <c r="A100" s="7">
        <v>838</v>
      </c>
      <c r="B100" s="7">
        <v>427</v>
      </c>
      <c r="C100" s="7">
        <v>0</v>
      </c>
      <c r="D100" s="7">
        <v>0</v>
      </c>
      <c r="E100" s="20" t="str">
        <f t="shared" si="1"/>
        <v>00</v>
      </c>
      <c r="F100" s="21">
        <v>7.8120737581902897E-2</v>
      </c>
      <c r="G100" s="4">
        <v>0.42799999999999999</v>
      </c>
      <c r="H100" s="4">
        <v>0.36842105263157898</v>
      </c>
      <c r="I100" s="4">
        <v>4.0000000000000001E-3</v>
      </c>
      <c r="J100" s="4">
        <v>4.0000000000000001E-3</v>
      </c>
      <c r="K100" s="5">
        <v>100</v>
      </c>
      <c r="L100" s="5">
        <v>100</v>
      </c>
      <c r="M100" s="5">
        <v>100</v>
      </c>
      <c r="N100" s="5">
        <v>100</v>
      </c>
      <c r="O100" s="2">
        <v>0.55861628760233906</v>
      </c>
      <c r="P100" s="2">
        <v>0.45953232937844019</v>
      </c>
      <c r="Q100" s="2">
        <v>4.0080213975388218E-3</v>
      </c>
      <c r="R100" s="2">
        <v>4.0080213975388218E-3</v>
      </c>
    </row>
    <row r="101" spans="1:18" x14ac:dyDescent="0.3">
      <c r="A101" s="7">
        <v>312</v>
      </c>
      <c r="B101" s="7">
        <v>431</v>
      </c>
      <c r="C101" s="7">
        <v>0</v>
      </c>
      <c r="D101" s="7">
        <v>0</v>
      </c>
      <c r="E101" s="20" t="str">
        <f t="shared" si="1"/>
        <v>00</v>
      </c>
      <c r="F101" s="21">
        <v>7.8461091320646104E-2</v>
      </c>
      <c r="G101" s="4">
        <v>7.8E-2</v>
      </c>
      <c r="H101" s="4">
        <v>8.2329317269076302E-2</v>
      </c>
      <c r="I101" s="4">
        <v>7.0000000000000001E-3</v>
      </c>
      <c r="J101" s="4">
        <v>4.0000000000000001E-3</v>
      </c>
      <c r="K101" s="5">
        <v>100</v>
      </c>
      <c r="L101" s="5">
        <v>100</v>
      </c>
      <c r="M101" s="5">
        <v>100</v>
      </c>
      <c r="N101" s="5">
        <v>100</v>
      </c>
      <c r="O101" s="2">
        <v>8.1210055425543173E-2</v>
      </c>
      <c r="P101" s="2">
        <v>8.5916686130448255E-2</v>
      </c>
      <c r="Q101" s="2">
        <v>7.0246149369644663E-3</v>
      </c>
      <c r="R101" s="2">
        <v>4.0080213975388218E-3</v>
      </c>
    </row>
    <row r="102" spans="1:18" x14ac:dyDescent="0.3">
      <c r="A102" s="7">
        <v>152</v>
      </c>
      <c r="B102" s="7">
        <v>451</v>
      </c>
      <c r="C102" s="7">
        <v>0</v>
      </c>
      <c r="D102" s="7">
        <v>0</v>
      </c>
      <c r="E102" s="20" t="str">
        <f t="shared" si="1"/>
        <v>00</v>
      </c>
      <c r="F102" s="21">
        <v>7.9366770242525198E-2</v>
      </c>
      <c r="G102" s="4">
        <v>0.17899999999999999</v>
      </c>
      <c r="H102" s="4">
        <v>0.133611691022964</v>
      </c>
      <c r="I102" s="4">
        <v>0</v>
      </c>
      <c r="J102" s="4">
        <v>1E-3</v>
      </c>
      <c r="K102" s="5">
        <v>100</v>
      </c>
      <c r="L102" s="5">
        <v>100</v>
      </c>
      <c r="M102" s="5">
        <v>100</v>
      </c>
      <c r="N102" s="5">
        <v>100</v>
      </c>
      <c r="O102" s="2">
        <v>0.1972321695297089</v>
      </c>
      <c r="P102" s="2">
        <v>0.14342207718021635</v>
      </c>
      <c r="Q102" s="2">
        <v>1.0000050000287824E-5</v>
      </c>
      <c r="R102" s="2">
        <v>1.0005003335835344E-3</v>
      </c>
    </row>
    <row r="103" spans="1:18" x14ac:dyDescent="0.3">
      <c r="A103" s="7">
        <v>145</v>
      </c>
      <c r="B103" s="7">
        <v>435</v>
      </c>
      <c r="C103" s="7">
        <v>0</v>
      </c>
      <c r="D103" s="7">
        <v>0</v>
      </c>
      <c r="E103" s="20" t="str">
        <f t="shared" si="1"/>
        <v>00</v>
      </c>
      <c r="F103" s="21">
        <v>7.9705308961747101E-2</v>
      </c>
      <c r="G103" s="4">
        <v>0.154</v>
      </c>
      <c r="H103" s="4">
        <v>0.122448979591837</v>
      </c>
      <c r="I103" s="4">
        <v>2E-3</v>
      </c>
      <c r="J103" s="4">
        <v>4.0000000000000001E-3</v>
      </c>
      <c r="K103" s="5">
        <v>100</v>
      </c>
      <c r="L103" s="5">
        <v>100</v>
      </c>
      <c r="M103" s="5">
        <v>100</v>
      </c>
      <c r="N103" s="5">
        <v>100</v>
      </c>
      <c r="O103" s="2">
        <v>0.16723591937591381</v>
      </c>
      <c r="P103" s="2">
        <v>0.13062018241706447</v>
      </c>
      <c r="Q103" s="2">
        <v>2.0020026706730793E-3</v>
      </c>
      <c r="R103" s="2">
        <v>4.0080213975388218E-3</v>
      </c>
    </row>
    <row r="104" spans="1:18" x14ac:dyDescent="0.3">
      <c r="A104" s="7">
        <v>855</v>
      </c>
      <c r="B104" s="7">
        <v>425</v>
      </c>
      <c r="C104" s="7">
        <v>0</v>
      </c>
      <c r="D104" s="7">
        <v>0</v>
      </c>
      <c r="E104" s="20" t="str">
        <f t="shared" si="1"/>
        <v>00</v>
      </c>
      <c r="F104" s="21">
        <v>8.0515254282427395E-2</v>
      </c>
      <c r="G104" s="4">
        <v>0.26500000000000001</v>
      </c>
      <c r="H104" s="4">
        <v>0.219148936170213</v>
      </c>
      <c r="I104" s="4">
        <v>3.0000000000000001E-3</v>
      </c>
      <c r="J104" s="4">
        <v>3.0000000000000001E-3</v>
      </c>
      <c r="K104" s="5">
        <v>100</v>
      </c>
      <c r="L104" s="5">
        <v>100</v>
      </c>
      <c r="M104" s="5">
        <v>100</v>
      </c>
      <c r="N104" s="5">
        <v>100</v>
      </c>
      <c r="O104" s="2">
        <v>0.3078847797693004</v>
      </c>
      <c r="P104" s="2">
        <v>0.24737084664953432</v>
      </c>
      <c r="Q104" s="2">
        <v>3.0045090202987243E-3</v>
      </c>
      <c r="R104" s="2">
        <v>3.0045090202987243E-3</v>
      </c>
    </row>
    <row r="105" spans="1:18" x14ac:dyDescent="0.3">
      <c r="A105" s="7">
        <v>164</v>
      </c>
      <c r="B105" s="7">
        <v>427</v>
      </c>
      <c r="C105" s="7">
        <v>0</v>
      </c>
      <c r="D105" s="7">
        <v>0</v>
      </c>
      <c r="E105" s="20" t="str">
        <f t="shared" si="1"/>
        <v>00</v>
      </c>
      <c r="F105" s="21">
        <v>8.0788338259794507E-2</v>
      </c>
      <c r="G105" s="4">
        <v>0.182</v>
      </c>
      <c r="H105" s="4">
        <v>0.113289760348584</v>
      </c>
      <c r="I105" s="4">
        <v>3.0000000000000001E-3</v>
      </c>
      <c r="J105" s="4">
        <v>1E-3</v>
      </c>
      <c r="K105" s="5">
        <v>100</v>
      </c>
      <c r="L105" s="5">
        <v>100</v>
      </c>
      <c r="M105" s="5">
        <v>100</v>
      </c>
      <c r="N105" s="5">
        <v>100</v>
      </c>
      <c r="O105" s="2">
        <v>0.20089294237938993</v>
      </c>
      <c r="P105" s="2">
        <v>0.12023702461795026</v>
      </c>
      <c r="Q105" s="2">
        <v>3.0045090202987243E-3</v>
      </c>
      <c r="R105" s="2">
        <v>1.0005003335835344E-3</v>
      </c>
    </row>
    <row r="106" spans="1:18" x14ac:dyDescent="0.3">
      <c r="A106" s="7">
        <v>242</v>
      </c>
      <c r="B106" s="7">
        <v>438</v>
      </c>
      <c r="C106" s="7">
        <v>0</v>
      </c>
      <c r="D106" s="7">
        <v>0</v>
      </c>
      <c r="E106" s="20" t="str">
        <f t="shared" si="1"/>
        <v>00</v>
      </c>
      <c r="F106" s="21">
        <v>8.2152864757996394E-2</v>
      </c>
      <c r="G106" s="4">
        <v>0.28699999999999998</v>
      </c>
      <c r="H106" s="4">
        <v>0.27572016460905402</v>
      </c>
      <c r="I106" s="4">
        <v>2E-3</v>
      </c>
      <c r="J106" s="4">
        <v>6.0000000000000001E-3</v>
      </c>
      <c r="K106" s="5">
        <v>100</v>
      </c>
      <c r="L106" s="5">
        <v>100</v>
      </c>
      <c r="M106" s="5">
        <v>100</v>
      </c>
      <c r="N106" s="5">
        <v>100</v>
      </c>
      <c r="O106" s="2">
        <v>0.33827385856784098</v>
      </c>
      <c r="P106" s="2">
        <v>0.32257744830239737</v>
      </c>
      <c r="Q106" s="2">
        <v>2.0020026706730793E-3</v>
      </c>
      <c r="R106" s="2">
        <v>6.0180723255630212E-3</v>
      </c>
    </row>
    <row r="107" spans="1:18" x14ac:dyDescent="0.3">
      <c r="A107" s="7">
        <v>202</v>
      </c>
      <c r="B107" s="7">
        <v>440</v>
      </c>
      <c r="C107" s="7">
        <v>0</v>
      </c>
      <c r="D107" s="7">
        <v>0</v>
      </c>
      <c r="E107" s="20" t="str">
        <f t="shared" si="1"/>
        <v>00</v>
      </c>
      <c r="F107" s="21">
        <v>8.5435859194493799E-2</v>
      </c>
      <c r="G107" s="4">
        <v>0.20300000000000001</v>
      </c>
      <c r="H107" s="4">
        <v>0.165271966527197</v>
      </c>
      <c r="I107" s="4">
        <v>6.0000000000000001E-3</v>
      </c>
      <c r="J107" s="4">
        <v>4.0000000000000001E-3</v>
      </c>
      <c r="K107" s="5">
        <v>100</v>
      </c>
      <c r="L107" s="5">
        <v>100</v>
      </c>
      <c r="M107" s="5">
        <v>100</v>
      </c>
      <c r="N107" s="5">
        <v>100</v>
      </c>
      <c r="O107" s="2">
        <v>0.2269006001919221</v>
      </c>
      <c r="P107" s="2">
        <v>0.18064931560159295</v>
      </c>
      <c r="Q107" s="2">
        <v>6.0180723255630212E-3</v>
      </c>
      <c r="R107" s="2">
        <v>4.0080213975388218E-3</v>
      </c>
    </row>
    <row r="108" spans="1:18" x14ac:dyDescent="0.3">
      <c r="A108" s="7">
        <v>362</v>
      </c>
      <c r="B108" s="7">
        <v>446</v>
      </c>
      <c r="C108" s="7">
        <v>0</v>
      </c>
      <c r="D108" s="7">
        <v>0</v>
      </c>
      <c r="E108" s="20" t="str">
        <f t="shared" si="1"/>
        <v>00</v>
      </c>
      <c r="F108" s="21">
        <v>8.6001196769118896E-2</v>
      </c>
      <c r="G108" s="4">
        <v>0.17599999999999999</v>
      </c>
      <c r="H108" s="4">
        <v>0.154618473895582</v>
      </c>
      <c r="I108" s="4">
        <v>3.0000000000000001E-3</v>
      </c>
      <c r="J108" s="4">
        <v>7.0000000000000001E-3</v>
      </c>
      <c r="K108" s="5">
        <v>100</v>
      </c>
      <c r="L108" s="5">
        <v>100</v>
      </c>
      <c r="M108" s="5">
        <v>100</v>
      </c>
      <c r="N108" s="5">
        <v>100</v>
      </c>
      <c r="O108" s="2">
        <v>0.19358474907266526</v>
      </c>
      <c r="P108" s="2">
        <v>0.16796724334227114</v>
      </c>
      <c r="Q108" s="2">
        <v>3.0045090202987243E-3</v>
      </c>
      <c r="R108" s="2">
        <v>7.0246149369644663E-3</v>
      </c>
    </row>
    <row r="109" spans="1:18" x14ac:dyDescent="0.3">
      <c r="A109" s="7">
        <v>387</v>
      </c>
      <c r="B109" s="7">
        <v>402</v>
      </c>
      <c r="C109" s="7">
        <v>0</v>
      </c>
      <c r="D109" s="7">
        <v>0</v>
      </c>
      <c r="E109" s="20" t="str">
        <f t="shared" si="1"/>
        <v>00</v>
      </c>
      <c r="F109" s="21">
        <v>8.7069209669641198E-2</v>
      </c>
      <c r="G109" s="4">
        <v>0.35299999999999998</v>
      </c>
      <c r="H109" s="4">
        <v>0.32857142857142901</v>
      </c>
      <c r="I109" s="4">
        <v>4.0000000000000001E-3</v>
      </c>
      <c r="J109" s="4">
        <v>2E-3</v>
      </c>
      <c r="K109" s="5">
        <v>100</v>
      </c>
      <c r="L109" s="5">
        <v>100</v>
      </c>
      <c r="M109" s="5">
        <v>100</v>
      </c>
      <c r="N109" s="5">
        <v>100</v>
      </c>
      <c r="O109" s="2">
        <v>0.43540898448123644</v>
      </c>
      <c r="P109" s="2">
        <v>0.39834764033930098</v>
      </c>
      <c r="Q109" s="2">
        <v>4.0080213975388218E-3</v>
      </c>
      <c r="R109" s="2">
        <v>2.0020026706730793E-3</v>
      </c>
    </row>
    <row r="110" spans="1:18" x14ac:dyDescent="0.3">
      <c r="A110" s="7">
        <v>372</v>
      </c>
      <c r="B110" s="7">
        <v>445</v>
      </c>
      <c r="C110" s="7">
        <v>0</v>
      </c>
      <c r="D110" s="7">
        <v>0</v>
      </c>
      <c r="E110" s="20" t="str">
        <f t="shared" si="1"/>
        <v>00</v>
      </c>
      <c r="F110" s="21">
        <v>8.7353529590834894E-2</v>
      </c>
      <c r="G110" s="4">
        <v>0.152</v>
      </c>
      <c r="H110" s="4">
        <v>0.12936344969199201</v>
      </c>
      <c r="I110" s="4">
        <v>5.0000000000000001E-3</v>
      </c>
      <c r="J110" s="4">
        <v>4.0000000000000001E-3</v>
      </c>
      <c r="K110" s="5">
        <v>100</v>
      </c>
      <c r="L110" s="5">
        <v>100</v>
      </c>
      <c r="M110" s="5">
        <v>100</v>
      </c>
      <c r="N110" s="5">
        <v>100</v>
      </c>
      <c r="O110" s="2">
        <v>0.16487464319023401</v>
      </c>
      <c r="P110" s="2">
        <v>0.13853066785063226</v>
      </c>
      <c r="Q110" s="2">
        <v>5.0125418235442863E-3</v>
      </c>
      <c r="R110" s="2">
        <v>4.0080213975388218E-3</v>
      </c>
    </row>
    <row r="111" spans="1:18" x14ac:dyDescent="0.3">
      <c r="A111" s="7">
        <v>693</v>
      </c>
      <c r="B111" s="7">
        <v>438</v>
      </c>
      <c r="C111" s="7">
        <v>0</v>
      </c>
      <c r="D111" s="7">
        <v>0</v>
      </c>
      <c r="E111" s="20" t="str">
        <f t="shared" si="1"/>
        <v>00</v>
      </c>
      <c r="F111" s="21">
        <v>8.7389524299591598E-2</v>
      </c>
      <c r="G111" s="4">
        <v>0.153</v>
      </c>
      <c r="H111" s="4">
        <v>0.14052953156822801</v>
      </c>
      <c r="I111" s="4">
        <v>1E-3</v>
      </c>
      <c r="J111" s="4">
        <v>2E-3</v>
      </c>
      <c r="K111" s="5">
        <v>100</v>
      </c>
      <c r="L111" s="5">
        <v>100</v>
      </c>
      <c r="M111" s="5">
        <v>100</v>
      </c>
      <c r="N111" s="5">
        <v>100</v>
      </c>
      <c r="O111" s="2">
        <v>0.16605458433008269</v>
      </c>
      <c r="P111" s="2">
        <v>0.15143881375850865</v>
      </c>
      <c r="Q111" s="2">
        <v>1.0005003335835344E-3</v>
      </c>
      <c r="R111" s="2">
        <v>2.0020026706730793E-3</v>
      </c>
    </row>
    <row r="112" spans="1:18" x14ac:dyDescent="0.3">
      <c r="A112" s="7">
        <v>326</v>
      </c>
      <c r="B112" s="7">
        <v>431</v>
      </c>
      <c r="C112" s="7">
        <v>0</v>
      </c>
      <c r="D112" s="7">
        <v>0</v>
      </c>
      <c r="E112" s="20" t="str">
        <f t="shared" si="1"/>
        <v>00</v>
      </c>
      <c r="F112" s="21">
        <v>8.8226676145473998E-2</v>
      </c>
      <c r="G112" s="4">
        <v>0.124</v>
      </c>
      <c r="H112" s="4">
        <v>0.12625250501002</v>
      </c>
      <c r="I112" s="4">
        <v>2E-3</v>
      </c>
      <c r="J112" s="4">
        <v>3.0000000000000001E-3</v>
      </c>
      <c r="K112" s="5">
        <v>100</v>
      </c>
      <c r="L112" s="5">
        <v>100</v>
      </c>
      <c r="M112" s="5">
        <v>100</v>
      </c>
      <c r="N112" s="5">
        <v>100</v>
      </c>
      <c r="O112" s="2">
        <v>0.13238918804574562</v>
      </c>
      <c r="P112" s="2">
        <v>0.13496385240248437</v>
      </c>
      <c r="Q112" s="2">
        <v>2.0020026706730793E-3</v>
      </c>
      <c r="R112" s="2">
        <v>3.0045090202987243E-3</v>
      </c>
    </row>
    <row r="113" spans="1:18" x14ac:dyDescent="0.3">
      <c r="A113" s="7">
        <v>555</v>
      </c>
      <c r="B113" s="7">
        <v>428</v>
      </c>
      <c r="C113" s="7">
        <v>0</v>
      </c>
      <c r="D113" s="7">
        <v>0</v>
      </c>
      <c r="E113" s="20" t="str">
        <f t="shared" si="1"/>
        <v>00</v>
      </c>
      <c r="F113" s="21">
        <v>8.8631950226275694E-2</v>
      </c>
      <c r="G113" s="4">
        <v>0.223</v>
      </c>
      <c r="H113" s="4">
        <v>0.21747967479674801</v>
      </c>
      <c r="I113" s="4">
        <v>2E-3</v>
      </c>
      <c r="J113" s="4">
        <v>1E-3</v>
      </c>
      <c r="K113" s="5">
        <v>100</v>
      </c>
      <c r="L113" s="5">
        <v>100</v>
      </c>
      <c r="M113" s="5">
        <v>100</v>
      </c>
      <c r="N113" s="5">
        <v>100</v>
      </c>
      <c r="O113" s="2">
        <v>0.25231492861448956</v>
      </c>
      <c r="P113" s="2">
        <v>0.24523538220452396</v>
      </c>
      <c r="Q113" s="2">
        <v>2.0020026706730793E-3</v>
      </c>
      <c r="R113" s="2">
        <v>1.0005003335835344E-3</v>
      </c>
    </row>
    <row r="114" spans="1:18" x14ac:dyDescent="0.3">
      <c r="A114" s="7">
        <v>599</v>
      </c>
      <c r="B114" s="7">
        <v>433</v>
      </c>
      <c r="C114" s="7">
        <v>0</v>
      </c>
      <c r="D114" s="7">
        <v>0</v>
      </c>
      <c r="E114" s="20" t="str">
        <f t="shared" si="1"/>
        <v>00</v>
      </c>
      <c r="F114" s="21">
        <v>8.9309623911118102E-2</v>
      </c>
      <c r="G114" s="4">
        <v>0.154</v>
      </c>
      <c r="H114" s="4">
        <v>0.13757700205338799</v>
      </c>
      <c r="I114" s="4">
        <v>4.0000000000000001E-3</v>
      </c>
      <c r="J114" s="4">
        <v>6.0000000000000001E-3</v>
      </c>
      <c r="K114" s="5">
        <v>100</v>
      </c>
      <c r="L114" s="5">
        <v>100</v>
      </c>
      <c r="M114" s="5">
        <v>100</v>
      </c>
      <c r="N114" s="5">
        <v>100</v>
      </c>
      <c r="O114" s="2">
        <v>0.16723591937591381</v>
      </c>
      <c r="P114" s="2">
        <v>0.14800941180517566</v>
      </c>
      <c r="Q114" s="2">
        <v>4.0080213975388218E-3</v>
      </c>
      <c r="R114" s="2">
        <v>6.0180723255630212E-3</v>
      </c>
    </row>
    <row r="115" spans="1:18" x14ac:dyDescent="0.3">
      <c r="A115" s="7">
        <v>581</v>
      </c>
      <c r="B115" s="7">
        <v>446</v>
      </c>
      <c r="C115" s="7">
        <v>0</v>
      </c>
      <c r="D115" s="7">
        <v>0</v>
      </c>
      <c r="E115" s="20" t="str">
        <f t="shared" si="1"/>
        <v>00</v>
      </c>
      <c r="F115" s="21">
        <v>8.9833818080268898E-2</v>
      </c>
      <c r="G115" s="4">
        <v>0.192</v>
      </c>
      <c r="H115" s="4">
        <v>0.1875</v>
      </c>
      <c r="I115" s="4">
        <v>4.0000000000000001E-3</v>
      </c>
      <c r="J115" s="4">
        <v>6.0000000000000001E-3</v>
      </c>
      <c r="K115" s="5">
        <v>100</v>
      </c>
      <c r="L115" s="5">
        <v>100</v>
      </c>
      <c r="M115" s="5">
        <v>100</v>
      </c>
      <c r="N115" s="5">
        <v>100</v>
      </c>
      <c r="O115" s="2">
        <v>0.21319322046104161</v>
      </c>
      <c r="P115" s="2">
        <v>0.20763936477824449</v>
      </c>
      <c r="Q115" s="2">
        <v>4.0080213975388218E-3</v>
      </c>
      <c r="R115" s="2">
        <v>6.0180723255630212E-3</v>
      </c>
    </row>
    <row r="116" spans="1:18" x14ac:dyDescent="0.3">
      <c r="A116" s="7">
        <v>173</v>
      </c>
      <c r="B116" s="7">
        <v>435</v>
      </c>
      <c r="C116" s="7">
        <v>0</v>
      </c>
      <c r="D116" s="7">
        <v>0</v>
      </c>
      <c r="E116" s="20" t="str">
        <f t="shared" si="1"/>
        <v>00</v>
      </c>
      <c r="F116" s="21">
        <v>8.9857552994506096E-2</v>
      </c>
      <c r="G116" s="4">
        <v>0.224</v>
      </c>
      <c r="H116" s="4">
        <v>0.21052631578947401</v>
      </c>
      <c r="I116" s="4">
        <v>2E-3</v>
      </c>
      <c r="J116" s="4">
        <v>4.0000000000000001E-3</v>
      </c>
      <c r="K116" s="5">
        <v>100</v>
      </c>
      <c r="L116" s="5">
        <v>100</v>
      </c>
      <c r="M116" s="5">
        <v>100</v>
      </c>
      <c r="N116" s="5">
        <v>100</v>
      </c>
      <c r="O116" s="2">
        <v>0.25360275879891825</v>
      </c>
      <c r="P116" s="2">
        <v>0.23638877806423081</v>
      </c>
      <c r="Q116" s="2">
        <v>2.0020026706730793E-3</v>
      </c>
      <c r="R116" s="2">
        <v>4.0080213975388218E-3</v>
      </c>
    </row>
    <row r="117" spans="1:18" x14ac:dyDescent="0.3">
      <c r="A117" s="7">
        <v>591</v>
      </c>
      <c r="B117" s="7">
        <v>399</v>
      </c>
      <c r="C117" s="7">
        <v>0</v>
      </c>
      <c r="D117" s="7">
        <v>0</v>
      </c>
      <c r="E117" s="20" t="str">
        <f t="shared" si="1"/>
        <v>00</v>
      </c>
      <c r="F117" s="21">
        <v>9.1068392965856101E-2</v>
      </c>
      <c r="G117" s="4">
        <v>0.44700000000000001</v>
      </c>
      <c r="H117" s="4">
        <v>0.33566433566433601</v>
      </c>
      <c r="I117" s="4">
        <v>8.0000000000000002E-3</v>
      </c>
      <c r="J117" s="4">
        <v>5.0000000000000001E-3</v>
      </c>
      <c r="K117" s="5">
        <v>100</v>
      </c>
      <c r="L117" s="5">
        <v>100</v>
      </c>
      <c r="M117" s="5">
        <v>100</v>
      </c>
      <c r="N117" s="5">
        <v>100</v>
      </c>
      <c r="O117" s="2">
        <v>0.59239727745980242</v>
      </c>
      <c r="P117" s="2">
        <v>0.40896773865936703</v>
      </c>
      <c r="Q117" s="2">
        <v>8.0321716972642666E-3</v>
      </c>
      <c r="R117" s="2">
        <v>5.0125418235442863E-3</v>
      </c>
    </row>
    <row r="118" spans="1:18" x14ac:dyDescent="0.3">
      <c r="A118" s="7">
        <v>835</v>
      </c>
      <c r="B118" s="7">
        <v>421</v>
      </c>
      <c r="C118" s="7">
        <v>0</v>
      </c>
      <c r="D118" s="7">
        <v>0</v>
      </c>
      <c r="E118" s="20" t="str">
        <f t="shared" si="1"/>
        <v>00</v>
      </c>
      <c r="F118" s="21">
        <v>9.1811775214960201E-2</v>
      </c>
      <c r="G118" s="4">
        <v>0.26700000000000002</v>
      </c>
      <c r="H118" s="4">
        <v>0.24493927125506099</v>
      </c>
      <c r="I118" s="4">
        <v>1E-3</v>
      </c>
      <c r="J118" s="4">
        <v>6.0000000000000001E-3</v>
      </c>
      <c r="K118" s="5">
        <v>100</v>
      </c>
      <c r="L118" s="5">
        <v>100</v>
      </c>
      <c r="M118" s="5">
        <v>100</v>
      </c>
      <c r="N118" s="5">
        <v>100</v>
      </c>
      <c r="O118" s="2">
        <v>0.31060957709548559</v>
      </c>
      <c r="P118" s="2">
        <v>0.2809570975441073</v>
      </c>
      <c r="Q118" s="2">
        <v>1.0005003335835344E-3</v>
      </c>
      <c r="R118" s="2">
        <v>6.0180723255630212E-3</v>
      </c>
    </row>
    <row r="119" spans="1:18" x14ac:dyDescent="0.3">
      <c r="A119" s="7">
        <v>759</v>
      </c>
      <c r="B119" s="7">
        <v>429</v>
      </c>
      <c r="C119" s="7">
        <v>0</v>
      </c>
      <c r="D119" s="7">
        <v>0</v>
      </c>
      <c r="E119" s="20" t="str">
        <f t="shared" si="1"/>
        <v>00</v>
      </c>
      <c r="F119" s="21">
        <v>9.1994085175689105E-2</v>
      </c>
      <c r="G119" s="4">
        <v>0.26600000000000001</v>
      </c>
      <c r="H119" s="4">
        <v>0.19181034482758599</v>
      </c>
      <c r="I119" s="4">
        <v>2E-3</v>
      </c>
      <c r="J119" s="4">
        <v>2E-3</v>
      </c>
      <c r="K119" s="5">
        <v>100</v>
      </c>
      <c r="L119" s="5">
        <v>100</v>
      </c>
      <c r="M119" s="5">
        <v>100</v>
      </c>
      <c r="N119" s="5">
        <v>100</v>
      </c>
      <c r="O119" s="2">
        <v>0.30924625036762149</v>
      </c>
      <c r="P119" s="2">
        <v>0.21295852625584416</v>
      </c>
      <c r="Q119" s="2">
        <v>2.0020026706730793E-3</v>
      </c>
      <c r="R119" s="2">
        <v>2.0020026706730793E-3</v>
      </c>
    </row>
    <row r="120" spans="1:18" x14ac:dyDescent="0.3">
      <c r="A120" s="7">
        <v>225</v>
      </c>
      <c r="B120" s="7">
        <v>434</v>
      </c>
      <c r="C120" s="7">
        <v>0</v>
      </c>
      <c r="D120" s="7">
        <v>0</v>
      </c>
      <c r="E120" s="20" t="str">
        <f t="shared" si="1"/>
        <v>00</v>
      </c>
      <c r="F120" s="21">
        <v>9.2882955656448593E-2</v>
      </c>
      <c r="G120" s="4">
        <v>8.2000000000000003E-2</v>
      </c>
      <c r="H120" s="4">
        <v>6.6398390342052305E-2</v>
      </c>
      <c r="I120" s="4">
        <v>2E-3</v>
      </c>
      <c r="J120" s="4">
        <v>2E-3</v>
      </c>
      <c r="K120" s="5">
        <v>100</v>
      </c>
      <c r="L120" s="5">
        <v>100</v>
      </c>
      <c r="M120" s="5">
        <v>100</v>
      </c>
      <c r="N120" s="5">
        <v>100</v>
      </c>
      <c r="O120" s="2">
        <v>8.5557888361646545E-2</v>
      </c>
      <c r="P120" s="2">
        <v>6.8705473870373457E-2</v>
      </c>
      <c r="Q120" s="2">
        <v>2.0020026706730793E-3</v>
      </c>
      <c r="R120" s="2">
        <v>2.0020026706730793E-3</v>
      </c>
    </row>
    <row r="121" spans="1:18" x14ac:dyDescent="0.3">
      <c r="A121" s="7">
        <v>219</v>
      </c>
      <c r="B121" s="7">
        <v>419</v>
      </c>
      <c r="C121" s="7">
        <v>0</v>
      </c>
      <c r="D121" s="7">
        <v>0</v>
      </c>
      <c r="E121" s="20" t="str">
        <f t="shared" si="1"/>
        <v>00</v>
      </c>
      <c r="F121" s="21">
        <v>9.5817069741728794E-2</v>
      </c>
      <c r="G121" s="4">
        <v>0.14199999999999999</v>
      </c>
      <c r="H121" s="4">
        <v>0.148296593186373</v>
      </c>
      <c r="I121" s="4">
        <v>2E-3</v>
      </c>
      <c r="J121" s="4">
        <v>4.0000000000000001E-3</v>
      </c>
      <c r="K121" s="5">
        <v>100</v>
      </c>
      <c r="L121" s="5">
        <v>100</v>
      </c>
      <c r="M121" s="5">
        <v>100</v>
      </c>
      <c r="N121" s="5">
        <v>100</v>
      </c>
      <c r="O121" s="2">
        <v>0.15315117949417478</v>
      </c>
      <c r="P121" s="2">
        <v>0.16051692682710214</v>
      </c>
      <c r="Q121" s="2">
        <v>2.0020026706730793E-3</v>
      </c>
      <c r="R121" s="2">
        <v>4.0080213975388218E-3</v>
      </c>
    </row>
    <row r="122" spans="1:18" x14ac:dyDescent="0.3">
      <c r="A122" s="7">
        <v>406</v>
      </c>
      <c r="B122" s="7">
        <v>417</v>
      </c>
      <c r="C122" s="7">
        <v>0</v>
      </c>
      <c r="D122" s="7">
        <v>0</v>
      </c>
      <c r="E122" s="20" t="str">
        <f t="shared" si="1"/>
        <v>00</v>
      </c>
      <c r="F122" s="21">
        <v>0.100071973860694</v>
      </c>
      <c r="G122" s="4">
        <v>0.14699999999999999</v>
      </c>
      <c r="H122" s="4">
        <v>0.156626506024096</v>
      </c>
      <c r="I122" s="4">
        <v>1E-3</v>
      </c>
      <c r="J122" s="4">
        <v>1E-3</v>
      </c>
      <c r="K122" s="5">
        <v>100</v>
      </c>
      <c r="L122" s="5">
        <v>100</v>
      </c>
      <c r="M122" s="5">
        <v>100</v>
      </c>
      <c r="N122" s="5">
        <v>100</v>
      </c>
      <c r="O122" s="2">
        <v>0.15899573149045795</v>
      </c>
      <c r="P122" s="2">
        <v>0.17034536574723849</v>
      </c>
      <c r="Q122" s="2">
        <v>1.0005003335835344E-3</v>
      </c>
      <c r="R122" s="2">
        <v>1.0005003335835344E-3</v>
      </c>
    </row>
    <row r="123" spans="1:18" x14ac:dyDescent="0.3">
      <c r="A123" s="7">
        <v>630</v>
      </c>
      <c r="B123" s="7">
        <v>421</v>
      </c>
      <c r="C123" s="7">
        <v>0</v>
      </c>
      <c r="D123" s="7">
        <v>0</v>
      </c>
      <c r="E123" s="20" t="str">
        <f t="shared" si="1"/>
        <v>00</v>
      </c>
      <c r="F123" s="21">
        <v>0.100386861579518</v>
      </c>
      <c r="G123" s="4">
        <v>0.159</v>
      </c>
      <c r="H123" s="4">
        <v>0.108333333333333</v>
      </c>
      <c r="I123" s="4">
        <v>3.0000000000000001E-3</v>
      </c>
      <c r="J123" s="4">
        <v>4.0000000000000001E-3</v>
      </c>
      <c r="K123" s="5">
        <v>100</v>
      </c>
      <c r="L123" s="5">
        <v>100</v>
      </c>
      <c r="M123" s="5">
        <v>100</v>
      </c>
      <c r="N123" s="5">
        <v>100</v>
      </c>
      <c r="O123" s="2">
        <v>0.17316361900918903</v>
      </c>
      <c r="P123" s="2">
        <v>0.1146629083201394</v>
      </c>
      <c r="Q123" s="2">
        <v>3.0045090202987243E-3</v>
      </c>
      <c r="R123" s="2">
        <v>4.0080213975388218E-3</v>
      </c>
    </row>
    <row r="124" spans="1:18" x14ac:dyDescent="0.3">
      <c r="A124" s="7">
        <v>122</v>
      </c>
      <c r="B124" s="7">
        <v>404</v>
      </c>
      <c r="C124" s="7">
        <v>0</v>
      </c>
      <c r="D124" s="7">
        <v>0</v>
      </c>
      <c r="E124" s="20" t="str">
        <f t="shared" si="1"/>
        <v>00</v>
      </c>
      <c r="F124" s="21">
        <v>0.10073223643475</v>
      </c>
      <c r="G124" s="4">
        <v>0.252</v>
      </c>
      <c r="H124" s="4">
        <v>0.23799582463465599</v>
      </c>
      <c r="I124" s="4">
        <v>5.0000000000000001E-3</v>
      </c>
      <c r="J124" s="4">
        <v>2E-3</v>
      </c>
      <c r="K124" s="5">
        <v>100</v>
      </c>
      <c r="L124" s="5">
        <v>100</v>
      </c>
      <c r="M124" s="5">
        <v>100</v>
      </c>
      <c r="N124" s="5">
        <v>100</v>
      </c>
      <c r="O124" s="2">
        <v>0.2903523010076598</v>
      </c>
      <c r="P124" s="2">
        <v>0.2718032438284243</v>
      </c>
      <c r="Q124" s="2">
        <v>5.0125418235442863E-3</v>
      </c>
      <c r="R124" s="2">
        <v>2.0020026706730793E-3</v>
      </c>
    </row>
    <row r="125" spans="1:18" x14ac:dyDescent="0.3">
      <c r="A125" s="7">
        <v>749</v>
      </c>
      <c r="B125" s="7">
        <v>442</v>
      </c>
      <c r="C125" s="7">
        <v>0</v>
      </c>
      <c r="D125" s="7">
        <v>0</v>
      </c>
      <c r="E125" s="20" t="str">
        <f t="shared" si="1"/>
        <v>00</v>
      </c>
      <c r="F125" s="21">
        <v>0.101076244804259</v>
      </c>
      <c r="G125" s="4">
        <v>0.45600000000000002</v>
      </c>
      <c r="H125" s="4">
        <v>0.38073394495412799</v>
      </c>
      <c r="I125" s="4">
        <v>4.0000000000000001E-3</v>
      </c>
      <c r="J125" s="4">
        <v>3.0000000000000001E-3</v>
      </c>
      <c r="K125" s="5">
        <v>100</v>
      </c>
      <c r="L125" s="5">
        <v>100</v>
      </c>
      <c r="M125" s="5">
        <v>100</v>
      </c>
      <c r="N125" s="5">
        <v>100</v>
      </c>
      <c r="O125" s="2">
        <v>0.60880603212619433</v>
      </c>
      <c r="P125" s="2">
        <v>0.47922028435065894</v>
      </c>
      <c r="Q125" s="2">
        <v>4.0080213975388218E-3</v>
      </c>
      <c r="R125" s="2">
        <v>3.0045090202987243E-3</v>
      </c>
    </row>
    <row r="126" spans="1:18" x14ac:dyDescent="0.3">
      <c r="A126" s="7">
        <v>542</v>
      </c>
      <c r="B126" s="7">
        <v>431</v>
      </c>
      <c r="C126" s="7">
        <v>0</v>
      </c>
      <c r="D126" s="7">
        <v>0</v>
      </c>
      <c r="E126" s="20" t="str">
        <f t="shared" si="1"/>
        <v>00</v>
      </c>
      <c r="F126" s="21">
        <v>0.101651735645179</v>
      </c>
      <c r="G126" s="4">
        <v>0.16200000000000001</v>
      </c>
      <c r="H126" s="4">
        <v>0.17670682730923701</v>
      </c>
      <c r="I126" s="4">
        <v>2E-3</v>
      </c>
      <c r="J126" s="4">
        <v>2E-3</v>
      </c>
      <c r="K126" s="5">
        <v>100</v>
      </c>
      <c r="L126" s="5">
        <v>100</v>
      </c>
      <c r="M126" s="5">
        <v>100</v>
      </c>
      <c r="N126" s="5">
        <v>100</v>
      </c>
      <c r="O126" s="2">
        <v>0.17673717850005405</v>
      </c>
      <c r="P126" s="2">
        <v>0.19444291732629954</v>
      </c>
      <c r="Q126" s="2">
        <v>2.0020026706730793E-3</v>
      </c>
      <c r="R126" s="2">
        <v>2.0020026706730793E-3</v>
      </c>
    </row>
    <row r="127" spans="1:18" x14ac:dyDescent="0.3">
      <c r="A127" s="7">
        <v>953</v>
      </c>
      <c r="B127" s="7">
        <v>428</v>
      </c>
      <c r="C127" s="7">
        <v>0</v>
      </c>
      <c r="D127" s="7">
        <v>0</v>
      </c>
      <c r="E127" s="20" t="str">
        <f t="shared" si="1"/>
        <v>00</v>
      </c>
      <c r="F127" s="21">
        <v>0.10234071441540001</v>
      </c>
      <c r="G127" s="4">
        <v>5.5E-2</v>
      </c>
      <c r="H127" s="4">
        <v>6.0120240480961901E-2</v>
      </c>
      <c r="I127" s="4">
        <v>2E-3</v>
      </c>
      <c r="J127" s="4">
        <v>1E-3</v>
      </c>
      <c r="K127" s="5">
        <v>100</v>
      </c>
      <c r="L127" s="5">
        <v>100</v>
      </c>
      <c r="M127" s="5">
        <v>100</v>
      </c>
      <c r="N127" s="5">
        <v>100</v>
      </c>
      <c r="O127" s="2">
        <v>5.6570351488394351E-2</v>
      </c>
      <c r="P127" s="2">
        <v>6.2003327305239248E-2</v>
      </c>
      <c r="Q127" s="2">
        <v>2.0020026706730793E-3</v>
      </c>
      <c r="R127" s="2">
        <v>1.0005003335835344E-3</v>
      </c>
    </row>
    <row r="128" spans="1:18" x14ac:dyDescent="0.3">
      <c r="A128" s="7">
        <v>35</v>
      </c>
      <c r="B128" s="7">
        <v>406</v>
      </c>
      <c r="C128" s="7">
        <v>0</v>
      </c>
      <c r="D128" s="7">
        <v>0</v>
      </c>
      <c r="E128" s="20" t="str">
        <f t="shared" si="1"/>
        <v>00</v>
      </c>
      <c r="F128" s="21">
        <v>0.102411347794837</v>
      </c>
      <c r="G128" s="4">
        <v>0.12</v>
      </c>
      <c r="H128" s="4">
        <v>0.10838445807770999</v>
      </c>
      <c r="I128" s="4">
        <v>1E-3</v>
      </c>
      <c r="J128" s="4">
        <v>2E-3</v>
      </c>
      <c r="K128" s="5">
        <v>100</v>
      </c>
      <c r="L128" s="5">
        <v>100</v>
      </c>
      <c r="M128" s="5">
        <v>100</v>
      </c>
      <c r="N128" s="5">
        <v>100</v>
      </c>
      <c r="O128" s="2">
        <v>0.12783337150988489</v>
      </c>
      <c r="P128" s="2">
        <v>0.11472024612583817</v>
      </c>
      <c r="Q128" s="2">
        <v>1.0005003335835344E-3</v>
      </c>
      <c r="R128" s="2">
        <v>2.0020026706730793E-3</v>
      </c>
    </row>
    <row r="129" spans="1:18" x14ac:dyDescent="0.3">
      <c r="A129" s="7">
        <v>444</v>
      </c>
      <c r="B129" s="7">
        <v>414</v>
      </c>
      <c r="C129" s="7">
        <v>0</v>
      </c>
      <c r="D129" s="7">
        <v>0</v>
      </c>
      <c r="E129" s="20" t="str">
        <f t="shared" si="1"/>
        <v>00</v>
      </c>
      <c r="F129" s="21">
        <v>0.102549219042234</v>
      </c>
      <c r="G129" s="4">
        <v>0.19600000000000001</v>
      </c>
      <c r="H129" s="4">
        <v>0.18218623481781401</v>
      </c>
      <c r="I129" s="4">
        <v>3.0000000000000001E-3</v>
      </c>
      <c r="J129" s="4">
        <v>3.0000000000000001E-3</v>
      </c>
      <c r="K129" s="5">
        <v>100</v>
      </c>
      <c r="L129" s="5">
        <v>100</v>
      </c>
      <c r="M129" s="5">
        <v>100</v>
      </c>
      <c r="N129" s="5">
        <v>100</v>
      </c>
      <c r="O129" s="2">
        <v>0.21815600980317063</v>
      </c>
      <c r="P129" s="2">
        <v>0.20112063922677278</v>
      </c>
      <c r="Q129" s="2">
        <v>3.0045090202987243E-3</v>
      </c>
      <c r="R129" s="2">
        <v>3.0045090202987243E-3</v>
      </c>
    </row>
    <row r="130" spans="1:18" x14ac:dyDescent="0.3">
      <c r="A130" s="7">
        <v>74</v>
      </c>
      <c r="B130" s="7">
        <v>424</v>
      </c>
      <c r="C130" s="7">
        <v>0</v>
      </c>
      <c r="D130" s="7">
        <v>0</v>
      </c>
      <c r="E130" s="20" t="str">
        <f t="shared" ref="E130:E193" si="2">_xlfn.CONCAT(C130,D130)</f>
        <v>00</v>
      </c>
      <c r="F130" s="21">
        <v>0.10378969403115</v>
      </c>
      <c r="G130" s="4">
        <v>0.32400000000000001</v>
      </c>
      <c r="H130" s="4">
        <v>0.305732484076433</v>
      </c>
      <c r="I130" s="4">
        <v>6.0000000000000001E-3</v>
      </c>
      <c r="J130" s="4">
        <v>7.0000000000000001E-3</v>
      </c>
      <c r="K130" s="5">
        <v>100</v>
      </c>
      <c r="L130" s="5">
        <v>100</v>
      </c>
      <c r="M130" s="5">
        <v>100</v>
      </c>
      <c r="N130" s="5">
        <v>100</v>
      </c>
      <c r="O130" s="2">
        <v>0.39156220293917304</v>
      </c>
      <c r="P130" s="2">
        <v>0.36489792311916425</v>
      </c>
      <c r="Q130" s="2">
        <v>6.0180723255630212E-3</v>
      </c>
      <c r="R130" s="2">
        <v>7.0246149369644663E-3</v>
      </c>
    </row>
    <row r="131" spans="1:18" x14ac:dyDescent="0.3">
      <c r="A131" s="7">
        <v>63</v>
      </c>
      <c r="B131" s="7">
        <v>419</v>
      </c>
      <c r="C131" s="7">
        <v>0</v>
      </c>
      <c r="D131" s="7">
        <v>0</v>
      </c>
      <c r="E131" s="20" t="str">
        <f t="shared" si="2"/>
        <v>00</v>
      </c>
      <c r="F131" s="21">
        <v>0.104399736552343</v>
      </c>
      <c r="G131" s="4">
        <v>0.26600000000000001</v>
      </c>
      <c r="H131" s="4">
        <v>0.251533742331288</v>
      </c>
      <c r="I131" s="4">
        <v>3.0000000000000001E-3</v>
      </c>
      <c r="J131" s="4">
        <v>2E-3</v>
      </c>
      <c r="K131" s="5">
        <v>100</v>
      </c>
      <c r="L131" s="5">
        <v>100</v>
      </c>
      <c r="M131" s="5">
        <v>100</v>
      </c>
      <c r="N131" s="5">
        <v>100</v>
      </c>
      <c r="O131" s="2">
        <v>0.30924625036762149</v>
      </c>
      <c r="P131" s="2">
        <v>0.2897291560735053</v>
      </c>
      <c r="Q131" s="2">
        <v>3.0045090202987243E-3</v>
      </c>
      <c r="R131" s="2">
        <v>2.0020026706730793E-3</v>
      </c>
    </row>
    <row r="132" spans="1:18" x14ac:dyDescent="0.3">
      <c r="A132" s="7">
        <v>371</v>
      </c>
      <c r="B132" s="7">
        <v>410</v>
      </c>
      <c r="C132" s="7">
        <v>0</v>
      </c>
      <c r="D132" s="7">
        <v>0</v>
      </c>
      <c r="E132" s="20" t="str">
        <f t="shared" si="2"/>
        <v>00</v>
      </c>
      <c r="F132" s="21">
        <v>0.105145721546164</v>
      </c>
      <c r="G132" s="4">
        <v>0.20100000000000001</v>
      </c>
      <c r="H132" s="4">
        <v>0.20934959349593499</v>
      </c>
      <c r="I132" s="4">
        <v>3.0000000000000001E-3</v>
      </c>
      <c r="J132" s="4">
        <v>8.0000000000000002E-3</v>
      </c>
      <c r="K132" s="5">
        <v>100</v>
      </c>
      <c r="L132" s="5">
        <v>100</v>
      </c>
      <c r="M132" s="5">
        <v>100</v>
      </c>
      <c r="N132" s="5">
        <v>100</v>
      </c>
      <c r="O132" s="2">
        <v>0.22439433321586247</v>
      </c>
      <c r="P132" s="2">
        <v>0.23489937287386181</v>
      </c>
      <c r="Q132" s="2">
        <v>3.0045090202987243E-3</v>
      </c>
      <c r="R132" s="2">
        <v>8.0321716972642666E-3</v>
      </c>
    </row>
    <row r="133" spans="1:18" x14ac:dyDescent="0.3">
      <c r="A133" s="7">
        <v>396</v>
      </c>
      <c r="B133" s="7">
        <v>423</v>
      </c>
      <c r="C133" s="7">
        <v>0</v>
      </c>
      <c r="D133" s="7">
        <v>0</v>
      </c>
      <c r="E133" s="20" t="str">
        <f t="shared" si="2"/>
        <v>00</v>
      </c>
      <c r="F133" s="21">
        <v>0.105469975267966</v>
      </c>
      <c r="G133" s="4">
        <v>0.20200000000000001</v>
      </c>
      <c r="H133" s="4">
        <v>0.19238476953907799</v>
      </c>
      <c r="I133" s="4">
        <v>4.0000000000000001E-3</v>
      </c>
      <c r="J133" s="4">
        <v>2E-3</v>
      </c>
      <c r="K133" s="5">
        <v>100</v>
      </c>
      <c r="L133" s="5">
        <v>100</v>
      </c>
      <c r="M133" s="5">
        <v>100</v>
      </c>
      <c r="N133" s="5">
        <v>100</v>
      </c>
      <c r="O133" s="2">
        <v>0.22564668153232822</v>
      </c>
      <c r="P133" s="2">
        <v>0.2136695338048355</v>
      </c>
      <c r="Q133" s="2">
        <v>4.0080213975388218E-3</v>
      </c>
      <c r="R133" s="2">
        <v>2.0020026706730793E-3</v>
      </c>
    </row>
    <row r="134" spans="1:18" x14ac:dyDescent="0.3">
      <c r="A134" s="7">
        <v>884</v>
      </c>
      <c r="B134" s="7">
        <v>415</v>
      </c>
      <c r="C134" s="7">
        <v>0</v>
      </c>
      <c r="D134" s="7">
        <v>0</v>
      </c>
      <c r="E134" s="20" t="str">
        <f t="shared" si="2"/>
        <v>00</v>
      </c>
      <c r="F134" s="21">
        <v>0.107054555821748</v>
      </c>
      <c r="G134" s="4">
        <v>0.14899999999999999</v>
      </c>
      <c r="H134" s="4">
        <v>0.14430894308943101</v>
      </c>
      <c r="I134" s="4">
        <v>7.0000000000000001E-3</v>
      </c>
      <c r="J134" s="4">
        <v>5.0000000000000001E-3</v>
      </c>
      <c r="K134" s="5">
        <v>100</v>
      </c>
      <c r="L134" s="5">
        <v>100</v>
      </c>
      <c r="M134" s="5">
        <v>100</v>
      </c>
      <c r="N134" s="5">
        <v>100</v>
      </c>
      <c r="O134" s="2">
        <v>0.16134315040876293</v>
      </c>
      <c r="P134" s="2">
        <v>0.15584588280992681</v>
      </c>
      <c r="Q134" s="2">
        <v>7.0246149369644663E-3</v>
      </c>
      <c r="R134" s="2">
        <v>5.0125418235442863E-3</v>
      </c>
    </row>
    <row r="135" spans="1:18" x14ac:dyDescent="0.3">
      <c r="A135" s="7">
        <v>508</v>
      </c>
      <c r="B135" s="7">
        <v>406</v>
      </c>
      <c r="C135" s="7">
        <v>0</v>
      </c>
      <c r="D135" s="7">
        <v>0</v>
      </c>
      <c r="E135" s="20" t="str">
        <f t="shared" si="2"/>
        <v>00</v>
      </c>
      <c r="F135" s="21">
        <v>0.10779543907004201</v>
      </c>
      <c r="G135" s="4">
        <v>0.219</v>
      </c>
      <c r="H135" s="4">
        <v>0.20321931589537201</v>
      </c>
      <c r="I135" s="4">
        <v>4.0000000000000001E-3</v>
      </c>
      <c r="J135" s="4">
        <v>4.0000000000000001E-3</v>
      </c>
      <c r="K135" s="5">
        <v>100</v>
      </c>
      <c r="L135" s="5">
        <v>100</v>
      </c>
      <c r="M135" s="5">
        <v>100</v>
      </c>
      <c r="N135" s="5">
        <v>100</v>
      </c>
      <c r="O135" s="2">
        <v>0.24718012914245105</v>
      </c>
      <c r="P135" s="2">
        <v>0.22717581484214791</v>
      </c>
      <c r="Q135" s="2">
        <v>4.0080213975388218E-3</v>
      </c>
      <c r="R135" s="2">
        <v>4.0080213975388218E-3</v>
      </c>
    </row>
    <row r="136" spans="1:18" x14ac:dyDescent="0.3">
      <c r="A136" s="7">
        <v>421</v>
      </c>
      <c r="B136" s="7">
        <v>416</v>
      </c>
      <c r="C136" s="7">
        <v>0</v>
      </c>
      <c r="D136" s="7">
        <v>0</v>
      </c>
      <c r="E136" s="20" t="str">
        <f t="shared" si="2"/>
        <v>00</v>
      </c>
      <c r="F136" s="21">
        <v>0.108784094129102</v>
      </c>
      <c r="G136" s="4">
        <v>0.12</v>
      </c>
      <c r="H136" s="4">
        <v>0.113131313131313</v>
      </c>
      <c r="I136" s="4">
        <v>4.0000000000000001E-3</v>
      </c>
      <c r="J136" s="4">
        <v>3.0000000000000001E-3</v>
      </c>
      <c r="K136" s="5">
        <v>100</v>
      </c>
      <c r="L136" s="5">
        <v>100</v>
      </c>
      <c r="M136" s="5">
        <v>100</v>
      </c>
      <c r="N136" s="5">
        <v>100</v>
      </c>
      <c r="O136" s="2">
        <v>0.12783337150988489</v>
      </c>
      <c r="P136" s="2">
        <v>0.12005834949351878</v>
      </c>
      <c r="Q136" s="2">
        <v>4.0080213975388218E-3</v>
      </c>
      <c r="R136" s="2">
        <v>3.0045090202987243E-3</v>
      </c>
    </row>
    <row r="137" spans="1:18" x14ac:dyDescent="0.3">
      <c r="A137" s="7">
        <v>33</v>
      </c>
      <c r="B137" s="7">
        <v>418</v>
      </c>
      <c r="C137" s="7">
        <v>0</v>
      </c>
      <c r="D137" s="7">
        <v>0</v>
      </c>
      <c r="E137" s="20" t="str">
        <f t="shared" si="2"/>
        <v>00</v>
      </c>
      <c r="F137" s="21">
        <v>0.10970105830272101</v>
      </c>
      <c r="G137" s="4">
        <v>0.19900000000000001</v>
      </c>
      <c r="H137" s="4">
        <v>0.17319587628866001</v>
      </c>
      <c r="I137" s="4">
        <v>2E-3</v>
      </c>
      <c r="J137" s="4">
        <v>2E-3</v>
      </c>
      <c r="K137" s="5">
        <v>100</v>
      </c>
      <c r="L137" s="5">
        <v>100</v>
      </c>
      <c r="M137" s="5">
        <v>100</v>
      </c>
      <c r="N137" s="5">
        <v>100</v>
      </c>
      <c r="O137" s="2">
        <v>0.22189433191377791</v>
      </c>
      <c r="P137" s="2">
        <v>0.19018746363091435</v>
      </c>
      <c r="Q137" s="2">
        <v>2.0020026706730793E-3</v>
      </c>
      <c r="R137" s="2">
        <v>2.0020026706730793E-3</v>
      </c>
    </row>
    <row r="138" spans="1:18" x14ac:dyDescent="0.3">
      <c r="A138" s="7">
        <v>307</v>
      </c>
      <c r="B138" s="7">
        <v>411</v>
      </c>
      <c r="C138" s="7">
        <v>0</v>
      </c>
      <c r="D138" s="7">
        <v>0</v>
      </c>
      <c r="E138" s="20" t="str">
        <f t="shared" si="2"/>
        <v>00</v>
      </c>
      <c r="F138" s="21">
        <v>0.109893522384649</v>
      </c>
      <c r="G138" s="4">
        <v>0.1</v>
      </c>
      <c r="H138" s="4">
        <v>8.8888888888888906E-2</v>
      </c>
      <c r="I138" s="4">
        <v>4.0000000000000001E-3</v>
      </c>
      <c r="J138" s="4">
        <v>4.0000000000000001E-3</v>
      </c>
      <c r="K138" s="5">
        <v>100</v>
      </c>
      <c r="L138" s="5">
        <v>100</v>
      </c>
      <c r="M138" s="5">
        <v>100</v>
      </c>
      <c r="N138" s="5">
        <v>100</v>
      </c>
      <c r="O138" s="2">
        <v>0.10536051565782628</v>
      </c>
      <c r="P138" s="2">
        <v>9.3090423066011979E-2</v>
      </c>
      <c r="Q138" s="2">
        <v>4.0080213975388218E-3</v>
      </c>
      <c r="R138" s="2">
        <v>4.0080213975388218E-3</v>
      </c>
    </row>
    <row r="139" spans="1:18" x14ac:dyDescent="0.3">
      <c r="A139" s="7">
        <v>477</v>
      </c>
      <c r="B139" s="7">
        <v>418</v>
      </c>
      <c r="C139" s="7">
        <v>0</v>
      </c>
      <c r="D139" s="7">
        <v>0</v>
      </c>
      <c r="E139" s="20" t="str">
        <f t="shared" si="2"/>
        <v>00</v>
      </c>
      <c r="F139" s="21">
        <v>0.110672162057614</v>
      </c>
      <c r="G139" s="4">
        <v>0.13300000000000001</v>
      </c>
      <c r="H139" s="4">
        <v>0.11156186612576099</v>
      </c>
      <c r="I139" s="4">
        <v>3.0000000000000001E-3</v>
      </c>
      <c r="J139" s="4">
        <v>5.0000000000000001E-3</v>
      </c>
      <c r="K139" s="5">
        <v>100</v>
      </c>
      <c r="L139" s="5">
        <v>100</v>
      </c>
      <c r="M139" s="5">
        <v>100</v>
      </c>
      <c r="N139" s="5">
        <v>100</v>
      </c>
      <c r="O139" s="2">
        <v>0.1427163022015952</v>
      </c>
      <c r="P139" s="2">
        <v>0.1182902636662444</v>
      </c>
      <c r="Q139" s="2">
        <v>3.0045090202987243E-3</v>
      </c>
      <c r="R139" s="2">
        <v>5.0125418235442863E-3</v>
      </c>
    </row>
    <row r="140" spans="1:18" x14ac:dyDescent="0.3">
      <c r="A140" s="7">
        <v>963</v>
      </c>
      <c r="B140" s="7">
        <v>412</v>
      </c>
      <c r="C140" s="7">
        <v>0</v>
      </c>
      <c r="D140" s="7">
        <v>0</v>
      </c>
      <c r="E140" s="20" t="str">
        <f t="shared" si="2"/>
        <v>00</v>
      </c>
      <c r="F140" s="21">
        <v>0.11408748446968001</v>
      </c>
      <c r="G140" s="4">
        <v>0.14699999999999999</v>
      </c>
      <c r="H140" s="4">
        <v>0.14314516129032301</v>
      </c>
      <c r="I140" s="4">
        <v>5.0000000000000001E-3</v>
      </c>
      <c r="J140" s="4">
        <v>3.0000000000000001E-3</v>
      </c>
      <c r="K140" s="5">
        <v>100</v>
      </c>
      <c r="L140" s="5">
        <v>100</v>
      </c>
      <c r="M140" s="5">
        <v>100</v>
      </c>
      <c r="N140" s="5">
        <v>100</v>
      </c>
      <c r="O140" s="2">
        <v>0.15899573149045795</v>
      </c>
      <c r="P140" s="2">
        <v>0.15448675780051108</v>
      </c>
      <c r="Q140" s="2">
        <v>5.0125418235442863E-3</v>
      </c>
      <c r="R140" s="2">
        <v>3.0045090202987243E-3</v>
      </c>
    </row>
    <row r="141" spans="1:18" x14ac:dyDescent="0.3">
      <c r="A141" s="7">
        <v>466</v>
      </c>
      <c r="B141" s="7">
        <v>389</v>
      </c>
      <c r="C141" s="7">
        <v>0</v>
      </c>
      <c r="D141" s="7">
        <v>0</v>
      </c>
      <c r="E141" s="20" t="str">
        <f t="shared" si="2"/>
        <v>00</v>
      </c>
      <c r="F141" s="21">
        <v>0.114445873679503</v>
      </c>
      <c r="G141" s="4">
        <v>7.3999999999999996E-2</v>
      </c>
      <c r="H141" s="4">
        <v>4.2713567839195998E-2</v>
      </c>
      <c r="I141" s="4">
        <v>1E-3</v>
      </c>
      <c r="J141" s="4">
        <v>1E-3</v>
      </c>
      <c r="K141" s="5">
        <v>100</v>
      </c>
      <c r="L141" s="5">
        <v>100</v>
      </c>
      <c r="M141" s="5">
        <v>100</v>
      </c>
      <c r="N141" s="5">
        <v>100</v>
      </c>
      <c r="O141" s="2">
        <v>7.6881044335957618E-2</v>
      </c>
      <c r="P141" s="2">
        <v>4.3652630157736759E-2</v>
      </c>
      <c r="Q141" s="2">
        <v>1.0005003335835344E-3</v>
      </c>
      <c r="R141" s="2">
        <v>1.0005003335835344E-3</v>
      </c>
    </row>
    <row r="142" spans="1:18" x14ac:dyDescent="0.3">
      <c r="A142" s="7">
        <v>588</v>
      </c>
      <c r="B142" s="7">
        <v>402</v>
      </c>
      <c r="C142" s="7">
        <v>0</v>
      </c>
      <c r="D142" s="7">
        <v>0</v>
      </c>
      <c r="E142" s="20" t="str">
        <f t="shared" si="2"/>
        <v>00</v>
      </c>
      <c r="F142" s="21">
        <v>0.115625917917785</v>
      </c>
      <c r="G142" s="4">
        <v>0.22700000000000001</v>
      </c>
      <c r="H142" s="4">
        <v>0.23373983739837401</v>
      </c>
      <c r="I142" s="4">
        <v>7.0000000000000001E-3</v>
      </c>
      <c r="J142" s="4">
        <v>2E-3</v>
      </c>
      <c r="K142" s="5">
        <v>100</v>
      </c>
      <c r="L142" s="5">
        <v>100</v>
      </c>
      <c r="M142" s="5">
        <v>100</v>
      </c>
      <c r="N142" s="5">
        <v>100</v>
      </c>
      <c r="O142" s="2">
        <v>0.25747623039471507</v>
      </c>
      <c r="P142" s="2">
        <v>0.26623352904429737</v>
      </c>
      <c r="Q142" s="2">
        <v>7.0246149369644663E-3</v>
      </c>
      <c r="R142" s="2">
        <v>2.0020026706730793E-3</v>
      </c>
    </row>
    <row r="143" spans="1:18" x14ac:dyDescent="0.3">
      <c r="A143" s="7">
        <v>893</v>
      </c>
      <c r="B143" s="7">
        <v>413</v>
      </c>
      <c r="C143" s="7">
        <v>0</v>
      </c>
      <c r="D143" s="7">
        <v>0</v>
      </c>
      <c r="E143" s="20" t="str">
        <f t="shared" si="2"/>
        <v>00</v>
      </c>
      <c r="F143" s="21">
        <v>0.11593132478205299</v>
      </c>
      <c r="G143" s="4">
        <v>0.14099999999999999</v>
      </c>
      <c r="H143" s="4">
        <v>0.120162932790224</v>
      </c>
      <c r="I143" s="4">
        <v>1E-3</v>
      </c>
      <c r="J143" s="4">
        <v>2E-3</v>
      </c>
      <c r="K143" s="5">
        <v>100</v>
      </c>
      <c r="L143" s="5">
        <v>100</v>
      </c>
      <c r="M143" s="5">
        <v>100</v>
      </c>
      <c r="N143" s="5">
        <v>100</v>
      </c>
      <c r="O143" s="2">
        <v>0.15198635699788171</v>
      </c>
      <c r="P143" s="2">
        <v>0.12801853955041029</v>
      </c>
      <c r="Q143" s="2">
        <v>1.0005003335835344E-3</v>
      </c>
      <c r="R143" s="2">
        <v>2.0020026706730793E-3</v>
      </c>
    </row>
    <row r="144" spans="1:18" x14ac:dyDescent="0.3">
      <c r="A144" s="7">
        <v>197</v>
      </c>
      <c r="B144" s="7">
        <v>414</v>
      </c>
      <c r="C144" s="7">
        <v>0</v>
      </c>
      <c r="D144" s="7">
        <v>0</v>
      </c>
      <c r="E144" s="20" t="str">
        <f t="shared" si="2"/>
        <v>00</v>
      </c>
      <c r="F144" s="21">
        <v>0.117120021747762</v>
      </c>
      <c r="G144" s="4">
        <v>0.124</v>
      </c>
      <c r="H144" s="4">
        <v>0.11088295687885</v>
      </c>
      <c r="I144" s="4">
        <v>0</v>
      </c>
      <c r="J144" s="4">
        <v>2E-3</v>
      </c>
      <c r="K144" s="5">
        <v>100</v>
      </c>
      <c r="L144" s="5">
        <v>100</v>
      </c>
      <c r="M144" s="5">
        <v>100</v>
      </c>
      <c r="N144" s="5">
        <v>100</v>
      </c>
      <c r="O144" s="2">
        <v>0.13238918804574562</v>
      </c>
      <c r="P144" s="2">
        <v>0.11752639508009979</v>
      </c>
      <c r="Q144" s="2">
        <v>1.0000050000287824E-5</v>
      </c>
      <c r="R144" s="2">
        <v>2.0020026706730793E-3</v>
      </c>
    </row>
    <row r="145" spans="1:18" x14ac:dyDescent="0.3">
      <c r="A145" s="7">
        <v>571</v>
      </c>
      <c r="B145" s="7">
        <v>421</v>
      </c>
      <c r="C145" s="7">
        <v>0</v>
      </c>
      <c r="D145" s="7">
        <v>0</v>
      </c>
      <c r="E145" s="20" t="str">
        <f t="shared" si="2"/>
        <v>00</v>
      </c>
      <c r="F145" s="21">
        <v>0.11771147361671699</v>
      </c>
      <c r="G145" s="4">
        <v>0.14599999999999999</v>
      </c>
      <c r="H145" s="4">
        <v>0.162324649298597</v>
      </c>
      <c r="I145" s="4">
        <v>5.0000000000000001E-3</v>
      </c>
      <c r="J145" s="4">
        <v>5.0000000000000001E-3</v>
      </c>
      <c r="K145" s="5">
        <v>100</v>
      </c>
      <c r="L145" s="5">
        <v>100</v>
      </c>
      <c r="M145" s="5">
        <v>100</v>
      </c>
      <c r="N145" s="5">
        <v>100</v>
      </c>
      <c r="O145" s="2">
        <v>0.15782408519356722</v>
      </c>
      <c r="P145" s="2">
        <v>0.17712466322676215</v>
      </c>
      <c r="Q145" s="2">
        <v>5.0125418235442863E-3</v>
      </c>
      <c r="R145" s="2">
        <v>5.0125418235442863E-3</v>
      </c>
    </row>
    <row r="146" spans="1:18" x14ac:dyDescent="0.3">
      <c r="A146" s="7">
        <v>676</v>
      </c>
      <c r="B146" s="7">
        <v>409</v>
      </c>
      <c r="C146" s="7">
        <v>0</v>
      </c>
      <c r="D146" s="7">
        <v>0</v>
      </c>
      <c r="E146" s="20" t="str">
        <f t="shared" si="2"/>
        <v>00</v>
      </c>
      <c r="F146" s="21">
        <v>0.118562286592195</v>
      </c>
      <c r="G146" s="4">
        <v>0.14899999999999999</v>
      </c>
      <c r="H146" s="4">
        <v>0.130522088353414</v>
      </c>
      <c r="I146" s="4">
        <v>7.0000000000000001E-3</v>
      </c>
      <c r="J146" s="4">
        <v>5.0000000000000001E-3</v>
      </c>
      <c r="K146" s="5">
        <v>100</v>
      </c>
      <c r="L146" s="5">
        <v>100</v>
      </c>
      <c r="M146" s="5">
        <v>100</v>
      </c>
      <c r="N146" s="5">
        <v>100</v>
      </c>
      <c r="O146" s="2">
        <v>0.16134315040876293</v>
      </c>
      <c r="P146" s="2">
        <v>0.13986234902216341</v>
      </c>
      <c r="Q146" s="2">
        <v>7.0246149369644663E-3</v>
      </c>
      <c r="R146" s="2">
        <v>5.0125418235442863E-3</v>
      </c>
    </row>
    <row r="147" spans="1:18" x14ac:dyDescent="0.3">
      <c r="A147" s="7">
        <v>256</v>
      </c>
      <c r="B147" s="7">
        <v>403</v>
      </c>
      <c r="C147" s="7">
        <v>0</v>
      </c>
      <c r="D147" s="7">
        <v>0</v>
      </c>
      <c r="E147" s="20" t="str">
        <f t="shared" si="2"/>
        <v>00</v>
      </c>
      <c r="F147" s="21">
        <v>0.119927854890388</v>
      </c>
      <c r="G147" s="4">
        <v>0.34300000000000003</v>
      </c>
      <c r="H147" s="4">
        <v>0.31198347107438001</v>
      </c>
      <c r="I147" s="4">
        <v>3.0000000000000001E-3</v>
      </c>
      <c r="J147" s="4">
        <v>3.0000000000000001E-3</v>
      </c>
      <c r="K147" s="5">
        <v>100</v>
      </c>
      <c r="L147" s="5">
        <v>100</v>
      </c>
      <c r="M147" s="5">
        <v>100</v>
      </c>
      <c r="N147" s="5">
        <v>100</v>
      </c>
      <c r="O147" s="2">
        <v>0.42007126049752652</v>
      </c>
      <c r="P147" s="2">
        <v>0.37394241673618772</v>
      </c>
      <c r="Q147" s="2">
        <v>3.0045090202987243E-3</v>
      </c>
      <c r="R147" s="2">
        <v>3.0045090202987243E-3</v>
      </c>
    </row>
    <row r="148" spans="1:18" x14ac:dyDescent="0.3">
      <c r="A148" s="7">
        <v>169</v>
      </c>
      <c r="B148" s="7">
        <v>410</v>
      </c>
      <c r="C148" s="7">
        <v>0</v>
      </c>
      <c r="D148" s="7">
        <v>0</v>
      </c>
      <c r="E148" s="20" t="str">
        <f t="shared" si="2"/>
        <v>00</v>
      </c>
      <c r="F148" s="21">
        <v>0.121332765344737</v>
      </c>
      <c r="G148" s="4">
        <v>0.38800000000000001</v>
      </c>
      <c r="H148" s="4">
        <v>0.35537190082644599</v>
      </c>
      <c r="I148" s="4">
        <v>6.0000000000000001E-3</v>
      </c>
      <c r="J148" s="4">
        <v>8.9999999999999993E-3</v>
      </c>
      <c r="K148" s="5">
        <v>100</v>
      </c>
      <c r="L148" s="5">
        <v>100</v>
      </c>
      <c r="M148" s="5">
        <v>100</v>
      </c>
      <c r="N148" s="5">
        <v>100</v>
      </c>
      <c r="O148" s="2">
        <v>0.49102299646981101</v>
      </c>
      <c r="P148" s="2">
        <v>0.43908171890714887</v>
      </c>
      <c r="Q148" s="2">
        <v>6.0180723255630212E-3</v>
      </c>
      <c r="R148" s="2">
        <v>9.0407446521490707E-3</v>
      </c>
    </row>
    <row r="149" spans="1:18" x14ac:dyDescent="0.3">
      <c r="A149" s="7">
        <v>911</v>
      </c>
      <c r="B149" s="7">
        <v>399</v>
      </c>
      <c r="C149" s="7">
        <v>0</v>
      </c>
      <c r="D149" s="7">
        <v>0</v>
      </c>
      <c r="E149" s="20" t="str">
        <f t="shared" si="2"/>
        <v>00</v>
      </c>
      <c r="F149" s="21">
        <v>0.1245240433559</v>
      </c>
      <c r="G149" s="4">
        <v>0.32800000000000001</v>
      </c>
      <c r="H149" s="4">
        <v>0.31300813008130102</v>
      </c>
      <c r="I149" s="4">
        <v>5.0000000000000001E-3</v>
      </c>
      <c r="J149" s="4">
        <v>4.0000000000000001E-3</v>
      </c>
      <c r="K149" s="5">
        <v>100</v>
      </c>
      <c r="L149" s="5">
        <v>100</v>
      </c>
      <c r="M149" s="5">
        <v>100</v>
      </c>
      <c r="N149" s="5">
        <v>100</v>
      </c>
      <c r="O149" s="2">
        <v>0.39749693845898759</v>
      </c>
      <c r="P149" s="2">
        <v>0.37543282100928965</v>
      </c>
      <c r="Q149" s="2">
        <v>5.0125418235442863E-3</v>
      </c>
      <c r="R149" s="2">
        <v>4.0080213975388218E-3</v>
      </c>
    </row>
    <row r="150" spans="1:18" x14ac:dyDescent="0.3">
      <c r="A150" s="7">
        <v>977</v>
      </c>
      <c r="B150" s="7">
        <v>404</v>
      </c>
      <c r="C150" s="7">
        <v>0</v>
      </c>
      <c r="D150" s="7">
        <v>0</v>
      </c>
      <c r="E150" s="20" t="str">
        <f t="shared" si="2"/>
        <v>00</v>
      </c>
      <c r="F150" s="21">
        <v>0.12500719738280799</v>
      </c>
      <c r="G150" s="4">
        <v>5.7000000000000002E-2</v>
      </c>
      <c r="H150" s="4">
        <v>5.2738336713995901E-2</v>
      </c>
      <c r="I150" s="4">
        <v>4.0000000000000001E-3</v>
      </c>
      <c r="J150" s="4">
        <v>3.0000000000000001E-3</v>
      </c>
      <c r="K150" s="5">
        <v>100</v>
      </c>
      <c r="L150" s="5">
        <v>100</v>
      </c>
      <c r="M150" s="5">
        <v>100</v>
      </c>
      <c r="N150" s="5">
        <v>100</v>
      </c>
      <c r="O150" s="2">
        <v>5.8688996348679613E-2</v>
      </c>
      <c r="P150" s="2">
        <v>5.4179916373792707E-2</v>
      </c>
      <c r="Q150" s="2">
        <v>4.0080213975388218E-3</v>
      </c>
      <c r="R150" s="2">
        <v>3.0045090202987243E-3</v>
      </c>
    </row>
    <row r="151" spans="1:18" x14ac:dyDescent="0.3">
      <c r="A151" s="7">
        <v>946</v>
      </c>
      <c r="B151" s="7">
        <v>385</v>
      </c>
      <c r="C151" s="7">
        <v>0</v>
      </c>
      <c r="D151" s="7">
        <v>0</v>
      </c>
      <c r="E151" s="20" t="str">
        <f t="shared" si="2"/>
        <v>00</v>
      </c>
      <c r="F151" s="21">
        <v>0.12691461379508501</v>
      </c>
      <c r="G151" s="4">
        <v>0.13700000000000001</v>
      </c>
      <c r="H151" s="4">
        <v>0.133874239350913</v>
      </c>
      <c r="I151" s="4">
        <v>5.0000000000000001E-3</v>
      </c>
      <c r="J151" s="4">
        <v>1E-3</v>
      </c>
      <c r="K151" s="5">
        <v>100</v>
      </c>
      <c r="L151" s="5">
        <v>100</v>
      </c>
      <c r="M151" s="5">
        <v>100</v>
      </c>
      <c r="N151" s="5">
        <v>100</v>
      </c>
      <c r="O151" s="2">
        <v>0.14734058789870913</v>
      </c>
      <c r="P151" s="2">
        <v>0.14372516081406583</v>
      </c>
      <c r="Q151" s="2">
        <v>5.0125418235442863E-3</v>
      </c>
      <c r="R151" s="2">
        <v>1.0005003335835344E-3</v>
      </c>
    </row>
    <row r="152" spans="1:18" x14ac:dyDescent="0.3">
      <c r="A152" s="7">
        <v>828</v>
      </c>
      <c r="B152" s="7">
        <v>410</v>
      </c>
      <c r="C152" s="7">
        <v>0</v>
      </c>
      <c r="D152" s="7">
        <v>0</v>
      </c>
      <c r="E152" s="20" t="str">
        <f t="shared" si="2"/>
        <v>00</v>
      </c>
      <c r="F152" s="21">
        <v>0.12730247648187901</v>
      </c>
      <c r="G152" s="4">
        <v>0.18099999999999999</v>
      </c>
      <c r="H152" s="4">
        <v>0.18236472945891799</v>
      </c>
      <c r="I152" s="4">
        <v>5.0000000000000001E-3</v>
      </c>
      <c r="J152" s="4">
        <v>4.0000000000000001E-3</v>
      </c>
      <c r="K152" s="5">
        <v>100</v>
      </c>
      <c r="L152" s="5">
        <v>100</v>
      </c>
      <c r="M152" s="5">
        <v>100</v>
      </c>
      <c r="N152" s="5">
        <v>100</v>
      </c>
      <c r="O152" s="2">
        <v>0.1996711951290677</v>
      </c>
      <c r="P152" s="2">
        <v>0.20133892134735717</v>
      </c>
      <c r="Q152" s="2">
        <v>5.0125418235442863E-3</v>
      </c>
      <c r="R152" s="2">
        <v>4.0080213975388218E-3</v>
      </c>
    </row>
    <row r="153" spans="1:18" x14ac:dyDescent="0.3">
      <c r="A153" s="7">
        <v>766</v>
      </c>
      <c r="B153" s="7">
        <v>380</v>
      </c>
      <c r="C153" s="7">
        <v>0</v>
      </c>
      <c r="D153" s="7">
        <v>0</v>
      </c>
      <c r="E153" s="20" t="str">
        <f t="shared" si="2"/>
        <v>00</v>
      </c>
      <c r="F153" s="21">
        <v>0.12736791842843401</v>
      </c>
      <c r="G153" s="4">
        <v>0.19400000000000001</v>
      </c>
      <c r="H153" s="4">
        <v>0.18711018711018701</v>
      </c>
      <c r="I153" s="4">
        <v>3.0000000000000001E-3</v>
      </c>
      <c r="J153" s="4">
        <v>6.0000000000000001E-3</v>
      </c>
      <c r="K153" s="5">
        <v>100</v>
      </c>
      <c r="L153" s="5">
        <v>100</v>
      </c>
      <c r="M153" s="5">
        <v>100</v>
      </c>
      <c r="N153" s="5">
        <v>100</v>
      </c>
      <c r="O153" s="2">
        <v>0.21567153647550871</v>
      </c>
      <c r="P153" s="2">
        <v>0.20715971012039527</v>
      </c>
      <c r="Q153" s="2">
        <v>3.0045090202987243E-3</v>
      </c>
      <c r="R153" s="2">
        <v>6.0180723255630212E-3</v>
      </c>
    </row>
    <row r="154" spans="1:18" x14ac:dyDescent="0.3">
      <c r="A154" s="7">
        <v>787</v>
      </c>
      <c r="B154" s="7">
        <v>378</v>
      </c>
      <c r="C154" s="7">
        <v>0</v>
      </c>
      <c r="D154" s="7">
        <v>0</v>
      </c>
      <c r="E154" s="20" t="str">
        <f t="shared" si="2"/>
        <v>00</v>
      </c>
      <c r="F154" s="21">
        <v>0.127616553430524</v>
      </c>
      <c r="G154" s="4">
        <v>0.23300000000000001</v>
      </c>
      <c r="H154" s="4">
        <v>0.18550106609808101</v>
      </c>
      <c r="I154" s="4">
        <v>4.0000000000000001E-3</v>
      </c>
      <c r="J154" s="4">
        <v>7.0000000000000001E-3</v>
      </c>
      <c r="K154" s="5">
        <v>100</v>
      </c>
      <c r="L154" s="5">
        <v>100</v>
      </c>
      <c r="M154" s="5">
        <v>100</v>
      </c>
      <c r="N154" s="5">
        <v>100</v>
      </c>
      <c r="O154" s="2">
        <v>0.26526847761488087</v>
      </c>
      <c r="P154" s="2">
        <v>0.2051821598397042</v>
      </c>
      <c r="Q154" s="2">
        <v>4.0080213975388218E-3</v>
      </c>
      <c r="R154" s="2">
        <v>7.0246149369644663E-3</v>
      </c>
    </row>
    <row r="155" spans="1:18" x14ac:dyDescent="0.3">
      <c r="A155" s="7">
        <v>190</v>
      </c>
      <c r="B155" s="7">
        <v>398</v>
      </c>
      <c r="C155" s="7">
        <v>0</v>
      </c>
      <c r="D155" s="7">
        <v>0</v>
      </c>
      <c r="E155" s="20" t="str">
        <f t="shared" si="2"/>
        <v>00</v>
      </c>
      <c r="F155" s="21">
        <v>0.128608315373552</v>
      </c>
      <c r="G155" s="4">
        <v>0.13600000000000001</v>
      </c>
      <c r="H155" s="4">
        <v>0.12877263581488901</v>
      </c>
      <c r="I155" s="4">
        <v>6.0000000000000001E-3</v>
      </c>
      <c r="J155" s="4">
        <v>5.0000000000000001E-3</v>
      </c>
      <c r="K155" s="5">
        <v>100</v>
      </c>
      <c r="L155" s="5">
        <v>100</v>
      </c>
      <c r="M155" s="5">
        <v>100</v>
      </c>
      <c r="N155" s="5">
        <v>100</v>
      </c>
      <c r="O155" s="2">
        <v>0.14618251017808145</v>
      </c>
      <c r="P155" s="2">
        <v>0.13785229809413857</v>
      </c>
      <c r="Q155" s="2">
        <v>6.0180723255630212E-3</v>
      </c>
      <c r="R155" s="2">
        <v>5.0125418235442863E-3</v>
      </c>
    </row>
    <row r="156" spans="1:18" x14ac:dyDescent="0.3">
      <c r="A156" s="7">
        <v>886</v>
      </c>
      <c r="B156" s="7">
        <v>405</v>
      </c>
      <c r="C156" s="7">
        <v>0</v>
      </c>
      <c r="D156" s="7">
        <v>0</v>
      </c>
      <c r="E156" s="20" t="str">
        <f t="shared" si="2"/>
        <v>00</v>
      </c>
      <c r="F156" s="21">
        <v>0.12956464553314101</v>
      </c>
      <c r="G156" s="4">
        <v>9.7000000000000003E-2</v>
      </c>
      <c r="H156" s="4">
        <v>8.0971659919028299E-2</v>
      </c>
      <c r="I156" s="4">
        <v>1E-3</v>
      </c>
      <c r="J156" s="4">
        <v>3.0000000000000001E-3</v>
      </c>
      <c r="K156" s="5">
        <v>100</v>
      </c>
      <c r="L156" s="5">
        <v>100</v>
      </c>
      <c r="M156" s="5">
        <v>100</v>
      </c>
      <c r="N156" s="5">
        <v>100</v>
      </c>
      <c r="O156" s="2">
        <v>0.10203272556515161</v>
      </c>
      <c r="P156" s="2">
        <v>8.44383191465745E-2</v>
      </c>
      <c r="Q156" s="2">
        <v>1.0005003335835344E-3</v>
      </c>
      <c r="R156" s="2">
        <v>3.0045090202987243E-3</v>
      </c>
    </row>
    <row r="157" spans="1:18" x14ac:dyDescent="0.3">
      <c r="A157" s="7">
        <v>640</v>
      </c>
      <c r="B157" s="7">
        <v>392</v>
      </c>
      <c r="C157" s="7">
        <v>0</v>
      </c>
      <c r="D157" s="7">
        <v>0</v>
      </c>
      <c r="E157" s="20" t="str">
        <f t="shared" si="2"/>
        <v>00</v>
      </c>
      <c r="F157" s="21">
        <v>0.12977904405622101</v>
      </c>
      <c r="G157" s="4">
        <v>0.16</v>
      </c>
      <c r="H157" s="4">
        <v>0.14867617107942999</v>
      </c>
      <c r="I157" s="4">
        <v>8.0000000000000002E-3</v>
      </c>
      <c r="J157" s="4">
        <v>4.0000000000000001E-3</v>
      </c>
      <c r="K157" s="5">
        <v>100</v>
      </c>
      <c r="L157" s="5">
        <v>100</v>
      </c>
      <c r="M157" s="5">
        <v>100</v>
      </c>
      <c r="N157" s="5">
        <v>100</v>
      </c>
      <c r="O157" s="2">
        <v>0.1743533871447778</v>
      </c>
      <c r="P157" s="2">
        <v>0.16096269526976456</v>
      </c>
      <c r="Q157" s="2">
        <v>8.0321716972642666E-3</v>
      </c>
      <c r="R157" s="2">
        <v>4.0080213975388218E-3</v>
      </c>
    </row>
    <row r="158" spans="1:18" x14ac:dyDescent="0.3">
      <c r="A158" s="7">
        <v>902</v>
      </c>
      <c r="B158" s="7">
        <v>404</v>
      </c>
      <c r="C158" s="7">
        <v>0</v>
      </c>
      <c r="D158" s="7">
        <v>0</v>
      </c>
      <c r="E158" s="20" t="str">
        <f t="shared" si="2"/>
        <v>00</v>
      </c>
      <c r="F158" s="21">
        <v>0.12985028732437401</v>
      </c>
      <c r="G158" s="4">
        <v>0.32900000000000001</v>
      </c>
      <c r="H158" s="4">
        <v>0.30543933054393302</v>
      </c>
      <c r="I158" s="4">
        <v>6.0000000000000001E-3</v>
      </c>
      <c r="J158" s="4">
        <v>5.0000000000000001E-3</v>
      </c>
      <c r="K158" s="5">
        <v>100</v>
      </c>
      <c r="L158" s="5">
        <v>100</v>
      </c>
      <c r="M158" s="5">
        <v>100</v>
      </c>
      <c r="N158" s="5">
        <v>100</v>
      </c>
      <c r="O158" s="2">
        <v>0.39898614201045518</v>
      </c>
      <c r="P158" s="2">
        <v>0.36447576357496736</v>
      </c>
      <c r="Q158" s="2">
        <v>6.0180723255630212E-3</v>
      </c>
      <c r="R158" s="2">
        <v>5.0125418235442863E-3</v>
      </c>
    </row>
    <row r="159" spans="1:18" x14ac:dyDescent="0.3">
      <c r="A159" s="7">
        <v>840</v>
      </c>
      <c r="B159" s="7">
        <v>387</v>
      </c>
      <c r="C159" s="7">
        <v>0</v>
      </c>
      <c r="D159" s="7">
        <v>0</v>
      </c>
      <c r="E159" s="20" t="str">
        <f t="shared" si="2"/>
        <v>00</v>
      </c>
      <c r="F159" s="21">
        <v>0.13016518935906499</v>
      </c>
      <c r="G159" s="4">
        <v>0.121</v>
      </c>
      <c r="H159" s="4">
        <v>0.114688128772636</v>
      </c>
      <c r="I159" s="4">
        <v>4.0000000000000001E-3</v>
      </c>
      <c r="J159" s="4">
        <v>2E-3</v>
      </c>
      <c r="K159" s="5">
        <v>100</v>
      </c>
      <c r="L159" s="5">
        <v>100</v>
      </c>
      <c r="M159" s="5">
        <v>100</v>
      </c>
      <c r="N159" s="5">
        <v>100</v>
      </c>
      <c r="O159" s="2">
        <v>0.12897038129696006</v>
      </c>
      <c r="P159" s="2">
        <v>0.1218152991843221</v>
      </c>
      <c r="Q159" s="2">
        <v>4.0080213975388218E-3</v>
      </c>
      <c r="R159" s="2">
        <v>2.0020026706730793E-3</v>
      </c>
    </row>
    <row r="160" spans="1:18" x14ac:dyDescent="0.3">
      <c r="A160" s="7">
        <v>462</v>
      </c>
      <c r="B160" s="7">
        <v>409</v>
      </c>
      <c r="C160" s="7">
        <v>0</v>
      </c>
      <c r="D160" s="7">
        <v>0</v>
      </c>
      <c r="E160" s="20" t="str">
        <f t="shared" si="2"/>
        <v>00</v>
      </c>
      <c r="F160" s="21">
        <v>0.13148047359573201</v>
      </c>
      <c r="G160" s="4">
        <v>0.23</v>
      </c>
      <c r="H160" s="4">
        <v>0.22244488977955901</v>
      </c>
      <c r="I160" s="4">
        <v>5.0000000000000001E-3</v>
      </c>
      <c r="J160" s="4">
        <v>6.0000000000000001E-3</v>
      </c>
      <c r="K160" s="5">
        <v>100</v>
      </c>
      <c r="L160" s="5">
        <v>100</v>
      </c>
      <c r="M160" s="5">
        <v>100</v>
      </c>
      <c r="N160" s="5">
        <v>100</v>
      </c>
      <c r="O160" s="2">
        <v>0.26136476413440751</v>
      </c>
      <c r="P160" s="2">
        <v>0.25160075612824506</v>
      </c>
      <c r="Q160" s="2">
        <v>5.0125418235442863E-3</v>
      </c>
      <c r="R160" s="2">
        <v>6.0180723255630212E-3</v>
      </c>
    </row>
    <row r="161" spans="1:18" x14ac:dyDescent="0.3">
      <c r="A161" s="7">
        <v>944</v>
      </c>
      <c r="B161" s="7">
        <v>403</v>
      </c>
      <c r="C161" s="7">
        <v>0</v>
      </c>
      <c r="D161" s="7">
        <v>0</v>
      </c>
      <c r="E161" s="20" t="str">
        <f t="shared" si="2"/>
        <v>00</v>
      </c>
      <c r="F161" s="21">
        <v>0.13160544427373499</v>
      </c>
      <c r="G161" s="4">
        <v>0.24099999999999999</v>
      </c>
      <c r="H161" s="4">
        <v>0.20997920997920999</v>
      </c>
      <c r="I161" s="4">
        <v>0</v>
      </c>
      <c r="J161" s="4">
        <v>6.0000000000000001E-3</v>
      </c>
      <c r="K161" s="5">
        <v>100</v>
      </c>
      <c r="L161" s="5">
        <v>100</v>
      </c>
      <c r="M161" s="5">
        <v>100</v>
      </c>
      <c r="N161" s="5">
        <v>100</v>
      </c>
      <c r="O161" s="2">
        <v>0.27575350158650713</v>
      </c>
      <c r="P161" s="2">
        <v>0.23569601738532966</v>
      </c>
      <c r="Q161" s="2">
        <v>1.0000050000287824E-5</v>
      </c>
      <c r="R161" s="2">
        <v>6.0180723255630212E-3</v>
      </c>
    </row>
    <row r="162" spans="1:18" x14ac:dyDescent="0.3">
      <c r="A162" s="7">
        <v>342</v>
      </c>
      <c r="B162" s="7">
        <v>403</v>
      </c>
      <c r="C162" s="7">
        <v>0</v>
      </c>
      <c r="D162" s="7">
        <v>0</v>
      </c>
      <c r="E162" s="20" t="str">
        <f t="shared" si="2"/>
        <v>00</v>
      </c>
      <c r="F162" s="21">
        <v>0.13160690990787399</v>
      </c>
      <c r="G162" s="4">
        <v>0.11799999999999999</v>
      </c>
      <c r="H162" s="4">
        <v>8.7044534412955496E-2</v>
      </c>
      <c r="I162" s="4">
        <v>1E-3</v>
      </c>
      <c r="J162" s="4">
        <v>6.0000000000000001E-3</v>
      </c>
      <c r="K162" s="5">
        <v>100</v>
      </c>
      <c r="L162" s="5">
        <v>100</v>
      </c>
      <c r="M162" s="5">
        <v>100</v>
      </c>
      <c r="N162" s="5">
        <v>100</v>
      </c>
      <c r="O162" s="2">
        <v>0.12556322297534575</v>
      </c>
      <c r="P162" s="2">
        <v>9.1068177685244139E-2</v>
      </c>
      <c r="Q162" s="2">
        <v>1.0005003335835344E-3</v>
      </c>
      <c r="R162" s="2">
        <v>6.0180723255630212E-3</v>
      </c>
    </row>
    <row r="163" spans="1:18" x14ac:dyDescent="0.3">
      <c r="A163" s="7">
        <v>130</v>
      </c>
      <c r="B163" s="7">
        <v>409</v>
      </c>
      <c r="C163" s="7">
        <v>0</v>
      </c>
      <c r="D163" s="7">
        <v>0</v>
      </c>
      <c r="E163" s="20" t="str">
        <f t="shared" si="2"/>
        <v>00</v>
      </c>
      <c r="F163" s="21">
        <v>0.13257530870589501</v>
      </c>
      <c r="G163" s="4">
        <v>0.27800000000000002</v>
      </c>
      <c r="H163" s="4">
        <v>0.25918367346938798</v>
      </c>
      <c r="I163" s="4">
        <v>4.0000000000000001E-3</v>
      </c>
      <c r="J163" s="4">
        <v>6.0000000000000001E-3</v>
      </c>
      <c r="K163" s="5">
        <v>100</v>
      </c>
      <c r="L163" s="5">
        <v>100</v>
      </c>
      <c r="M163" s="5">
        <v>100</v>
      </c>
      <c r="N163" s="5">
        <v>100</v>
      </c>
      <c r="O163" s="2">
        <v>0.32573014008931084</v>
      </c>
      <c r="P163" s="2">
        <v>0.3000025568398218</v>
      </c>
      <c r="Q163" s="2">
        <v>4.0080213975388218E-3</v>
      </c>
      <c r="R163" s="2">
        <v>6.0180723255630212E-3</v>
      </c>
    </row>
    <row r="164" spans="1:18" x14ac:dyDescent="0.3">
      <c r="A164" s="7">
        <v>943</v>
      </c>
      <c r="B164" s="7">
        <v>395</v>
      </c>
      <c r="C164" s="7">
        <v>0</v>
      </c>
      <c r="D164" s="7">
        <v>0</v>
      </c>
      <c r="E164" s="20" t="str">
        <f t="shared" si="2"/>
        <v>00</v>
      </c>
      <c r="F164" s="21">
        <v>0.13259543625982601</v>
      </c>
      <c r="G164" s="4">
        <v>0.38600000000000001</v>
      </c>
      <c r="H164" s="4">
        <v>0.33817427385892102</v>
      </c>
      <c r="I164" s="4">
        <v>1.2E-2</v>
      </c>
      <c r="J164" s="4">
        <v>4.0000000000000001E-3</v>
      </c>
      <c r="K164" s="5">
        <v>100</v>
      </c>
      <c r="L164" s="5">
        <v>100</v>
      </c>
      <c r="M164" s="5">
        <v>100</v>
      </c>
      <c r="N164" s="5">
        <v>100</v>
      </c>
      <c r="O164" s="2">
        <v>0.48776035083499458</v>
      </c>
      <c r="P164" s="2">
        <v>0.41275301126575559</v>
      </c>
      <c r="Q164" s="2">
        <v>1.2072581234269249E-2</v>
      </c>
      <c r="R164" s="2">
        <v>4.0080213975388218E-3</v>
      </c>
    </row>
    <row r="165" spans="1:18" x14ac:dyDescent="0.3">
      <c r="A165" s="7">
        <v>48</v>
      </c>
      <c r="B165" s="7">
        <v>405</v>
      </c>
      <c r="C165" s="7">
        <v>0</v>
      </c>
      <c r="D165" s="7">
        <v>0</v>
      </c>
      <c r="E165" s="20" t="str">
        <f t="shared" si="2"/>
        <v>00</v>
      </c>
      <c r="F165" s="21">
        <v>0.13299837349954599</v>
      </c>
      <c r="G165" s="4">
        <v>0.111</v>
      </c>
      <c r="H165" s="4">
        <v>0.108433734939759</v>
      </c>
      <c r="I165" s="4">
        <v>8.0000000000000002E-3</v>
      </c>
      <c r="J165" s="4">
        <v>2E-3</v>
      </c>
      <c r="K165" s="5">
        <v>100</v>
      </c>
      <c r="L165" s="5">
        <v>100</v>
      </c>
      <c r="M165" s="5">
        <v>100</v>
      </c>
      <c r="N165" s="5">
        <v>100</v>
      </c>
      <c r="O165" s="2">
        <v>0.11765804346823246</v>
      </c>
      <c r="P165" s="2">
        <v>0.11477551459242818</v>
      </c>
      <c r="Q165" s="2">
        <v>8.0321716972642666E-3</v>
      </c>
      <c r="R165" s="2">
        <v>2.0020026706730793E-3</v>
      </c>
    </row>
    <row r="166" spans="1:18" x14ac:dyDescent="0.3">
      <c r="A166" s="7">
        <v>695</v>
      </c>
      <c r="B166" s="7">
        <v>383</v>
      </c>
      <c r="C166" s="7">
        <v>0</v>
      </c>
      <c r="D166" s="7">
        <v>0</v>
      </c>
      <c r="E166" s="20" t="str">
        <f t="shared" si="2"/>
        <v>00</v>
      </c>
      <c r="F166" s="21">
        <v>0.13304367176074999</v>
      </c>
      <c r="G166" s="4">
        <v>0.22600000000000001</v>
      </c>
      <c r="H166" s="4">
        <v>0.212244897959184</v>
      </c>
      <c r="I166" s="4">
        <v>2E-3</v>
      </c>
      <c r="J166" s="4">
        <v>1E-3</v>
      </c>
      <c r="K166" s="5">
        <v>100</v>
      </c>
      <c r="L166" s="5">
        <v>100</v>
      </c>
      <c r="M166" s="5">
        <v>100</v>
      </c>
      <c r="N166" s="5">
        <v>100</v>
      </c>
      <c r="O166" s="2">
        <v>0.25618340539240991</v>
      </c>
      <c r="P166" s="2">
        <v>0.23856802163984184</v>
      </c>
      <c r="Q166" s="2">
        <v>2.0020026706730793E-3</v>
      </c>
      <c r="R166" s="2">
        <v>1.0005003335835344E-3</v>
      </c>
    </row>
    <row r="167" spans="1:18" x14ac:dyDescent="0.3">
      <c r="A167" s="7">
        <v>764</v>
      </c>
      <c r="B167" s="7">
        <v>371</v>
      </c>
      <c r="C167" s="7">
        <v>0</v>
      </c>
      <c r="D167" s="7">
        <v>0</v>
      </c>
      <c r="E167" s="20" t="str">
        <f t="shared" si="2"/>
        <v>00</v>
      </c>
      <c r="F167" s="21">
        <v>0.13457481634160101</v>
      </c>
      <c r="G167" s="4">
        <v>0.58199999999999996</v>
      </c>
      <c r="H167" s="4">
        <v>0.48027842227378198</v>
      </c>
      <c r="I167" s="4">
        <v>2E-3</v>
      </c>
      <c r="J167" s="4">
        <v>8.0000000000000002E-3</v>
      </c>
      <c r="K167" s="5">
        <v>0</v>
      </c>
      <c r="L167" s="5">
        <v>100</v>
      </c>
      <c r="M167" s="5">
        <v>100</v>
      </c>
      <c r="N167" s="5">
        <v>100</v>
      </c>
      <c r="O167" s="2">
        <v>0.8722738464573806</v>
      </c>
      <c r="P167" s="2">
        <v>0.65446203824870797</v>
      </c>
      <c r="Q167" s="2">
        <v>2.0020026706730793E-3</v>
      </c>
      <c r="R167" s="2">
        <v>8.0321716972642666E-3</v>
      </c>
    </row>
    <row r="168" spans="1:18" x14ac:dyDescent="0.3">
      <c r="A168" s="7">
        <v>941</v>
      </c>
      <c r="B168" s="7">
        <v>396</v>
      </c>
      <c r="C168" s="7">
        <v>0</v>
      </c>
      <c r="D168" s="7">
        <v>0</v>
      </c>
      <c r="E168" s="20" t="str">
        <f t="shared" si="2"/>
        <v>00</v>
      </c>
      <c r="F168" s="21">
        <v>0.13490508921477301</v>
      </c>
      <c r="G168" s="4">
        <v>0.18</v>
      </c>
      <c r="H168" s="4">
        <v>0.17206477732793499</v>
      </c>
      <c r="I168" s="4">
        <v>3.0000000000000001E-3</v>
      </c>
      <c r="J168" s="4">
        <v>2E-3</v>
      </c>
      <c r="K168" s="5">
        <v>100</v>
      </c>
      <c r="L168" s="5">
        <v>100</v>
      </c>
      <c r="M168" s="5">
        <v>100</v>
      </c>
      <c r="N168" s="5">
        <v>100</v>
      </c>
      <c r="O168" s="2">
        <v>0.19845093872383818</v>
      </c>
      <c r="P168" s="2">
        <v>0.18882036114512052</v>
      </c>
      <c r="Q168" s="2">
        <v>3.0045090202987243E-3</v>
      </c>
      <c r="R168" s="2">
        <v>2.0020026706730793E-3</v>
      </c>
    </row>
    <row r="169" spans="1:18" x14ac:dyDescent="0.3">
      <c r="A169" s="7">
        <v>641</v>
      </c>
      <c r="B169" s="7">
        <v>395</v>
      </c>
      <c r="C169" s="7">
        <v>0</v>
      </c>
      <c r="D169" s="7">
        <v>0</v>
      </c>
      <c r="E169" s="20" t="str">
        <f t="shared" si="2"/>
        <v>00</v>
      </c>
      <c r="F169" s="21">
        <v>0.13521966137382599</v>
      </c>
      <c r="G169" s="4">
        <v>0.108</v>
      </c>
      <c r="H169" s="4">
        <v>0.104838709677419</v>
      </c>
      <c r="I169" s="4">
        <v>4.0000000000000001E-3</v>
      </c>
      <c r="J169" s="4">
        <v>5.0000000000000001E-3</v>
      </c>
      <c r="K169" s="5">
        <v>100</v>
      </c>
      <c r="L169" s="5">
        <v>100</v>
      </c>
      <c r="M169" s="5">
        <v>100</v>
      </c>
      <c r="N169" s="5">
        <v>100</v>
      </c>
      <c r="O169" s="2">
        <v>0.11428914640212766</v>
      </c>
      <c r="P169" s="2">
        <v>0.11075136429270238</v>
      </c>
      <c r="Q169" s="2">
        <v>4.0080213975388218E-3</v>
      </c>
      <c r="R169" s="2">
        <v>5.0125418235442863E-3</v>
      </c>
    </row>
    <row r="170" spans="1:18" x14ac:dyDescent="0.3">
      <c r="A170" s="7">
        <v>552</v>
      </c>
      <c r="B170" s="7">
        <v>384</v>
      </c>
      <c r="C170" s="7">
        <v>0</v>
      </c>
      <c r="D170" s="7">
        <v>0</v>
      </c>
      <c r="E170" s="20" t="str">
        <f t="shared" si="2"/>
        <v>00</v>
      </c>
      <c r="F170" s="21">
        <v>0.13641970152470001</v>
      </c>
      <c r="G170" s="4">
        <v>0.18</v>
      </c>
      <c r="H170" s="4">
        <v>0.17505030181086501</v>
      </c>
      <c r="I170" s="4">
        <v>3.0000000000000001E-3</v>
      </c>
      <c r="J170" s="4">
        <v>4.0000000000000001E-3</v>
      </c>
      <c r="K170" s="5">
        <v>100</v>
      </c>
      <c r="L170" s="5">
        <v>100</v>
      </c>
      <c r="M170" s="5">
        <v>100</v>
      </c>
      <c r="N170" s="5">
        <v>100</v>
      </c>
      <c r="O170" s="2">
        <v>0.19845093872383818</v>
      </c>
      <c r="P170" s="2">
        <v>0.192432866398275</v>
      </c>
      <c r="Q170" s="2">
        <v>3.0045090202987243E-3</v>
      </c>
      <c r="R170" s="2">
        <v>4.0080213975388218E-3</v>
      </c>
    </row>
    <row r="171" spans="1:18" x14ac:dyDescent="0.3">
      <c r="A171" s="7">
        <v>866</v>
      </c>
      <c r="B171" s="7">
        <v>386</v>
      </c>
      <c r="C171" s="7">
        <v>0</v>
      </c>
      <c r="D171" s="7">
        <v>0</v>
      </c>
      <c r="E171" s="20" t="str">
        <f t="shared" si="2"/>
        <v>00</v>
      </c>
      <c r="F171" s="21">
        <v>0.13882186171269001</v>
      </c>
      <c r="G171" s="4">
        <v>0.13600000000000001</v>
      </c>
      <c r="H171" s="4">
        <v>0.138832997987928</v>
      </c>
      <c r="I171" s="4">
        <v>3.0000000000000001E-3</v>
      </c>
      <c r="J171" s="4">
        <v>2E-3</v>
      </c>
      <c r="K171" s="5">
        <v>100</v>
      </c>
      <c r="L171" s="5">
        <v>100</v>
      </c>
      <c r="M171" s="5">
        <v>100</v>
      </c>
      <c r="N171" s="5">
        <v>100</v>
      </c>
      <c r="O171" s="2">
        <v>0.14618251017808145</v>
      </c>
      <c r="P171" s="2">
        <v>0.14946683051483248</v>
      </c>
      <c r="Q171" s="2">
        <v>3.0045090202987243E-3</v>
      </c>
      <c r="R171" s="2">
        <v>2.0020026706730793E-3</v>
      </c>
    </row>
    <row r="172" spans="1:18" x14ac:dyDescent="0.3">
      <c r="A172" s="7">
        <v>569</v>
      </c>
      <c r="B172" s="7">
        <v>391</v>
      </c>
      <c r="C172" s="7">
        <v>0</v>
      </c>
      <c r="D172" s="7">
        <v>0</v>
      </c>
      <c r="E172" s="20" t="str">
        <f t="shared" si="2"/>
        <v>00</v>
      </c>
      <c r="F172" s="21">
        <v>0.14082807920384299</v>
      </c>
      <c r="G172" s="4">
        <v>0.309</v>
      </c>
      <c r="H172" s="4">
        <v>0.248351648351648</v>
      </c>
      <c r="I172" s="4">
        <v>5.0000000000000001E-3</v>
      </c>
      <c r="J172" s="4">
        <v>8.9999999999999993E-3</v>
      </c>
      <c r="K172" s="5">
        <v>100</v>
      </c>
      <c r="L172" s="5">
        <v>100</v>
      </c>
      <c r="M172" s="5">
        <v>100</v>
      </c>
      <c r="N172" s="5">
        <v>100</v>
      </c>
      <c r="O172" s="2">
        <v>0.36961545521446709</v>
      </c>
      <c r="P172" s="2">
        <v>0.28548668188834481</v>
      </c>
      <c r="Q172" s="2">
        <v>5.0125418235442863E-3</v>
      </c>
      <c r="R172" s="2">
        <v>9.0407446521490707E-3</v>
      </c>
    </row>
    <row r="173" spans="1:18" x14ac:dyDescent="0.3">
      <c r="A173" s="7">
        <v>66</v>
      </c>
      <c r="B173" s="7">
        <v>395</v>
      </c>
      <c r="C173" s="7">
        <v>0</v>
      </c>
      <c r="D173" s="7">
        <v>0</v>
      </c>
      <c r="E173" s="20" t="str">
        <f t="shared" si="2"/>
        <v>00</v>
      </c>
      <c r="F173" s="21">
        <v>0.14293235619882</v>
      </c>
      <c r="G173" s="4">
        <v>0.152</v>
      </c>
      <c r="H173" s="4">
        <v>0.139917695473251</v>
      </c>
      <c r="I173" s="4">
        <v>5.0000000000000001E-3</v>
      </c>
      <c r="J173" s="4">
        <v>8.9999999999999993E-3</v>
      </c>
      <c r="K173" s="5">
        <v>100</v>
      </c>
      <c r="L173" s="5">
        <v>100</v>
      </c>
      <c r="M173" s="5">
        <v>100</v>
      </c>
      <c r="N173" s="5">
        <v>100</v>
      </c>
      <c r="O173" s="2">
        <v>0.16487464319023401</v>
      </c>
      <c r="P173" s="2">
        <v>0.15072719137573748</v>
      </c>
      <c r="Q173" s="2">
        <v>5.0125418235442863E-3</v>
      </c>
      <c r="R173" s="2">
        <v>9.0407446521490707E-3</v>
      </c>
    </row>
    <row r="174" spans="1:18" x14ac:dyDescent="0.3">
      <c r="A174" s="7">
        <v>64</v>
      </c>
      <c r="B174" s="7">
        <v>384</v>
      </c>
      <c r="C174" s="7">
        <v>0</v>
      </c>
      <c r="D174" s="7">
        <v>0</v>
      </c>
      <c r="E174" s="20" t="str">
        <f t="shared" si="2"/>
        <v>00</v>
      </c>
      <c r="F174" s="21">
        <v>0.14358134055493699</v>
      </c>
      <c r="G174" s="4">
        <v>0.17599999999999999</v>
      </c>
      <c r="H174" s="4">
        <v>0.16767676767676801</v>
      </c>
      <c r="I174" s="4">
        <v>1E-3</v>
      </c>
      <c r="J174" s="4">
        <v>7.0000000000000001E-3</v>
      </c>
      <c r="K174" s="5">
        <v>100</v>
      </c>
      <c r="L174" s="5">
        <v>100</v>
      </c>
      <c r="M174" s="5">
        <v>100</v>
      </c>
      <c r="N174" s="5">
        <v>100</v>
      </c>
      <c r="O174" s="2">
        <v>0.19358474907266526</v>
      </c>
      <c r="P174" s="2">
        <v>0.18353441321916428</v>
      </c>
      <c r="Q174" s="2">
        <v>1.0005003335835344E-3</v>
      </c>
      <c r="R174" s="2">
        <v>7.0246149369644663E-3</v>
      </c>
    </row>
    <row r="175" spans="1:18" x14ac:dyDescent="0.3">
      <c r="A175" s="7">
        <v>120</v>
      </c>
      <c r="B175" s="7">
        <v>366</v>
      </c>
      <c r="C175" s="7">
        <v>0</v>
      </c>
      <c r="D175" s="7">
        <v>0</v>
      </c>
      <c r="E175" s="20" t="str">
        <f t="shared" si="2"/>
        <v>00</v>
      </c>
      <c r="F175" s="21">
        <v>0.14492817255399701</v>
      </c>
      <c r="G175" s="4">
        <v>0.28100000000000003</v>
      </c>
      <c r="H175" s="4">
        <v>0.25416666666666698</v>
      </c>
      <c r="I175" s="4">
        <v>8.0000000000000002E-3</v>
      </c>
      <c r="J175" s="4">
        <v>5.0000000000000001E-3</v>
      </c>
      <c r="K175" s="5">
        <v>100</v>
      </c>
      <c r="L175" s="5">
        <v>100</v>
      </c>
      <c r="M175" s="5">
        <v>100</v>
      </c>
      <c r="N175" s="5">
        <v>100</v>
      </c>
      <c r="O175" s="2">
        <v>0.32989392126109041</v>
      </c>
      <c r="P175" s="2">
        <v>0.29325311750123673</v>
      </c>
      <c r="Q175" s="2">
        <v>8.0321716972642666E-3</v>
      </c>
      <c r="R175" s="2">
        <v>5.0125418235442863E-3</v>
      </c>
    </row>
    <row r="176" spans="1:18" x14ac:dyDescent="0.3">
      <c r="A176" s="7">
        <v>248</v>
      </c>
      <c r="B176" s="7">
        <v>397</v>
      </c>
      <c r="C176" s="7">
        <v>0</v>
      </c>
      <c r="D176" s="7">
        <v>0</v>
      </c>
      <c r="E176" s="20" t="str">
        <f t="shared" si="2"/>
        <v>00</v>
      </c>
      <c r="F176" s="21">
        <v>0.14510759900487399</v>
      </c>
      <c r="G176" s="4">
        <v>0.13800000000000001</v>
      </c>
      <c r="H176" s="4">
        <v>0.13441955193482699</v>
      </c>
      <c r="I176" s="4">
        <v>2E-3</v>
      </c>
      <c r="J176" s="4">
        <v>8.9999999999999993E-3</v>
      </c>
      <c r="K176" s="5">
        <v>100</v>
      </c>
      <c r="L176" s="5">
        <v>100</v>
      </c>
      <c r="M176" s="5">
        <v>100</v>
      </c>
      <c r="N176" s="5">
        <v>100</v>
      </c>
      <c r="O176" s="2">
        <v>0.14850000831844395</v>
      </c>
      <c r="P176" s="2">
        <v>0.14435495887010391</v>
      </c>
      <c r="Q176" s="2">
        <v>2.0020026706730793E-3</v>
      </c>
      <c r="R176" s="2">
        <v>9.0407446521490707E-3</v>
      </c>
    </row>
    <row r="177" spans="1:18" x14ac:dyDescent="0.3">
      <c r="A177" s="7">
        <v>21</v>
      </c>
      <c r="B177" s="7">
        <v>397</v>
      </c>
      <c r="C177" s="7">
        <v>0</v>
      </c>
      <c r="D177" s="7">
        <v>0</v>
      </c>
      <c r="E177" s="20" t="str">
        <f t="shared" si="2"/>
        <v>00</v>
      </c>
      <c r="F177" s="21">
        <v>0.14934880605561399</v>
      </c>
      <c r="G177" s="4">
        <v>0.17299999999999999</v>
      </c>
      <c r="H177" s="4">
        <v>0.12421052631578899</v>
      </c>
      <c r="I177" s="4">
        <v>3.0000000000000001E-3</v>
      </c>
      <c r="J177" s="4">
        <v>3.0000000000000001E-3</v>
      </c>
      <c r="K177" s="5">
        <v>100</v>
      </c>
      <c r="L177" s="5">
        <v>100</v>
      </c>
      <c r="M177" s="5">
        <v>100</v>
      </c>
      <c r="N177" s="5">
        <v>100</v>
      </c>
      <c r="O177" s="2">
        <v>0.1899505839584458</v>
      </c>
      <c r="P177" s="2">
        <v>0.13262954377337738</v>
      </c>
      <c r="Q177" s="2">
        <v>3.0045090202987243E-3</v>
      </c>
      <c r="R177" s="2">
        <v>3.0045090202987243E-3</v>
      </c>
    </row>
    <row r="178" spans="1:18" x14ac:dyDescent="0.3">
      <c r="A178" s="7">
        <v>623</v>
      </c>
      <c r="B178" s="7">
        <v>397</v>
      </c>
      <c r="C178" s="7">
        <v>0</v>
      </c>
      <c r="D178" s="7">
        <v>0</v>
      </c>
      <c r="E178" s="20" t="str">
        <f t="shared" si="2"/>
        <v>00</v>
      </c>
      <c r="F178" s="21">
        <v>0.149624393362081</v>
      </c>
      <c r="G178" s="4">
        <v>0.253</v>
      </c>
      <c r="H178" s="4">
        <v>0.26868686868686897</v>
      </c>
      <c r="I178" s="4">
        <v>6.0000000000000001E-3</v>
      </c>
      <c r="J178" s="4">
        <v>7.0000000000000001E-3</v>
      </c>
      <c r="K178" s="5">
        <v>100</v>
      </c>
      <c r="L178" s="5">
        <v>100</v>
      </c>
      <c r="M178" s="5">
        <v>100</v>
      </c>
      <c r="N178" s="5">
        <v>100</v>
      </c>
      <c r="O178" s="2">
        <v>0.29169009384931976</v>
      </c>
      <c r="P178" s="2">
        <v>0.31291355074291965</v>
      </c>
      <c r="Q178" s="2">
        <v>6.0180723255630212E-3</v>
      </c>
      <c r="R178" s="2">
        <v>7.0246149369644663E-3</v>
      </c>
    </row>
    <row r="179" spans="1:18" x14ac:dyDescent="0.3">
      <c r="A179" s="7">
        <v>604</v>
      </c>
      <c r="B179" s="7">
        <v>377</v>
      </c>
      <c r="C179" s="7">
        <v>0</v>
      </c>
      <c r="D179" s="7">
        <v>0</v>
      </c>
      <c r="E179" s="20" t="str">
        <f t="shared" si="2"/>
        <v>00</v>
      </c>
      <c r="F179" s="21">
        <v>0.15136837336714401</v>
      </c>
      <c r="G179" s="4">
        <v>0.13300000000000001</v>
      </c>
      <c r="H179" s="4">
        <v>0.12701612903225801</v>
      </c>
      <c r="I179" s="4">
        <v>3.0000000000000001E-3</v>
      </c>
      <c r="J179" s="4">
        <v>8.9999999999999993E-3</v>
      </c>
      <c r="K179" s="5">
        <v>100</v>
      </c>
      <c r="L179" s="5">
        <v>100</v>
      </c>
      <c r="M179" s="5">
        <v>100</v>
      </c>
      <c r="N179" s="5">
        <v>100</v>
      </c>
      <c r="O179" s="2">
        <v>0.1427163022015952</v>
      </c>
      <c r="P179" s="2">
        <v>0.13583819872243758</v>
      </c>
      <c r="Q179" s="2">
        <v>3.0045090202987243E-3</v>
      </c>
      <c r="R179" s="2">
        <v>9.0407446521490707E-3</v>
      </c>
    </row>
    <row r="180" spans="1:18" x14ac:dyDescent="0.3">
      <c r="A180" s="7">
        <v>427</v>
      </c>
      <c r="B180" s="7">
        <v>374</v>
      </c>
      <c r="C180" s="7">
        <v>0</v>
      </c>
      <c r="D180" s="7">
        <v>0</v>
      </c>
      <c r="E180" s="20" t="str">
        <f t="shared" si="2"/>
        <v>00</v>
      </c>
      <c r="F180" s="21">
        <v>0.15212334884544801</v>
      </c>
      <c r="G180" s="4">
        <v>0.23899999999999999</v>
      </c>
      <c r="H180" s="4">
        <v>0.21861471861471901</v>
      </c>
      <c r="I180" s="4">
        <v>5.0000000000000001E-3</v>
      </c>
      <c r="J180" s="4">
        <v>4.0000000000000001E-3</v>
      </c>
      <c r="K180" s="5">
        <v>100</v>
      </c>
      <c r="L180" s="5">
        <v>100</v>
      </c>
      <c r="M180" s="5">
        <v>100</v>
      </c>
      <c r="N180" s="5">
        <v>100</v>
      </c>
      <c r="O180" s="2">
        <v>0.27312192112045119</v>
      </c>
      <c r="P180" s="2">
        <v>0.24668693274885847</v>
      </c>
      <c r="Q180" s="2">
        <v>5.0125418235442863E-3</v>
      </c>
      <c r="R180" s="2">
        <v>4.0080213975388218E-3</v>
      </c>
    </row>
    <row r="181" spans="1:18" x14ac:dyDescent="0.3">
      <c r="A181" s="7">
        <v>349</v>
      </c>
      <c r="B181" s="7">
        <v>394</v>
      </c>
      <c r="C181" s="7">
        <v>0</v>
      </c>
      <c r="D181" s="7">
        <v>0</v>
      </c>
      <c r="E181" s="20" t="str">
        <f t="shared" si="2"/>
        <v>00</v>
      </c>
      <c r="F181" s="21">
        <v>0.152511055753698</v>
      </c>
      <c r="G181" s="4">
        <v>0.10299999999999999</v>
      </c>
      <c r="H181" s="4">
        <v>8.5020242914979796E-2</v>
      </c>
      <c r="I181" s="4">
        <v>5.0000000000000001E-3</v>
      </c>
      <c r="J181" s="4">
        <v>3.0000000000000001E-3</v>
      </c>
      <c r="K181" s="5">
        <v>100</v>
      </c>
      <c r="L181" s="5">
        <v>100</v>
      </c>
      <c r="M181" s="5">
        <v>100</v>
      </c>
      <c r="N181" s="5">
        <v>100</v>
      </c>
      <c r="O181" s="2">
        <v>0.10869941692334091</v>
      </c>
      <c r="P181" s="2">
        <v>8.8853337355691342E-2</v>
      </c>
      <c r="Q181" s="2">
        <v>5.0125418235442863E-3</v>
      </c>
      <c r="R181" s="2">
        <v>3.0045090202987243E-3</v>
      </c>
    </row>
    <row r="182" spans="1:18" x14ac:dyDescent="0.3">
      <c r="A182" s="7">
        <v>985</v>
      </c>
      <c r="B182" s="7">
        <v>390</v>
      </c>
      <c r="C182" s="7">
        <v>0</v>
      </c>
      <c r="D182" s="7">
        <v>0</v>
      </c>
      <c r="E182" s="20" t="str">
        <f t="shared" si="2"/>
        <v>00</v>
      </c>
      <c r="F182" s="21">
        <v>0.15303434066407201</v>
      </c>
      <c r="G182" s="4">
        <v>0.14599999999999999</v>
      </c>
      <c r="H182" s="4">
        <v>0.14428857715430901</v>
      </c>
      <c r="I182" s="4">
        <v>4.0000000000000001E-3</v>
      </c>
      <c r="J182" s="4">
        <v>5.0000000000000001E-3</v>
      </c>
      <c r="K182" s="5">
        <v>100</v>
      </c>
      <c r="L182" s="5">
        <v>100</v>
      </c>
      <c r="M182" s="5">
        <v>100</v>
      </c>
      <c r="N182" s="5">
        <v>100</v>
      </c>
      <c r="O182" s="2">
        <v>0.15782408519356722</v>
      </c>
      <c r="P182" s="2">
        <v>0.15582208252289453</v>
      </c>
      <c r="Q182" s="2">
        <v>4.0080213975388218E-3</v>
      </c>
      <c r="R182" s="2">
        <v>5.0125418235442863E-3</v>
      </c>
    </row>
    <row r="183" spans="1:18" x14ac:dyDescent="0.3">
      <c r="A183" s="7">
        <v>990</v>
      </c>
      <c r="B183" s="7">
        <v>382</v>
      </c>
      <c r="C183" s="7">
        <v>0</v>
      </c>
      <c r="D183" s="7">
        <v>0</v>
      </c>
      <c r="E183" s="20" t="str">
        <f t="shared" si="2"/>
        <v>00</v>
      </c>
      <c r="F183" s="21">
        <v>0.15364783302413201</v>
      </c>
      <c r="G183" s="4">
        <v>0.77100000000000002</v>
      </c>
      <c r="H183" s="4">
        <v>0.73708920187793403</v>
      </c>
      <c r="I183" s="4">
        <v>2E-3</v>
      </c>
      <c r="J183" s="4">
        <v>2E-3</v>
      </c>
      <c r="K183" s="5">
        <v>0</v>
      </c>
      <c r="L183" s="5">
        <v>0</v>
      </c>
      <c r="M183" s="5">
        <v>100</v>
      </c>
      <c r="N183" s="5">
        <v>100</v>
      </c>
      <c r="O183" s="2">
        <v>1.4740332754278975</v>
      </c>
      <c r="P183" s="2">
        <v>1.3359404749742749</v>
      </c>
      <c r="Q183" s="2">
        <v>2.0020026706730793E-3</v>
      </c>
      <c r="R183" s="2">
        <v>2.0020026706730793E-3</v>
      </c>
    </row>
    <row r="184" spans="1:18" x14ac:dyDescent="0.3">
      <c r="A184" s="7">
        <v>626</v>
      </c>
      <c r="B184" s="7">
        <v>393</v>
      </c>
      <c r="C184" s="7">
        <v>0</v>
      </c>
      <c r="D184" s="7">
        <v>0</v>
      </c>
      <c r="E184" s="20" t="str">
        <f t="shared" si="2"/>
        <v>00</v>
      </c>
      <c r="F184" s="21">
        <v>0.15382160252712601</v>
      </c>
      <c r="G184" s="4">
        <v>0.307</v>
      </c>
      <c r="H184" s="4">
        <v>0.29065040650406498</v>
      </c>
      <c r="I184" s="4">
        <v>2E-3</v>
      </c>
      <c r="J184" s="4">
        <v>3.0000000000000001E-3</v>
      </c>
      <c r="K184" s="5">
        <v>100</v>
      </c>
      <c r="L184" s="5">
        <v>100</v>
      </c>
      <c r="M184" s="5">
        <v>100</v>
      </c>
      <c r="N184" s="5">
        <v>100</v>
      </c>
      <c r="O184" s="2">
        <v>0.36672527979223374</v>
      </c>
      <c r="P184" s="2">
        <v>0.3434067942898808</v>
      </c>
      <c r="Q184" s="2">
        <v>2.0020026706730793E-3</v>
      </c>
      <c r="R184" s="2">
        <v>3.0045090202987243E-3</v>
      </c>
    </row>
    <row r="185" spans="1:18" x14ac:dyDescent="0.3">
      <c r="A185" s="7">
        <v>249</v>
      </c>
      <c r="B185" s="7">
        <v>375</v>
      </c>
      <c r="C185" s="7">
        <v>0</v>
      </c>
      <c r="D185" s="7">
        <v>0</v>
      </c>
      <c r="E185" s="20" t="str">
        <f t="shared" si="2"/>
        <v>00</v>
      </c>
      <c r="F185" s="21">
        <v>0.15441245900553999</v>
      </c>
      <c r="G185" s="4">
        <v>0.10299999999999999</v>
      </c>
      <c r="H185" s="4">
        <v>9.4949494949495006E-2</v>
      </c>
      <c r="I185" s="4">
        <v>6.0000000000000001E-3</v>
      </c>
      <c r="J185" s="4">
        <v>3.0000000000000001E-3</v>
      </c>
      <c r="K185" s="5">
        <v>100</v>
      </c>
      <c r="L185" s="5">
        <v>100</v>
      </c>
      <c r="M185" s="5">
        <v>100</v>
      </c>
      <c r="N185" s="5">
        <v>100</v>
      </c>
      <c r="O185" s="2">
        <v>0.10869941692334091</v>
      </c>
      <c r="P185" s="2">
        <v>9.9764530153705205E-2</v>
      </c>
      <c r="Q185" s="2">
        <v>6.0180723255630212E-3</v>
      </c>
      <c r="R185" s="2">
        <v>3.0045090202987243E-3</v>
      </c>
    </row>
    <row r="186" spans="1:18" x14ac:dyDescent="0.3">
      <c r="A186" s="7">
        <v>84</v>
      </c>
      <c r="B186" s="7">
        <v>374</v>
      </c>
      <c r="C186" s="7">
        <v>0</v>
      </c>
      <c r="D186" s="7">
        <v>0</v>
      </c>
      <c r="E186" s="20" t="str">
        <f t="shared" si="2"/>
        <v>00</v>
      </c>
      <c r="F186" s="21">
        <v>0.15715028952039201</v>
      </c>
      <c r="G186" s="4">
        <v>0.121</v>
      </c>
      <c r="H186" s="4">
        <v>0.10621242484969901</v>
      </c>
      <c r="I186" s="4">
        <v>8.0000000000000002E-3</v>
      </c>
      <c r="J186" s="4">
        <v>7.0000000000000001E-3</v>
      </c>
      <c r="K186" s="5">
        <v>100</v>
      </c>
      <c r="L186" s="5">
        <v>100</v>
      </c>
      <c r="M186" s="5">
        <v>100</v>
      </c>
      <c r="N186" s="5">
        <v>100</v>
      </c>
      <c r="O186" s="2">
        <v>0.12897038129696006</v>
      </c>
      <c r="P186" s="2">
        <v>0.1122871437314541</v>
      </c>
      <c r="Q186" s="2">
        <v>8.0321716972642666E-3</v>
      </c>
      <c r="R186" s="2">
        <v>7.0246149369644663E-3</v>
      </c>
    </row>
    <row r="187" spans="1:18" x14ac:dyDescent="0.3">
      <c r="A187" s="7">
        <v>185</v>
      </c>
      <c r="B187" s="7">
        <v>358</v>
      </c>
      <c r="C187" s="7">
        <v>0</v>
      </c>
      <c r="D187" s="7">
        <v>0</v>
      </c>
      <c r="E187" s="20" t="str">
        <f t="shared" si="2"/>
        <v>00</v>
      </c>
      <c r="F187" s="21">
        <v>0.159034667047915</v>
      </c>
      <c r="G187" s="4">
        <v>0.13600000000000001</v>
      </c>
      <c r="H187" s="4">
        <v>0.117525773195876</v>
      </c>
      <c r="I187" s="4">
        <v>6.0000000000000001E-3</v>
      </c>
      <c r="J187" s="4">
        <v>8.0000000000000002E-3</v>
      </c>
      <c r="K187" s="5">
        <v>100</v>
      </c>
      <c r="L187" s="5">
        <v>100</v>
      </c>
      <c r="M187" s="5">
        <v>100</v>
      </c>
      <c r="N187" s="5">
        <v>100</v>
      </c>
      <c r="O187" s="2">
        <v>0.14618251017808145</v>
      </c>
      <c r="P187" s="2">
        <v>0.12502569535568606</v>
      </c>
      <c r="Q187" s="2">
        <v>6.0180723255630212E-3</v>
      </c>
      <c r="R187" s="2">
        <v>8.0321716972642666E-3</v>
      </c>
    </row>
    <row r="188" spans="1:18" x14ac:dyDescent="0.3">
      <c r="A188" s="7">
        <v>744</v>
      </c>
      <c r="B188" s="7">
        <v>380</v>
      </c>
      <c r="C188" s="7">
        <v>0</v>
      </c>
      <c r="D188" s="7">
        <v>0</v>
      </c>
      <c r="E188" s="20" t="str">
        <f t="shared" si="2"/>
        <v>00</v>
      </c>
      <c r="F188" s="21">
        <v>0.15904218165711601</v>
      </c>
      <c r="G188" s="4">
        <v>0.224</v>
      </c>
      <c r="H188" s="4">
        <v>0.19959266802444001</v>
      </c>
      <c r="I188" s="4">
        <v>4.0000000000000001E-3</v>
      </c>
      <c r="J188" s="4">
        <v>6.0000000000000001E-3</v>
      </c>
      <c r="K188" s="5">
        <v>100</v>
      </c>
      <c r="L188" s="5">
        <v>100</v>
      </c>
      <c r="M188" s="5">
        <v>100</v>
      </c>
      <c r="N188" s="5">
        <v>100</v>
      </c>
      <c r="O188" s="2">
        <v>0.25360275879891825</v>
      </c>
      <c r="P188" s="2">
        <v>0.22263451592525943</v>
      </c>
      <c r="Q188" s="2">
        <v>4.0080213975388218E-3</v>
      </c>
      <c r="R188" s="2">
        <v>6.0180723255630212E-3</v>
      </c>
    </row>
    <row r="189" spans="1:18" x14ac:dyDescent="0.3">
      <c r="A189" s="7">
        <v>457</v>
      </c>
      <c r="B189" s="7">
        <v>371</v>
      </c>
      <c r="C189" s="7">
        <v>0</v>
      </c>
      <c r="D189" s="7">
        <v>0</v>
      </c>
      <c r="E189" s="20" t="str">
        <f t="shared" si="2"/>
        <v>00</v>
      </c>
      <c r="F189" s="21">
        <v>0.160001850028437</v>
      </c>
      <c r="G189" s="4">
        <v>5.8000000000000003E-2</v>
      </c>
      <c r="H189" s="4">
        <v>5.2738336713995901E-2</v>
      </c>
      <c r="I189" s="4">
        <v>0.01</v>
      </c>
      <c r="J189" s="4">
        <v>2.4E-2</v>
      </c>
      <c r="K189" s="5">
        <v>100</v>
      </c>
      <c r="L189" s="5">
        <v>100</v>
      </c>
      <c r="M189" s="5">
        <v>100</v>
      </c>
      <c r="N189" s="5">
        <v>100</v>
      </c>
      <c r="O189" s="2">
        <v>5.9750004405774049E-2</v>
      </c>
      <c r="P189" s="2">
        <v>5.4179916373792707E-2</v>
      </c>
      <c r="Q189" s="2">
        <v>1.0050335853501451E-2</v>
      </c>
      <c r="R189" s="2">
        <v>2.4292692569044587E-2</v>
      </c>
    </row>
    <row r="190" spans="1:18" x14ac:dyDescent="0.3">
      <c r="A190" s="7">
        <v>141</v>
      </c>
      <c r="B190" s="7">
        <v>383</v>
      </c>
      <c r="C190" s="7">
        <v>0</v>
      </c>
      <c r="D190" s="7">
        <v>0</v>
      </c>
      <c r="E190" s="20" t="str">
        <f t="shared" si="2"/>
        <v>00</v>
      </c>
      <c r="F190" s="21">
        <v>0.16048402973647899</v>
      </c>
      <c r="G190" s="4">
        <v>0.17</v>
      </c>
      <c r="H190" s="4">
        <v>0.13645621181262699</v>
      </c>
      <c r="I190" s="4">
        <v>4.0000000000000001E-3</v>
      </c>
      <c r="J190" s="4">
        <v>7.0000000000000001E-3</v>
      </c>
      <c r="K190" s="5">
        <v>100</v>
      </c>
      <c r="L190" s="5">
        <v>100</v>
      </c>
      <c r="M190" s="5">
        <v>100</v>
      </c>
      <c r="N190" s="5">
        <v>100</v>
      </c>
      <c r="O190" s="2">
        <v>0.18632957819149348</v>
      </c>
      <c r="P190" s="2">
        <v>0.14671067256256248</v>
      </c>
      <c r="Q190" s="2">
        <v>4.0080213975388218E-3</v>
      </c>
      <c r="R190" s="2">
        <v>7.0246149369644663E-3</v>
      </c>
    </row>
    <row r="191" spans="1:18" x14ac:dyDescent="0.3">
      <c r="A191" s="7">
        <v>123</v>
      </c>
      <c r="B191" s="7">
        <v>404</v>
      </c>
      <c r="C191" s="7">
        <v>0</v>
      </c>
      <c r="D191" s="7">
        <v>0</v>
      </c>
      <c r="E191" s="20" t="str">
        <f t="shared" si="2"/>
        <v>00</v>
      </c>
      <c r="F191" s="21">
        <v>0.16051342299657101</v>
      </c>
      <c r="G191" s="4">
        <v>0.23300000000000001</v>
      </c>
      <c r="H191" s="4">
        <v>0.23045267489711899</v>
      </c>
      <c r="I191" s="4">
        <v>8.9999999999999993E-3</v>
      </c>
      <c r="J191" s="4">
        <v>5.0000000000000001E-3</v>
      </c>
      <c r="K191" s="5">
        <v>100</v>
      </c>
      <c r="L191" s="5">
        <v>100</v>
      </c>
      <c r="M191" s="5">
        <v>100</v>
      </c>
      <c r="N191" s="5">
        <v>100</v>
      </c>
      <c r="O191" s="2">
        <v>0.26526847761488087</v>
      </c>
      <c r="P191" s="2">
        <v>0.26195282648596135</v>
      </c>
      <c r="Q191" s="2">
        <v>9.0407446521490707E-3</v>
      </c>
      <c r="R191" s="2">
        <v>5.0125418235442863E-3</v>
      </c>
    </row>
    <row r="192" spans="1:18" x14ac:dyDescent="0.3">
      <c r="A192" s="7">
        <v>516</v>
      </c>
      <c r="B192" s="7">
        <v>373</v>
      </c>
      <c r="C192" s="7">
        <v>0</v>
      </c>
      <c r="D192" s="7">
        <v>0</v>
      </c>
      <c r="E192" s="20" t="str">
        <f t="shared" si="2"/>
        <v>00</v>
      </c>
      <c r="F192" s="21">
        <v>0.160877360809877</v>
      </c>
      <c r="G192" s="4">
        <v>4.2000000000000003E-2</v>
      </c>
      <c r="H192" s="4">
        <v>4.2338709677419401E-2</v>
      </c>
      <c r="I192" s="4">
        <v>5.0000000000000001E-3</v>
      </c>
      <c r="J192" s="4">
        <v>3.0000000000000001E-3</v>
      </c>
      <c r="K192" s="5">
        <v>100</v>
      </c>
      <c r="L192" s="5">
        <v>100</v>
      </c>
      <c r="M192" s="5">
        <v>100</v>
      </c>
      <c r="N192" s="5">
        <v>100</v>
      </c>
      <c r="O192" s="2">
        <v>4.290750101127655E-2</v>
      </c>
      <c r="P192" s="2">
        <v>4.3261122690286292E-2</v>
      </c>
      <c r="Q192" s="2">
        <v>5.0125418235442863E-3</v>
      </c>
      <c r="R192" s="2">
        <v>3.0045090202987243E-3</v>
      </c>
    </row>
    <row r="193" spans="1:18" x14ac:dyDescent="0.3">
      <c r="A193" s="7">
        <v>90</v>
      </c>
      <c r="B193" s="7">
        <v>380</v>
      </c>
      <c r="C193" s="7">
        <v>0</v>
      </c>
      <c r="D193" s="7">
        <v>0</v>
      </c>
      <c r="E193" s="20" t="str">
        <f t="shared" si="2"/>
        <v>00</v>
      </c>
      <c r="F193" s="21">
        <v>0.161148488662366</v>
      </c>
      <c r="G193" s="4">
        <v>0.28999999999999998</v>
      </c>
      <c r="H193" s="4">
        <v>0.23427331887201699</v>
      </c>
      <c r="I193" s="4">
        <v>5.0000000000000001E-3</v>
      </c>
      <c r="J193" s="4">
        <v>5.0000000000000001E-3</v>
      </c>
      <c r="K193" s="5">
        <v>100</v>
      </c>
      <c r="L193" s="5">
        <v>100</v>
      </c>
      <c r="M193" s="5">
        <v>100</v>
      </c>
      <c r="N193" s="5">
        <v>100</v>
      </c>
      <c r="O193" s="2">
        <v>0.34249030894677601</v>
      </c>
      <c r="P193" s="2">
        <v>0.26692998606335122</v>
      </c>
      <c r="Q193" s="2">
        <v>5.0125418235442863E-3</v>
      </c>
      <c r="R193" s="2">
        <v>5.0125418235442863E-3</v>
      </c>
    </row>
    <row r="194" spans="1:18" x14ac:dyDescent="0.3">
      <c r="A194" s="7">
        <v>308</v>
      </c>
      <c r="B194" s="7">
        <v>387</v>
      </c>
      <c r="C194" s="7">
        <v>0</v>
      </c>
      <c r="D194" s="7">
        <v>0</v>
      </c>
      <c r="E194" s="20" t="str">
        <f t="shared" ref="E194:E257" si="3">_xlfn.CONCAT(C194,D194)</f>
        <v>00</v>
      </c>
      <c r="F194" s="21">
        <v>0.16144115324733799</v>
      </c>
      <c r="G194" s="4">
        <v>0.253</v>
      </c>
      <c r="H194" s="4">
        <v>0.23711340206185599</v>
      </c>
      <c r="I194" s="4">
        <v>8.0000000000000002E-3</v>
      </c>
      <c r="J194" s="4">
        <v>8.0000000000000002E-3</v>
      </c>
      <c r="K194" s="5">
        <v>100</v>
      </c>
      <c r="L194" s="5">
        <v>100</v>
      </c>
      <c r="M194" s="5">
        <v>100</v>
      </c>
      <c r="N194" s="5">
        <v>100</v>
      </c>
      <c r="O194" s="2">
        <v>0.29169009384931976</v>
      </c>
      <c r="P194" s="2">
        <v>0.27064588529921341</v>
      </c>
      <c r="Q194" s="2">
        <v>8.0321716972642666E-3</v>
      </c>
      <c r="R194" s="2">
        <v>8.0321716972642666E-3</v>
      </c>
    </row>
    <row r="195" spans="1:18" x14ac:dyDescent="0.3">
      <c r="A195" s="7">
        <v>582</v>
      </c>
      <c r="B195" s="7">
        <v>364</v>
      </c>
      <c r="C195" s="7">
        <v>0</v>
      </c>
      <c r="D195" s="7">
        <v>0</v>
      </c>
      <c r="E195" s="20" t="str">
        <f t="shared" si="3"/>
        <v>00</v>
      </c>
      <c r="F195" s="21">
        <v>0.163072728645379</v>
      </c>
      <c r="G195" s="4">
        <v>0.182</v>
      </c>
      <c r="H195" s="4">
        <v>0.152866242038217</v>
      </c>
      <c r="I195" s="4">
        <v>0.01</v>
      </c>
      <c r="J195" s="4">
        <v>5.0000000000000001E-3</v>
      </c>
      <c r="K195" s="5">
        <v>100</v>
      </c>
      <c r="L195" s="5">
        <v>100</v>
      </c>
      <c r="M195" s="5">
        <v>100</v>
      </c>
      <c r="N195" s="5">
        <v>100</v>
      </c>
      <c r="O195" s="2">
        <v>0.20089294237938993</v>
      </c>
      <c r="P195" s="2">
        <v>0.16589667712655479</v>
      </c>
      <c r="Q195" s="2">
        <v>1.0050335853501451E-2</v>
      </c>
      <c r="R195" s="2">
        <v>5.0125418235442863E-3</v>
      </c>
    </row>
    <row r="196" spans="1:18" x14ac:dyDescent="0.3">
      <c r="A196" s="7">
        <v>671</v>
      </c>
      <c r="B196" s="7">
        <v>400</v>
      </c>
      <c r="C196" s="7">
        <v>0</v>
      </c>
      <c r="D196" s="7">
        <v>0</v>
      </c>
      <c r="E196" s="20" t="str">
        <f t="shared" si="3"/>
        <v>00</v>
      </c>
      <c r="F196" s="21">
        <v>0.16315769504859001</v>
      </c>
      <c r="G196" s="4">
        <v>0.191</v>
      </c>
      <c r="H196" s="4">
        <v>0.17515274949083501</v>
      </c>
      <c r="I196" s="4">
        <v>5.0000000000000001E-3</v>
      </c>
      <c r="J196" s="4">
        <v>8.9999999999999993E-3</v>
      </c>
      <c r="K196" s="5">
        <v>100</v>
      </c>
      <c r="L196" s="5">
        <v>100</v>
      </c>
      <c r="M196" s="5">
        <v>100</v>
      </c>
      <c r="N196" s="5">
        <v>100</v>
      </c>
      <c r="O196" s="2">
        <v>0.21195636192364545</v>
      </c>
      <c r="P196" s="2">
        <v>0.19255706068798145</v>
      </c>
      <c r="Q196" s="2">
        <v>5.0125418235442863E-3</v>
      </c>
      <c r="R196" s="2">
        <v>9.0407446521490707E-3</v>
      </c>
    </row>
    <row r="197" spans="1:18" x14ac:dyDescent="0.3">
      <c r="A197" s="7">
        <v>453</v>
      </c>
      <c r="B197" s="7">
        <v>355</v>
      </c>
      <c r="C197" s="7">
        <v>0</v>
      </c>
      <c r="D197" s="7">
        <v>0</v>
      </c>
      <c r="E197" s="20" t="str">
        <f t="shared" si="3"/>
        <v>00</v>
      </c>
      <c r="F197" s="21">
        <v>0.16437284259453999</v>
      </c>
      <c r="G197" s="4">
        <v>0.17100000000000001</v>
      </c>
      <c r="H197" s="4">
        <v>0.17171717171717199</v>
      </c>
      <c r="I197" s="4">
        <v>4.0000000000000001E-3</v>
      </c>
      <c r="J197" s="4">
        <v>1E-3</v>
      </c>
      <c r="K197" s="5">
        <v>100</v>
      </c>
      <c r="L197" s="5">
        <v>100</v>
      </c>
      <c r="M197" s="5">
        <v>100</v>
      </c>
      <c r="N197" s="5">
        <v>100</v>
      </c>
      <c r="O197" s="2">
        <v>0.18753512384684212</v>
      </c>
      <c r="P197" s="2">
        <v>0.18840060287033708</v>
      </c>
      <c r="Q197" s="2">
        <v>4.0080213975388218E-3</v>
      </c>
      <c r="R197" s="2">
        <v>1.0005003335835344E-3</v>
      </c>
    </row>
    <row r="198" spans="1:18" x14ac:dyDescent="0.3">
      <c r="A198" s="7">
        <v>805</v>
      </c>
      <c r="B198" s="7">
        <v>371</v>
      </c>
      <c r="C198" s="7">
        <v>0</v>
      </c>
      <c r="D198" s="7">
        <v>0</v>
      </c>
      <c r="E198" s="20" t="str">
        <f t="shared" si="3"/>
        <v>00</v>
      </c>
      <c r="F198" s="21">
        <v>0.16477170433315</v>
      </c>
      <c r="G198" s="4">
        <v>0.123</v>
      </c>
      <c r="H198" s="4">
        <v>9.5918367346938802E-2</v>
      </c>
      <c r="I198" s="4">
        <v>0.01</v>
      </c>
      <c r="J198" s="4">
        <v>5.0000000000000001E-3</v>
      </c>
      <c r="K198" s="5">
        <v>100</v>
      </c>
      <c r="L198" s="5">
        <v>100</v>
      </c>
      <c r="M198" s="5">
        <v>100</v>
      </c>
      <c r="N198" s="5">
        <v>100</v>
      </c>
      <c r="O198" s="2">
        <v>0.13124828660995402</v>
      </c>
      <c r="P198" s="2">
        <v>0.1008356210595367</v>
      </c>
      <c r="Q198" s="2">
        <v>1.0050335853501451E-2</v>
      </c>
      <c r="R198" s="2">
        <v>5.0125418235442863E-3</v>
      </c>
    </row>
    <row r="199" spans="1:18" x14ac:dyDescent="0.3">
      <c r="A199" s="7">
        <v>473</v>
      </c>
      <c r="B199" s="7">
        <v>378</v>
      </c>
      <c r="C199" s="7">
        <v>0</v>
      </c>
      <c r="D199" s="7">
        <v>0</v>
      </c>
      <c r="E199" s="20" t="str">
        <f t="shared" si="3"/>
        <v>00</v>
      </c>
      <c r="F199" s="21">
        <v>0.167076346830905</v>
      </c>
      <c r="G199" s="4">
        <v>0.25700000000000001</v>
      </c>
      <c r="H199" s="4">
        <v>0.216386554621849</v>
      </c>
      <c r="I199" s="4">
        <v>7.0000000000000001E-3</v>
      </c>
      <c r="J199" s="4">
        <v>6.0000000000000001E-3</v>
      </c>
      <c r="K199" s="5">
        <v>100</v>
      </c>
      <c r="L199" s="5">
        <v>100</v>
      </c>
      <c r="M199" s="5">
        <v>100</v>
      </c>
      <c r="N199" s="5">
        <v>100</v>
      </c>
      <c r="O199" s="2">
        <v>0.29705923426437791</v>
      </c>
      <c r="P199" s="2">
        <v>0.24383943458760476</v>
      </c>
      <c r="Q199" s="2">
        <v>7.0246149369644663E-3</v>
      </c>
      <c r="R199" s="2">
        <v>6.0180723255630212E-3</v>
      </c>
    </row>
    <row r="200" spans="1:18" x14ac:dyDescent="0.3">
      <c r="A200" s="7">
        <v>191</v>
      </c>
      <c r="B200" s="7">
        <v>395</v>
      </c>
      <c r="C200" s="7">
        <v>0</v>
      </c>
      <c r="D200" s="7">
        <v>0</v>
      </c>
      <c r="E200" s="20" t="str">
        <f t="shared" si="3"/>
        <v>00</v>
      </c>
      <c r="F200" s="21">
        <v>0.16760280167622299</v>
      </c>
      <c r="G200" s="4">
        <v>0.33</v>
      </c>
      <c r="H200" s="4">
        <v>0.29460580912863099</v>
      </c>
      <c r="I200" s="4">
        <v>5.0000000000000001E-3</v>
      </c>
      <c r="J200" s="4">
        <v>4.0000000000000001E-3</v>
      </c>
      <c r="K200" s="5">
        <v>100</v>
      </c>
      <c r="L200" s="5">
        <v>100</v>
      </c>
      <c r="M200" s="5">
        <v>100</v>
      </c>
      <c r="N200" s="5">
        <v>100</v>
      </c>
      <c r="O200" s="2">
        <v>0.40047756659712541</v>
      </c>
      <c r="P200" s="2">
        <v>0.34899849644039366</v>
      </c>
      <c r="Q200" s="2">
        <v>5.0125418235442863E-3</v>
      </c>
      <c r="R200" s="2">
        <v>4.0080213975388218E-3</v>
      </c>
    </row>
    <row r="201" spans="1:18" x14ac:dyDescent="0.3">
      <c r="A201" s="7">
        <v>633</v>
      </c>
      <c r="B201" s="7">
        <v>356</v>
      </c>
      <c r="C201" s="7">
        <v>0</v>
      </c>
      <c r="D201" s="7">
        <v>0</v>
      </c>
      <c r="E201" s="20" t="str">
        <f t="shared" si="3"/>
        <v>00</v>
      </c>
      <c r="F201" s="21">
        <v>0.168010668734279</v>
      </c>
      <c r="G201" s="4">
        <v>0.122</v>
      </c>
      <c r="H201" s="4">
        <v>0.12753036437247001</v>
      </c>
      <c r="I201" s="4">
        <v>5.0000000000000001E-3</v>
      </c>
      <c r="J201" s="4">
        <v>2E-3</v>
      </c>
      <c r="K201" s="5">
        <v>100</v>
      </c>
      <c r="L201" s="5">
        <v>100</v>
      </c>
      <c r="M201" s="5">
        <v>100</v>
      </c>
      <c r="N201" s="5">
        <v>100</v>
      </c>
      <c r="O201" s="2">
        <v>0.13010868534702039</v>
      </c>
      <c r="P201" s="2">
        <v>0.13642742708417513</v>
      </c>
      <c r="Q201" s="2">
        <v>5.0125418235442863E-3</v>
      </c>
      <c r="R201" s="2">
        <v>2.0020026706730793E-3</v>
      </c>
    </row>
    <row r="202" spans="1:18" x14ac:dyDescent="0.3">
      <c r="A202" s="7">
        <v>849</v>
      </c>
      <c r="B202" s="7">
        <v>366</v>
      </c>
      <c r="C202" s="7">
        <v>0</v>
      </c>
      <c r="D202" s="7">
        <v>0</v>
      </c>
      <c r="E202" s="20" t="str">
        <f t="shared" si="3"/>
        <v>00</v>
      </c>
      <c r="F202" s="21">
        <v>0.16939334123477101</v>
      </c>
      <c r="G202" s="4">
        <v>0.188</v>
      </c>
      <c r="H202" s="4">
        <v>0.186234817813765</v>
      </c>
      <c r="I202" s="4">
        <v>2E-3</v>
      </c>
      <c r="J202" s="4">
        <v>4.0000000000000001E-3</v>
      </c>
      <c r="K202" s="5">
        <v>100</v>
      </c>
      <c r="L202" s="5">
        <v>100</v>
      </c>
      <c r="M202" s="5">
        <v>100</v>
      </c>
      <c r="N202" s="5">
        <v>100</v>
      </c>
      <c r="O202" s="2">
        <v>0.20825493882045903</v>
      </c>
      <c r="P202" s="2">
        <v>0.20608342856890116</v>
      </c>
      <c r="Q202" s="2">
        <v>2.0020026706730793E-3</v>
      </c>
      <c r="R202" s="2">
        <v>4.0080213975388218E-3</v>
      </c>
    </row>
    <row r="203" spans="1:18" x14ac:dyDescent="0.3">
      <c r="A203" s="7">
        <v>590</v>
      </c>
      <c r="B203" s="7">
        <v>381</v>
      </c>
      <c r="C203" s="7">
        <v>0</v>
      </c>
      <c r="D203" s="7">
        <v>0</v>
      </c>
      <c r="E203" s="20" t="str">
        <f t="shared" si="3"/>
        <v>00</v>
      </c>
      <c r="F203" s="21">
        <v>0.170020624016926</v>
      </c>
      <c r="G203" s="4">
        <v>0.21099999999999999</v>
      </c>
      <c r="H203" s="4">
        <v>0.20773930753564199</v>
      </c>
      <c r="I203" s="4">
        <v>3.0000000000000001E-3</v>
      </c>
      <c r="J203" s="4">
        <v>6.0000000000000001E-3</v>
      </c>
      <c r="K203" s="5">
        <v>100</v>
      </c>
      <c r="L203" s="5">
        <v>100</v>
      </c>
      <c r="M203" s="5">
        <v>100</v>
      </c>
      <c r="N203" s="5">
        <v>100</v>
      </c>
      <c r="O203" s="2">
        <v>0.23698895813626278</v>
      </c>
      <c r="P203" s="2">
        <v>0.23286478417607481</v>
      </c>
      <c r="Q203" s="2">
        <v>3.0045090202987243E-3</v>
      </c>
      <c r="R203" s="2">
        <v>6.0180723255630212E-3</v>
      </c>
    </row>
    <row r="204" spans="1:18" x14ac:dyDescent="0.3">
      <c r="A204" s="7">
        <v>451</v>
      </c>
      <c r="B204" s="7">
        <v>368</v>
      </c>
      <c r="C204" s="7">
        <v>0</v>
      </c>
      <c r="D204" s="7">
        <v>0</v>
      </c>
      <c r="E204" s="20" t="str">
        <f t="shared" si="3"/>
        <v>00</v>
      </c>
      <c r="F204" s="21">
        <v>0.17028293337092301</v>
      </c>
      <c r="G204" s="4">
        <v>0.14699999999999999</v>
      </c>
      <c r="H204" s="4">
        <v>0.11934156378600801</v>
      </c>
      <c r="I204" s="4">
        <v>0.01</v>
      </c>
      <c r="J204" s="4">
        <v>5.0000000000000001E-3</v>
      </c>
      <c r="K204" s="5">
        <v>100</v>
      </c>
      <c r="L204" s="5">
        <v>100</v>
      </c>
      <c r="M204" s="5">
        <v>100</v>
      </c>
      <c r="N204" s="5">
        <v>100</v>
      </c>
      <c r="O204" s="2">
        <v>0.15899573149045795</v>
      </c>
      <c r="P204" s="2">
        <v>0.12708542831869674</v>
      </c>
      <c r="Q204" s="2">
        <v>1.0050335853501451E-2</v>
      </c>
      <c r="R204" s="2">
        <v>5.0125418235442863E-3</v>
      </c>
    </row>
    <row r="205" spans="1:18" x14ac:dyDescent="0.3">
      <c r="A205" s="7">
        <v>500</v>
      </c>
      <c r="B205" s="7">
        <v>361</v>
      </c>
      <c r="C205" s="7">
        <v>0</v>
      </c>
      <c r="D205" s="7">
        <v>0</v>
      </c>
      <c r="E205" s="20" t="str">
        <f t="shared" si="3"/>
        <v>00</v>
      </c>
      <c r="F205" s="21">
        <v>0.170362379735883</v>
      </c>
      <c r="G205" s="4">
        <v>0.14299999999999999</v>
      </c>
      <c r="H205" s="4">
        <v>0.13078470824949701</v>
      </c>
      <c r="I205" s="4">
        <v>7.0000000000000001E-3</v>
      </c>
      <c r="J205" s="4">
        <v>8.0000000000000002E-3</v>
      </c>
      <c r="K205" s="5">
        <v>100</v>
      </c>
      <c r="L205" s="5">
        <v>100</v>
      </c>
      <c r="M205" s="5">
        <v>100</v>
      </c>
      <c r="N205" s="5">
        <v>100</v>
      </c>
      <c r="O205" s="2">
        <v>0.15431736038435728</v>
      </c>
      <c r="P205" s="2">
        <v>0.1401644378525185</v>
      </c>
      <c r="Q205" s="2">
        <v>7.0246149369644663E-3</v>
      </c>
      <c r="R205" s="2">
        <v>8.0321716972642666E-3</v>
      </c>
    </row>
    <row r="206" spans="1:18" x14ac:dyDescent="0.3">
      <c r="A206" s="7">
        <v>388</v>
      </c>
      <c r="B206" s="7">
        <v>376</v>
      </c>
      <c r="C206" s="7">
        <v>0</v>
      </c>
      <c r="D206" s="7">
        <v>0</v>
      </c>
      <c r="E206" s="20" t="str">
        <f t="shared" si="3"/>
        <v>00</v>
      </c>
      <c r="F206" s="21">
        <v>0.170367748712102</v>
      </c>
      <c r="G206" s="4">
        <v>0.23699999999999999</v>
      </c>
      <c r="H206" s="4">
        <v>0.23481781376518199</v>
      </c>
      <c r="I206" s="4">
        <v>6.0000000000000001E-3</v>
      </c>
      <c r="J206" s="4">
        <v>8.9999999999999993E-3</v>
      </c>
      <c r="K206" s="5">
        <v>100</v>
      </c>
      <c r="L206" s="5">
        <v>100</v>
      </c>
      <c r="M206" s="5">
        <v>100</v>
      </c>
      <c r="N206" s="5">
        <v>100</v>
      </c>
      <c r="O206" s="2">
        <v>0.27049724769768002</v>
      </c>
      <c r="P206" s="2">
        <v>0.26764132156833453</v>
      </c>
      <c r="Q206" s="2">
        <v>6.0180723255630212E-3</v>
      </c>
      <c r="R206" s="2">
        <v>9.0407446521490707E-3</v>
      </c>
    </row>
    <row r="207" spans="1:18" x14ac:dyDescent="0.3">
      <c r="A207" s="7">
        <v>492</v>
      </c>
      <c r="B207" s="7">
        <v>359</v>
      </c>
      <c r="C207" s="7">
        <v>0</v>
      </c>
      <c r="D207" s="7">
        <v>0</v>
      </c>
      <c r="E207" s="20" t="str">
        <f t="shared" si="3"/>
        <v>00</v>
      </c>
      <c r="F207" s="21">
        <v>0.171242255313139</v>
      </c>
      <c r="G207" s="4">
        <v>0.36299999999999999</v>
      </c>
      <c r="H207" s="4">
        <v>0.329218106995885</v>
      </c>
      <c r="I207" s="4">
        <v>4.0000000000000001E-3</v>
      </c>
      <c r="J207" s="4">
        <v>8.0000000000000002E-3</v>
      </c>
      <c r="K207" s="5">
        <v>100</v>
      </c>
      <c r="L207" s="5">
        <v>100</v>
      </c>
      <c r="M207" s="5">
        <v>100</v>
      </c>
      <c r="N207" s="5">
        <v>100</v>
      </c>
      <c r="O207" s="2">
        <v>0.45098562340997367</v>
      </c>
      <c r="P207" s="2">
        <v>0.39931124253378653</v>
      </c>
      <c r="Q207" s="2">
        <v>4.0080213975388218E-3</v>
      </c>
      <c r="R207" s="2">
        <v>8.0321716972642666E-3</v>
      </c>
    </row>
    <row r="208" spans="1:18" x14ac:dyDescent="0.3">
      <c r="A208" s="7">
        <v>748</v>
      </c>
      <c r="B208" s="7">
        <v>371</v>
      </c>
      <c r="C208" s="7">
        <v>0</v>
      </c>
      <c r="D208" s="7">
        <v>0</v>
      </c>
      <c r="E208" s="20" t="str">
        <f t="shared" si="3"/>
        <v>00</v>
      </c>
      <c r="F208" s="21">
        <v>0.17130718919369101</v>
      </c>
      <c r="G208" s="4">
        <v>0.109</v>
      </c>
      <c r="H208" s="4">
        <v>9.6385542168674704E-2</v>
      </c>
      <c r="I208" s="4">
        <v>6.0000000000000001E-3</v>
      </c>
      <c r="J208" s="4">
        <v>7.0000000000000001E-3</v>
      </c>
      <c r="K208" s="5">
        <v>100</v>
      </c>
      <c r="L208" s="5">
        <v>100</v>
      </c>
      <c r="M208" s="5">
        <v>100</v>
      </c>
      <c r="N208" s="5">
        <v>100</v>
      </c>
      <c r="O208" s="2">
        <v>0.11541085151132773</v>
      </c>
      <c r="P208" s="2">
        <v>0.10135249426028746</v>
      </c>
      <c r="Q208" s="2">
        <v>6.0180723255630212E-3</v>
      </c>
      <c r="R208" s="2">
        <v>7.0246149369644663E-3</v>
      </c>
    </row>
    <row r="209" spans="1:18" x14ac:dyDescent="0.3">
      <c r="A209" s="7">
        <v>958</v>
      </c>
      <c r="B209" s="7">
        <v>364</v>
      </c>
      <c r="C209" s="7">
        <v>0</v>
      </c>
      <c r="D209" s="7">
        <v>0</v>
      </c>
      <c r="E209" s="20" t="str">
        <f t="shared" si="3"/>
        <v>00</v>
      </c>
      <c r="F209" s="21">
        <v>0.17232315698092401</v>
      </c>
      <c r="G209" s="4">
        <v>0.29599999999999999</v>
      </c>
      <c r="H209" s="4">
        <v>0.28920570264765799</v>
      </c>
      <c r="I209" s="4">
        <v>8.0000000000000002E-3</v>
      </c>
      <c r="J209" s="4">
        <v>6.0000000000000001E-3</v>
      </c>
      <c r="K209" s="5">
        <v>100</v>
      </c>
      <c r="L209" s="5">
        <v>100</v>
      </c>
      <c r="M209" s="5">
        <v>100</v>
      </c>
      <c r="N209" s="5">
        <v>100</v>
      </c>
      <c r="O209" s="2">
        <v>0.35097692282409471</v>
      </c>
      <c r="P209" s="2">
        <v>0.34137220559209364</v>
      </c>
      <c r="Q209" s="2">
        <v>8.0321716972642666E-3</v>
      </c>
      <c r="R209" s="2">
        <v>6.0180723255630212E-3</v>
      </c>
    </row>
    <row r="210" spans="1:18" x14ac:dyDescent="0.3">
      <c r="A210" s="7">
        <v>361</v>
      </c>
      <c r="B210" s="7">
        <v>366</v>
      </c>
      <c r="C210" s="7">
        <v>0</v>
      </c>
      <c r="D210" s="7">
        <v>0</v>
      </c>
      <c r="E210" s="20" t="str">
        <f t="shared" si="3"/>
        <v>00</v>
      </c>
      <c r="F210" s="21">
        <v>0.17290121749520199</v>
      </c>
      <c r="G210" s="4">
        <v>0.12</v>
      </c>
      <c r="H210" s="4">
        <v>0.12909836065573799</v>
      </c>
      <c r="I210" s="4">
        <v>8.0000000000000002E-3</v>
      </c>
      <c r="J210" s="4">
        <v>6.0000000000000001E-3</v>
      </c>
      <c r="K210" s="5">
        <v>100</v>
      </c>
      <c r="L210" s="5">
        <v>100</v>
      </c>
      <c r="M210" s="5">
        <v>100</v>
      </c>
      <c r="N210" s="5">
        <v>100</v>
      </c>
      <c r="O210" s="2">
        <v>0.12783337150988489</v>
      </c>
      <c r="P210" s="2">
        <v>0.13822623692873068</v>
      </c>
      <c r="Q210" s="2">
        <v>8.0321716972642666E-3</v>
      </c>
      <c r="R210" s="2">
        <v>6.0180723255630212E-3</v>
      </c>
    </row>
    <row r="211" spans="1:18" x14ac:dyDescent="0.3">
      <c r="A211" s="7">
        <v>826</v>
      </c>
      <c r="B211" s="7">
        <v>354</v>
      </c>
      <c r="C211" s="7">
        <v>0</v>
      </c>
      <c r="D211" s="7">
        <v>0</v>
      </c>
      <c r="E211" s="20" t="str">
        <f t="shared" si="3"/>
        <v>00</v>
      </c>
      <c r="F211" s="21">
        <v>0.17380282373432099</v>
      </c>
      <c r="G211" s="4">
        <v>0.32900000000000001</v>
      </c>
      <c r="H211" s="4">
        <v>0.29303278688524598</v>
      </c>
      <c r="I211" s="4">
        <v>3.0000000000000001E-3</v>
      </c>
      <c r="J211" s="4">
        <v>4.0000000000000001E-3</v>
      </c>
      <c r="K211" s="5">
        <v>100</v>
      </c>
      <c r="L211" s="5">
        <v>100</v>
      </c>
      <c r="M211" s="5">
        <v>100</v>
      </c>
      <c r="N211" s="5">
        <v>100</v>
      </c>
      <c r="O211" s="2">
        <v>0.39898614201045518</v>
      </c>
      <c r="P211" s="2">
        <v>0.34677098882178758</v>
      </c>
      <c r="Q211" s="2">
        <v>3.0045090202987243E-3</v>
      </c>
      <c r="R211" s="2">
        <v>4.0080213975388218E-3</v>
      </c>
    </row>
    <row r="212" spans="1:18" x14ac:dyDescent="0.3">
      <c r="A212" s="7">
        <v>376</v>
      </c>
      <c r="B212" s="7">
        <v>364</v>
      </c>
      <c r="C212" s="7">
        <v>0</v>
      </c>
      <c r="D212" s="7">
        <v>0</v>
      </c>
      <c r="E212" s="20" t="str">
        <f t="shared" si="3"/>
        <v>00</v>
      </c>
      <c r="F212" s="21">
        <v>0.17400100933005999</v>
      </c>
      <c r="G212" s="4">
        <v>0.19800000000000001</v>
      </c>
      <c r="H212" s="4">
        <v>0.17622950819672101</v>
      </c>
      <c r="I212" s="4">
        <v>3.0000000000000001E-3</v>
      </c>
      <c r="J212" s="4">
        <v>8.9999999999999993E-3</v>
      </c>
      <c r="K212" s="5">
        <v>100</v>
      </c>
      <c r="L212" s="5">
        <v>100</v>
      </c>
      <c r="M212" s="5">
        <v>100</v>
      </c>
      <c r="N212" s="5">
        <v>100</v>
      </c>
      <c r="O212" s="2">
        <v>0.2206466711156225</v>
      </c>
      <c r="P212" s="2">
        <v>0.19386331723412575</v>
      </c>
      <c r="Q212" s="2">
        <v>3.0045090202987243E-3</v>
      </c>
      <c r="R212" s="2">
        <v>9.0407446521490707E-3</v>
      </c>
    </row>
    <row r="213" spans="1:18" x14ac:dyDescent="0.3">
      <c r="A213" s="7">
        <v>739</v>
      </c>
      <c r="B213" s="7">
        <v>368</v>
      </c>
      <c r="C213" s="7">
        <v>0</v>
      </c>
      <c r="D213" s="7">
        <v>0</v>
      </c>
      <c r="E213" s="20" t="str">
        <f t="shared" si="3"/>
        <v>00</v>
      </c>
      <c r="F213" s="21">
        <v>0.17535072600382601</v>
      </c>
      <c r="G213" s="4">
        <v>0.16200000000000001</v>
      </c>
      <c r="H213" s="4">
        <v>0.146881287726358</v>
      </c>
      <c r="I213" s="4">
        <v>7.0000000000000001E-3</v>
      </c>
      <c r="J213" s="4">
        <v>8.9999999999999993E-3</v>
      </c>
      <c r="K213" s="5">
        <v>100</v>
      </c>
      <c r="L213" s="5">
        <v>100</v>
      </c>
      <c r="M213" s="5">
        <v>100</v>
      </c>
      <c r="N213" s="5">
        <v>100</v>
      </c>
      <c r="O213" s="2">
        <v>0.17673717850005405</v>
      </c>
      <c r="P213" s="2">
        <v>0.15885657086467078</v>
      </c>
      <c r="Q213" s="2">
        <v>7.0246149369644663E-3</v>
      </c>
      <c r="R213" s="2">
        <v>9.0407446521490707E-3</v>
      </c>
    </row>
    <row r="214" spans="1:18" x14ac:dyDescent="0.3">
      <c r="A214" s="7">
        <v>297</v>
      </c>
      <c r="B214" s="7">
        <v>370</v>
      </c>
      <c r="C214" s="7">
        <v>0</v>
      </c>
      <c r="D214" s="7">
        <v>0</v>
      </c>
      <c r="E214" s="20" t="str">
        <f t="shared" si="3"/>
        <v>00</v>
      </c>
      <c r="F214" s="21">
        <v>0.17779466050748999</v>
      </c>
      <c r="G214" s="4">
        <v>0.13900000000000001</v>
      </c>
      <c r="H214" s="4">
        <v>0.132264529058116</v>
      </c>
      <c r="I214" s="4">
        <v>6.0000000000000001E-3</v>
      </c>
      <c r="J214" s="4">
        <v>3.0000000000000001E-3</v>
      </c>
      <c r="K214" s="5">
        <v>100</v>
      </c>
      <c r="L214" s="5">
        <v>100</v>
      </c>
      <c r="M214" s="5">
        <v>100</v>
      </c>
      <c r="N214" s="5">
        <v>100</v>
      </c>
      <c r="O214" s="2">
        <v>0.14966077455440627</v>
      </c>
      <c r="P214" s="2">
        <v>0.14186836774902858</v>
      </c>
      <c r="Q214" s="2">
        <v>6.0180723255630212E-3</v>
      </c>
      <c r="R214" s="2">
        <v>3.0045090202987243E-3</v>
      </c>
    </row>
    <row r="215" spans="1:18" x14ac:dyDescent="0.3">
      <c r="A215" s="7">
        <v>204</v>
      </c>
      <c r="B215" s="7">
        <v>346</v>
      </c>
      <c r="C215" s="7">
        <v>0</v>
      </c>
      <c r="D215" s="7">
        <v>0</v>
      </c>
      <c r="E215" s="20" t="str">
        <f t="shared" si="3"/>
        <v>00</v>
      </c>
      <c r="F215" s="21">
        <v>0.17822835537314999</v>
      </c>
      <c r="G215" s="4">
        <v>0.23499999999999999</v>
      </c>
      <c r="H215" s="4">
        <v>0.21457489878542499</v>
      </c>
      <c r="I215" s="4">
        <v>4.0000000000000001E-3</v>
      </c>
      <c r="J215" s="4">
        <v>6.0000000000000001E-3</v>
      </c>
      <c r="K215" s="5">
        <v>100</v>
      </c>
      <c r="L215" s="5">
        <v>100</v>
      </c>
      <c r="M215" s="5">
        <v>100</v>
      </c>
      <c r="N215" s="5">
        <v>100</v>
      </c>
      <c r="O215" s="2">
        <v>0.26787944515560119</v>
      </c>
      <c r="P215" s="2">
        <v>0.24153017756464895</v>
      </c>
      <c r="Q215" s="2">
        <v>4.0080213975388218E-3</v>
      </c>
      <c r="R215" s="2">
        <v>6.0180723255630212E-3</v>
      </c>
    </row>
    <row r="216" spans="1:18" x14ac:dyDescent="0.3">
      <c r="A216" s="7">
        <v>98</v>
      </c>
      <c r="B216" s="7">
        <v>380</v>
      </c>
      <c r="C216" s="7">
        <v>0</v>
      </c>
      <c r="D216" s="7">
        <v>0</v>
      </c>
      <c r="E216" s="20" t="str">
        <f t="shared" si="3"/>
        <v>00</v>
      </c>
      <c r="F216" s="21">
        <v>0.178962723664601</v>
      </c>
      <c r="G216" s="4">
        <v>0.28399999999999997</v>
      </c>
      <c r="H216" s="4">
        <v>0.27104722792607799</v>
      </c>
      <c r="I216" s="4">
        <v>8.0000000000000002E-3</v>
      </c>
      <c r="J216" s="4">
        <v>1.4E-2</v>
      </c>
      <c r="K216" s="5">
        <v>100</v>
      </c>
      <c r="L216" s="5">
        <v>100</v>
      </c>
      <c r="M216" s="5">
        <v>100</v>
      </c>
      <c r="N216" s="5">
        <v>100</v>
      </c>
      <c r="O216" s="2">
        <v>0.33407511202149148</v>
      </c>
      <c r="P216" s="2">
        <v>0.31614633360717403</v>
      </c>
      <c r="Q216" s="2">
        <v>8.0321716972642666E-3</v>
      </c>
      <c r="R216" s="2">
        <v>1.4098924379501648E-2</v>
      </c>
    </row>
    <row r="217" spans="1:18" x14ac:dyDescent="0.3">
      <c r="A217" s="7">
        <v>512</v>
      </c>
      <c r="B217" s="7">
        <v>347</v>
      </c>
      <c r="C217" s="7">
        <v>0</v>
      </c>
      <c r="D217" s="7">
        <v>0</v>
      </c>
      <c r="E217" s="20" t="str">
        <f t="shared" si="3"/>
        <v>00</v>
      </c>
      <c r="F217" s="21">
        <v>0.17911162576553</v>
      </c>
      <c r="G217" s="4">
        <v>0.16200000000000001</v>
      </c>
      <c r="H217" s="4">
        <v>0.16633266533066099</v>
      </c>
      <c r="I217" s="4">
        <v>8.9999999999999993E-3</v>
      </c>
      <c r="J217" s="4">
        <v>8.9999999999999993E-3</v>
      </c>
      <c r="K217" s="5">
        <v>100</v>
      </c>
      <c r="L217" s="5">
        <v>100</v>
      </c>
      <c r="M217" s="5">
        <v>100</v>
      </c>
      <c r="N217" s="5">
        <v>100</v>
      </c>
      <c r="O217" s="2">
        <v>0.17673717850005405</v>
      </c>
      <c r="P217" s="2">
        <v>0.18192083549025492</v>
      </c>
      <c r="Q217" s="2">
        <v>9.0407446521490707E-3</v>
      </c>
      <c r="R217" s="2">
        <v>9.0407446521490707E-3</v>
      </c>
    </row>
    <row r="218" spans="1:18" x14ac:dyDescent="0.3">
      <c r="A218" s="7">
        <v>863</v>
      </c>
      <c r="B218" s="7">
        <v>363</v>
      </c>
      <c r="C218" s="7">
        <v>0</v>
      </c>
      <c r="D218" s="7">
        <v>0</v>
      </c>
      <c r="E218" s="20" t="str">
        <f t="shared" si="3"/>
        <v>00</v>
      </c>
      <c r="F218" s="21">
        <v>0.17911516154012699</v>
      </c>
      <c r="G218" s="4">
        <v>0.249</v>
      </c>
      <c r="H218" s="4">
        <v>0.22424242424242399</v>
      </c>
      <c r="I218" s="4">
        <v>1E-3</v>
      </c>
      <c r="J218" s="4">
        <v>3.0000000000000001E-3</v>
      </c>
      <c r="K218" s="5">
        <v>100</v>
      </c>
      <c r="L218" s="5">
        <v>100</v>
      </c>
      <c r="M218" s="5">
        <v>100</v>
      </c>
      <c r="N218" s="5">
        <v>100</v>
      </c>
      <c r="O218" s="2">
        <v>0.28634962721800233</v>
      </c>
      <c r="P218" s="2">
        <v>0.25391520998096317</v>
      </c>
      <c r="Q218" s="2">
        <v>1.0005003335835344E-3</v>
      </c>
      <c r="R218" s="2">
        <v>3.0045090202987243E-3</v>
      </c>
    </row>
    <row r="219" spans="1:18" x14ac:dyDescent="0.3">
      <c r="A219" s="7">
        <v>334</v>
      </c>
      <c r="B219" s="7">
        <v>366</v>
      </c>
      <c r="C219" s="7">
        <v>0</v>
      </c>
      <c r="D219" s="7">
        <v>0</v>
      </c>
      <c r="E219" s="20" t="str">
        <f t="shared" si="3"/>
        <v>00</v>
      </c>
      <c r="F219" s="21">
        <v>0.17943562959947601</v>
      </c>
      <c r="G219" s="4">
        <v>0.33600000000000002</v>
      </c>
      <c r="H219" s="4">
        <v>0.30879345603272002</v>
      </c>
      <c r="I219" s="4">
        <v>2E-3</v>
      </c>
      <c r="J219" s="4">
        <v>7.0000000000000001E-3</v>
      </c>
      <c r="K219" s="5">
        <v>100</v>
      </c>
      <c r="L219" s="5">
        <v>100</v>
      </c>
      <c r="M219" s="5">
        <v>100</v>
      </c>
      <c r="N219" s="5">
        <v>100</v>
      </c>
      <c r="O219" s="2">
        <v>0.4094731295057033</v>
      </c>
      <c r="P219" s="2">
        <v>0.36931659399185351</v>
      </c>
      <c r="Q219" s="2">
        <v>2.0020026706730793E-3</v>
      </c>
      <c r="R219" s="2">
        <v>7.0246149369644663E-3</v>
      </c>
    </row>
    <row r="220" spans="1:18" x14ac:dyDescent="0.3">
      <c r="A220" s="7">
        <v>275</v>
      </c>
      <c r="B220" s="7">
        <v>369</v>
      </c>
      <c r="C220" s="7">
        <v>0</v>
      </c>
      <c r="D220" s="7">
        <v>0</v>
      </c>
      <c r="E220" s="20" t="str">
        <f t="shared" si="3"/>
        <v>00</v>
      </c>
      <c r="F220" s="21">
        <v>0.17981994136929699</v>
      </c>
      <c r="G220" s="4">
        <v>0.122</v>
      </c>
      <c r="H220" s="4">
        <v>0.10101010101010099</v>
      </c>
      <c r="I220" s="4">
        <v>1.2E-2</v>
      </c>
      <c r="J220" s="4">
        <v>7.0000000000000001E-3</v>
      </c>
      <c r="K220" s="5">
        <v>100</v>
      </c>
      <c r="L220" s="5">
        <v>100</v>
      </c>
      <c r="M220" s="5">
        <v>100</v>
      </c>
      <c r="N220" s="5">
        <v>100</v>
      </c>
      <c r="O220" s="2">
        <v>0.13010868534702039</v>
      </c>
      <c r="P220" s="2">
        <v>0.10648348040245006</v>
      </c>
      <c r="Q220" s="2">
        <v>1.2072581234269249E-2</v>
      </c>
      <c r="R220" s="2">
        <v>7.0246149369644663E-3</v>
      </c>
    </row>
    <row r="221" spans="1:18" x14ac:dyDescent="0.3">
      <c r="A221" s="7">
        <v>657</v>
      </c>
      <c r="B221" s="7">
        <v>374</v>
      </c>
      <c r="C221" s="7">
        <v>0</v>
      </c>
      <c r="D221" s="7">
        <v>0</v>
      </c>
      <c r="E221" s="20" t="str">
        <f t="shared" si="3"/>
        <v>00</v>
      </c>
      <c r="F221" s="21">
        <v>0.18219596360455401</v>
      </c>
      <c r="G221" s="4">
        <v>7.3999999999999996E-2</v>
      </c>
      <c r="H221" s="4">
        <v>6.82730923694779E-2</v>
      </c>
      <c r="I221" s="4">
        <v>4.0000000000000001E-3</v>
      </c>
      <c r="J221" s="4">
        <v>1E-3</v>
      </c>
      <c r="K221" s="5">
        <v>100</v>
      </c>
      <c r="L221" s="5">
        <v>100</v>
      </c>
      <c r="M221" s="5">
        <v>100</v>
      </c>
      <c r="N221" s="5">
        <v>100</v>
      </c>
      <c r="O221" s="2">
        <v>7.6881044335957618E-2</v>
      </c>
      <c r="P221" s="2">
        <v>7.0715524798397614E-2</v>
      </c>
      <c r="Q221" s="2">
        <v>4.0080213975388218E-3</v>
      </c>
      <c r="R221" s="2">
        <v>1.0005003335835344E-3</v>
      </c>
    </row>
    <row r="222" spans="1:18" x14ac:dyDescent="0.3">
      <c r="A222" s="7">
        <v>763</v>
      </c>
      <c r="B222" s="7">
        <v>351</v>
      </c>
      <c r="C222" s="7">
        <v>0</v>
      </c>
      <c r="D222" s="7">
        <v>0</v>
      </c>
      <c r="E222" s="20" t="str">
        <f t="shared" si="3"/>
        <v>00</v>
      </c>
      <c r="F222" s="21">
        <v>0.18293607468803399</v>
      </c>
      <c r="G222" s="4">
        <v>0.42399999999999999</v>
      </c>
      <c r="H222" s="4">
        <v>0.35159817351598199</v>
      </c>
      <c r="I222" s="4">
        <v>2E-3</v>
      </c>
      <c r="J222" s="4">
        <v>1E-3</v>
      </c>
      <c r="K222" s="5">
        <v>100</v>
      </c>
      <c r="L222" s="5">
        <v>100</v>
      </c>
      <c r="M222" s="5">
        <v>100</v>
      </c>
      <c r="N222" s="5">
        <v>100</v>
      </c>
      <c r="O222" s="2">
        <v>0.55164761828624564</v>
      </c>
      <c r="P222" s="2">
        <v>0.43324467221524049</v>
      </c>
      <c r="Q222" s="2">
        <v>2.0020026706730793E-3</v>
      </c>
      <c r="R222" s="2">
        <v>1.0005003335835344E-3</v>
      </c>
    </row>
    <row r="223" spans="1:18" x14ac:dyDescent="0.3">
      <c r="A223" s="7">
        <v>536</v>
      </c>
      <c r="B223" s="7">
        <v>368</v>
      </c>
      <c r="C223" s="7">
        <v>0</v>
      </c>
      <c r="D223" s="7">
        <v>0</v>
      </c>
      <c r="E223" s="20" t="str">
        <f t="shared" si="3"/>
        <v>00</v>
      </c>
      <c r="F223" s="21">
        <v>0.183172761130384</v>
      </c>
      <c r="G223" s="4">
        <v>0.11700000000000001</v>
      </c>
      <c r="H223" s="4">
        <v>0.116935483870968</v>
      </c>
      <c r="I223" s="4">
        <v>1.0999999999999999E-2</v>
      </c>
      <c r="J223" s="4">
        <v>0.01</v>
      </c>
      <c r="K223" s="5">
        <v>100</v>
      </c>
      <c r="L223" s="5">
        <v>100</v>
      </c>
      <c r="M223" s="5">
        <v>100</v>
      </c>
      <c r="N223" s="5">
        <v>100</v>
      </c>
      <c r="O223" s="2">
        <v>0.12443007837817703</v>
      </c>
      <c r="P223" s="2">
        <v>0.12435701634848162</v>
      </c>
      <c r="Q223" s="2">
        <v>1.1060947359424948E-2</v>
      </c>
      <c r="R223" s="2">
        <v>1.0050335853501451E-2</v>
      </c>
    </row>
    <row r="224" spans="1:18" x14ac:dyDescent="0.3">
      <c r="A224" s="7">
        <v>803</v>
      </c>
      <c r="B224" s="7">
        <v>357</v>
      </c>
      <c r="C224" s="7">
        <v>0</v>
      </c>
      <c r="D224" s="7">
        <v>0</v>
      </c>
      <c r="E224" s="20" t="str">
        <f t="shared" si="3"/>
        <v>00</v>
      </c>
      <c r="F224" s="21">
        <v>0.18660892723223901</v>
      </c>
      <c r="G224" s="4">
        <v>0.17899999999999999</v>
      </c>
      <c r="H224" s="4">
        <v>0.179435483870968</v>
      </c>
      <c r="I224" s="4">
        <v>2E-3</v>
      </c>
      <c r="J224" s="4">
        <v>5.0000000000000001E-3</v>
      </c>
      <c r="K224" s="5">
        <v>100</v>
      </c>
      <c r="L224" s="5">
        <v>100</v>
      </c>
      <c r="M224" s="5">
        <v>100</v>
      </c>
      <c r="N224" s="5">
        <v>100</v>
      </c>
      <c r="O224" s="2">
        <v>0.1972321695297089</v>
      </c>
      <c r="P224" s="2">
        <v>0.19776274128233279</v>
      </c>
      <c r="Q224" s="2">
        <v>2.0020026706730793E-3</v>
      </c>
      <c r="R224" s="2">
        <v>5.0125418235442863E-3</v>
      </c>
    </row>
    <row r="225" spans="1:18" x14ac:dyDescent="0.3">
      <c r="A225" s="7">
        <v>816</v>
      </c>
      <c r="B225" s="7">
        <v>363</v>
      </c>
      <c r="C225" s="7">
        <v>0</v>
      </c>
      <c r="D225" s="7">
        <v>0</v>
      </c>
      <c r="E225" s="20" t="str">
        <f t="shared" si="3"/>
        <v>00</v>
      </c>
      <c r="F225" s="21">
        <v>0.1884388580311</v>
      </c>
      <c r="G225" s="4">
        <v>0.23599999999999999</v>
      </c>
      <c r="H225" s="4">
        <v>0.21355236139630401</v>
      </c>
      <c r="I225" s="4">
        <v>8.9999999999999993E-3</v>
      </c>
      <c r="J225" s="4">
        <v>6.0000000000000001E-3</v>
      </c>
      <c r="K225" s="5">
        <v>100</v>
      </c>
      <c r="L225" s="5">
        <v>100</v>
      </c>
      <c r="M225" s="5">
        <v>100</v>
      </c>
      <c r="N225" s="5">
        <v>100</v>
      </c>
      <c r="O225" s="2">
        <v>0.26918748981561652</v>
      </c>
      <c r="P225" s="2">
        <v>0.24022913390194386</v>
      </c>
      <c r="Q225" s="2">
        <v>9.0407446521490707E-3</v>
      </c>
      <c r="R225" s="2">
        <v>6.0180723255630212E-3</v>
      </c>
    </row>
    <row r="226" spans="1:18" x14ac:dyDescent="0.3">
      <c r="A226" s="7">
        <v>96</v>
      </c>
      <c r="B226" s="7">
        <v>381</v>
      </c>
      <c r="C226" s="7">
        <v>0</v>
      </c>
      <c r="D226" s="7">
        <v>0</v>
      </c>
      <c r="E226" s="20" t="str">
        <f t="shared" si="3"/>
        <v>00</v>
      </c>
      <c r="F226" s="21">
        <v>0.18916635972968099</v>
      </c>
      <c r="G226" s="4">
        <v>0.152</v>
      </c>
      <c r="H226" s="4">
        <v>0.138211382113821</v>
      </c>
      <c r="I226" s="4">
        <v>6.0000000000000001E-3</v>
      </c>
      <c r="J226" s="4">
        <v>4.0000000000000001E-3</v>
      </c>
      <c r="K226" s="5">
        <v>100</v>
      </c>
      <c r="L226" s="5">
        <v>100</v>
      </c>
      <c r="M226" s="5">
        <v>100</v>
      </c>
      <c r="N226" s="5">
        <v>100</v>
      </c>
      <c r="O226" s="2">
        <v>0.16487464319023401</v>
      </c>
      <c r="P226" s="2">
        <v>0.1487452612603502</v>
      </c>
      <c r="Q226" s="2">
        <v>6.0180723255630212E-3</v>
      </c>
      <c r="R226" s="2">
        <v>4.0080213975388218E-3</v>
      </c>
    </row>
    <row r="227" spans="1:18" x14ac:dyDescent="0.3">
      <c r="A227" s="7">
        <v>175</v>
      </c>
      <c r="B227" s="7">
        <v>349</v>
      </c>
      <c r="C227" s="7">
        <v>0</v>
      </c>
      <c r="D227" s="7">
        <v>0</v>
      </c>
      <c r="E227" s="20" t="str">
        <f t="shared" si="3"/>
        <v>00</v>
      </c>
      <c r="F227" s="21">
        <v>0.18953396584525101</v>
      </c>
      <c r="G227" s="4">
        <v>0.158</v>
      </c>
      <c r="H227" s="4">
        <v>0.13070539419087099</v>
      </c>
      <c r="I227" s="4">
        <v>6.0000000000000001E-3</v>
      </c>
      <c r="J227" s="4">
        <v>2E-3</v>
      </c>
      <c r="K227" s="5">
        <v>100</v>
      </c>
      <c r="L227" s="5">
        <v>100</v>
      </c>
      <c r="M227" s="5">
        <v>100</v>
      </c>
      <c r="N227" s="5">
        <v>100</v>
      </c>
      <c r="O227" s="2">
        <v>0.17197526473981037</v>
      </c>
      <c r="P227" s="2">
        <v>0.14007319412846217</v>
      </c>
      <c r="Q227" s="2">
        <v>6.0180723255630212E-3</v>
      </c>
      <c r="R227" s="2">
        <v>2.0020026706730793E-3</v>
      </c>
    </row>
    <row r="228" spans="1:18" x14ac:dyDescent="0.3">
      <c r="A228" s="7">
        <v>751</v>
      </c>
      <c r="B228" s="7">
        <v>371</v>
      </c>
      <c r="C228" s="7">
        <v>0</v>
      </c>
      <c r="D228" s="7">
        <v>0</v>
      </c>
      <c r="E228" s="20" t="str">
        <f t="shared" si="3"/>
        <v>00</v>
      </c>
      <c r="F228" s="21">
        <v>0.19140677152906799</v>
      </c>
      <c r="G228" s="4">
        <v>0.16500000000000001</v>
      </c>
      <c r="H228" s="4">
        <v>0.16056910569105701</v>
      </c>
      <c r="I228" s="4">
        <v>6.0000000000000001E-3</v>
      </c>
      <c r="J228" s="4">
        <v>1E-3</v>
      </c>
      <c r="K228" s="5">
        <v>100</v>
      </c>
      <c r="L228" s="5">
        <v>100</v>
      </c>
      <c r="M228" s="5">
        <v>100</v>
      </c>
      <c r="N228" s="5">
        <v>100</v>
      </c>
      <c r="O228" s="2">
        <v>0.18032355413128162</v>
      </c>
      <c r="P228" s="2">
        <v>0.17503112353127545</v>
      </c>
      <c r="Q228" s="2">
        <v>6.0180723255630212E-3</v>
      </c>
      <c r="R228" s="2">
        <v>1.0005003335835344E-3</v>
      </c>
    </row>
    <row r="229" spans="1:18" x14ac:dyDescent="0.3">
      <c r="A229" s="7">
        <v>783</v>
      </c>
      <c r="B229" s="7">
        <v>346</v>
      </c>
      <c r="C229" s="7">
        <v>0</v>
      </c>
      <c r="D229" s="7">
        <v>0</v>
      </c>
      <c r="E229" s="20" t="str">
        <f t="shared" si="3"/>
        <v>00</v>
      </c>
      <c r="F229" s="21">
        <v>0.192235984685904</v>
      </c>
      <c r="G229" s="4">
        <v>0.255</v>
      </c>
      <c r="H229" s="4">
        <v>0.23481781376518199</v>
      </c>
      <c r="I229" s="4">
        <v>1.0999999999999999E-2</v>
      </c>
      <c r="J229" s="4">
        <v>5.0000000000000001E-3</v>
      </c>
      <c r="K229" s="5">
        <v>100</v>
      </c>
      <c r="L229" s="5">
        <v>100</v>
      </c>
      <c r="M229" s="5">
        <v>100</v>
      </c>
      <c r="N229" s="5">
        <v>100</v>
      </c>
      <c r="O229" s="2">
        <v>0.29437106060257756</v>
      </c>
      <c r="P229" s="2">
        <v>0.26764132156833453</v>
      </c>
      <c r="Q229" s="2">
        <v>1.1060947359424948E-2</v>
      </c>
      <c r="R229" s="2">
        <v>5.0125418235442863E-3</v>
      </c>
    </row>
    <row r="230" spans="1:18" x14ac:dyDescent="0.3">
      <c r="A230" s="7">
        <v>428</v>
      </c>
      <c r="B230" s="7">
        <v>361</v>
      </c>
      <c r="C230" s="7">
        <v>0</v>
      </c>
      <c r="D230" s="7">
        <v>0</v>
      </c>
      <c r="E230" s="20" t="str">
        <f t="shared" si="3"/>
        <v>00</v>
      </c>
      <c r="F230" s="21">
        <v>0.19324738901423699</v>
      </c>
      <c r="G230" s="4">
        <v>0.111</v>
      </c>
      <c r="H230" s="4">
        <v>0.106639839034205</v>
      </c>
      <c r="I230" s="4">
        <v>6.0000000000000001E-3</v>
      </c>
      <c r="J230" s="4">
        <v>6.0000000000000001E-3</v>
      </c>
      <c r="K230" s="5">
        <v>100</v>
      </c>
      <c r="L230" s="5">
        <v>100</v>
      </c>
      <c r="M230" s="5">
        <v>100</v>
      </c>
      <c r="N230" s="5">
        <v>100</v>
      </c>
      <c r="O230" s="2">
        <v>0.11765804346823246</v>
      </c>
      <c r="P230" s="2">
        <v>0.11276546366440376</v>
      </c>
      <c r="Q230" s="2">
        <v>6.0180723255630212E-3</v>
      </c>
      <c r="R230" s="2">
        <v>6.0180723255630212E-3</v>
      </c>
    </row>
    <row r="231" spans="1:18" x14ac:dyDescent="0.3">
      <c r="A231" s="7">
        <v>916</v>
      </c>
      <c r="B231" s="7">
        <v>359</v>
      </c>
      <c r="C231" s="7">
        <v>0</v>
      </c>
      <c r="D231" s="7">
        <v>0</v>
      </c>
      <c r="E231" s="20" t="str">
        <f t="shared" si="3"/>
        <v>00</v>
      </c>
      <c r="F231" s="21">
        <v>0.193843650820029</v>
      </c>
      <c r="G231" s="4">
        <v>0.23</v>
      </c>
      <c r="H231" s="4">
        <v>0.184959349593496</v>
      </c>
      <c r="I231" s="4">
        <v>8.9999999999999993E-3</v>
      </c>
      <c r="J231" s="4">
        <v>8.9999999999999993E-3</v>
      </c>
      <c r="K231" s="5">
        <v>100</v>
      </c>
      <c r="L231" s="5">
        <v>100</v>
      </c>
      <c r="M231" s="5">
        <v>100</v>
      </c>
      <c r="N231" s="5">
        <v>100</v>
      </c>
      <c r="O231" s="2">
        <v>0.26136476413440751</v>
      </c>
      <c r="P231" s="2">
        <v>0.20451728918573903</v>
      </c>
      <c r="Q231" s="2">
        <v>9.0407446521490707E-3</v>
      </c>
      <c r="R231" s="2">
        <v>9.0407446521490707E-3</v>
      </c>
    </row>
    <row r="232" spans="1:18" x14ac:dyDescent="0.3">
      <c r="A232" s="7">
        <v>678</v>
      </c>
      <c r="B232" s="7">
        <v>356</v>
      </c>
      <c r="C232" s="7">
        <v>0</v>
      </c>
      <c r="D232" s="7">
        <v>0</v>
      </c>
      <c r="E232" s="20" t="str">
        <f t="shared" si="3"/>
        <v>00</v>
      </c>
      <c r="F232" s="21">
        <v>0.195191154179226</v>
      </c>
      <c r="G232" s="4">
        <v>0.32600000000000001</v>
      </c>
      <c r="H232" s="4">
        <v>0.289699570815451</v>
      </c>
      <c r="I232" s="4">
        <v>6.0000000000000001E-3</v>
      </c>
      <c r="J232" s="4">
        <v>1.2E-2</v>
      </c>
      <c r="K232" s="5">
        <v>100</v>
      </c>
      <c r="L232" s="5">
        <v>100</v>
      </c>
      <c r="M232" s="5">
        <v>100</v>
      </c>
      <c r="N232" s="5">
        <v>100</v>
      </c>
      <c r="O232" s="2">
        <v>0.39452516806983012</v>
      </c>
      <c r="P232" s="2">
        <v>0.34206725874858357</v>
      </c>
      <c r="Q232" s="2">
        <v>6.0180723255630212E-3</v>
      </c>
      <c r="R232" s="2">
        <v>1.2072581234269249E-2</v>
      </c>
    </row>
    <row r="233" spans="1:18" x14ac:dyDescent="0.3">
      <c r="A233" s="7">
        <v>470</v>
      </c>
      <c r="B233" s="7">
        <v>353</v>
      </c>
      <c r="C233" s="7">
        <v>0</v>
      </c>
      <c r="D233" s="7">
        <v>0</v>
      </c>
      <c r="E233" s="20" t="str">
        <f t="shared" si="3"/>
        <v>00</v>
      </c>
      <c r="F233" s="21">
        <v>0.196960866032417</v>
      </c>
      <c r="G233" s="4">
        <v>6.6000000000000003E-2</v>
      </c>
      <c r="H233" s="4">
        <v>6.0483870967741903E-2</v>
      </c>
      <c r="I233" s="4">
        <v>4.0000000000000001E-3</v>
      </c>
      <c r="J233" s="4">
        <v>3.0000000000000001E-3</v>
      </c>
      <c r="K233" s="5">
        <v>100</v>
      </c>
      <c r="L233" s="5">
        <v>100</v>
      </c>
      <c r="M233" s="5">
        <v>100</v>
      </c>
      <c r="N233" s="5">
        <v>100</v>
      </c>
      <c r="O233" s="2">
        <v>6.827884075329449E-2</v>
      </c>
      <c r="P233" s="2">
        <v>6.2390292599281555E-2</v>
      </c>
      <c r="Q233" s="2">
        <v>4.0080213975388218E-3</v>
      </c>
      <c r="R233" s="2">
        <v>3.0045090202987243E-3</v>
      </c>
    </row>
    <row r="234" spans="1:18" x14ac:dyDescent="0.3">
      <c r="A234" s="7">
        <v>9</v>
      </c>
      <c r="B234" s="7">
        <v>364</v>
      </c>
      <c r="C234" s="7">
        <v>0</v>
      </c>
      <c r="D234" s="7">
        <v>0</v>
      </c>
      <c r="E234" s="20" t="str">
        <f t="shared" si="3"/>
        <v>00</v>
      </c>
      <c r="F234" s="21">
        <v>0.19707585364925501</v>
      </c>
      <c r="G234" s="4">
        <v>0.16200000000000001</v>
      </c>
      <c r="H234" s="4">
        <v>0.14257028112449799</v>
      </c>
      <c r="I234" s="4">
        <v>5.0000000000000001E-3</v>
      </c>
      <c r="J234" s="4">
        <v>8.0000000000000002E-3</v>
      </c>
      <c r="K234" s="5">
        <v>100</v>
      </c>
      <c r="L234" s="5">
        <v>100</v>
      </c>
      <c r="M234" s="5">
        <v>100</v>
      </c>
      <c r="N234" s="5">
        <v>100</v>
      </c>
      <c r="O234" s="2">
        <v>0.17673717850005405</v>
      </c>
      <c r="P234" s="2">
        <v>0.15381606379602836</v>
      </c>
      <c r="Q234" s="2">
        <v>5.0125418235442863E-3</v>
      </c>
      <c r="R234" s="2">
        <v>8.0321716972642666E-3</v>
      </c>
    </row>
    <row r="235" spans="1:18" x14ac:dyDescent="0.3">
      <c r="A235" s="7">
        <v>208</v>
      </c>
      <c r="B235" s="7">
        <v>328</v>
      </c>
      <c r="C235" s="7">
        <v>0</v>
      </c>
      <c r="D235" s="7">
        <v>0</v>
      </c>
      <c r="E235" s="20" t="str">
        <f t="shared" si="3"/>
        <v>00</v>
      </c>
      <c r="F235" s="21">
        <v>0.198668281175991</v>
      </c>
      <c r="G235" s="4">
        <v>0.42099999999999999</v>
      </c>
      <c r="H235" s="4">
        <v>0.37878787878787901</v>
      </c>
      <c r="I235" s="4">
        <v>0.19900000000000001</v>
      </c>
      <c r="J235" s="4">
        <v>0.182</v>
      </c>
      <c r="K235" s="5">
        <v>100</v>
      </c>
      <c r="L235" s="5">
        <v>100</v>
      </c>
      <c r="M235" s="5">
        <v>100</v>
      </c>
      <c r="N235" s="5">
        <v>100</v>
      </c>
      <c r="O235" s="2">
        <v>0.54645280140914188</v>
      </c>
      <c r="P235" s="2">
        <v>0.47608267532211812</v>
      </c>
      <c r="Q235" s="2">
        <v>0.22189433191377791</v>
      </c>
      <c r="R235" s="2">
        <v>0.20089294237938993</v>
      </c>
    </row>
    <row r="236" spans="1:18" x14ac:dyDescent="0.3">
      <c r="A236" s="7">
        <v>19</v>
      </c>
      <c r="B236" s="7">
        <v>362</v>
      </c>
      <c r="C236" s="7">
        <v>0</v>
      </c>
      <c r="D236" s="7">
        <v>0</v>
      </c>
      <c r="E236" s="20" t="str">
        <f t="shared" si="3"/>
        <v>00</v>
      </c>
      <c r="F236" s="21">
        <v>0.198709372434869</v>
      </c>
      <c r="G236" s="4">
        <v>0.113</v>
      </c>
      <c r="H236" s="4">
        <v>8.9795918367346905E-2</v>
      </c>
      <c r="I236" s="4">
        <v>4.0000000000000001E-3</v>
      </c>
      <c r="J236" s="4">
        <v>4.0000000000000001E-3</v>
      </c>
      <c r="K236" s="5">
        <v>100</v>
      </c>
      <c r="L236" s="5">
        <v>100</v>
      </c>
      <c r="M236" s="5">
        <v>100</v>
      </c>
      <c r="N236" s="5">
        <v>100</v>
      </c>
      <c r="O236" s="2">
        <v>0.11991029667255755</v>
      </c>
      <c r="P236" s="2">
        <v>9.4086439084608189E-2</v>
      </c>
      <c r="Q236" s="2">
        <v>4.0080213975388218E-3</v>
      </c>
      <c r="R236" s="2">
        <v>4.0080213975388218E-3</v>
      </c>
    </row>
    <row r="237" spans="1:18" x14ac:dyDescent="0.3">
      <c r="A237" s="7">
        <v>70</v>
      </c>
      <c r="B237" s="7">
        <v>343</v>
      </c>
      <c r="C237" s="7">
        <v>0</v>
      </c>
      <c r="D237" s="7">
        <v>0</v>
      </c>
      <c r="E237" s="20" t="str">
        <f t="shared" si="3"/>
        <v>00</v>
      </c>
      <c r="F237" s="21">
        <v>0.200370678160604</v>
      </c>
      <c r="G237" s="4">
        <v>8.5999999999999993E-2</v>
      </c>
      <c r="H237" s="4">
        <v>9.0180360721442906E-2</v>
      </c>
      <c r="I237" s="4">
        <v>7.0000000000000001E-3</v>
      </c>
      <c r="J237" s="4">
        <v>7.0000000000000001E-3</v>
      </c>
      <c r="K237" s="5">
        <v>100</v>
      </c>
      <c r="L237" s="5">
        <v>100</v>
      </c>
      <c r="M237" s="5">
        <v>100</v>
      </c>
      <c r="N237" s="5">
        <v>100</v>
      </c>
      <c r="O237" s="2">
        <v>8.9924707527987008E-2</v>
      </c>
      <c r="P237" s="2">
        <v>9.4508897710170653E-2</v>
      </c>
      <c r="Q237" s="2">
        <v>7.0246149369644663E-3</v>
      </c>
      <c r="R237" s="2">
        <v>7.0246149369644663E-3</v>
      </c>
    </row>
    <row r="238" spans="1:18" x14ac:dyDescent="0.3">
      <c r="A238" s="7">
        <v>808</v>
      </c>
      <c r="B238" s="7">
        <v>364</v>
      </c>
      <c r="C238" s="7">
        <v>0</v>
      </c>
      <c r="D238" s="7">
        <v>0</v>
      </c>
      <c r="E238" s="20" t="str">
        <f t="shared" si="3"/>
        <v>00</v>
      </c>
      <c r="F238" s="21">
        <v>0.20091268266759499</v>
      </c>
      <c r="G238" s="4">
        <v>0.24</v>
      </c>
      <c r="H238" s="4">
        <v>0.18541666666666701</v>
      </c>
      <c r="I238" s="4">
        <v>5.0000000000000001E-3</v>
      </c>
      <c r="J238" s="4">
        <v>8.0000000000000002E-3</v>
      </c>
      <c r="K238" s="5">
        <v>100</v>
      </c>
      <c r="L238" s="5">
        <v>100</v>
      </c>
      <c r="M238" s="5">
        <v>100</v>
      </c>
      <c r="N238" s="5">
        <v>100</v>
      </c>
      <c r="O238" s="2">
        <v>0.2744368457017603</v>
      </c>
      <c r="P238" s="2">
        <v>0.20507854391657127</v>
      </c>
      <c r="Q238" s="2">
        <v>5.0125418235442863E-3</v>
      </c>
      <c r="R238" s="2">
        <v>8.0321716972642666E-3</v>
      </c>
    </row>
    <row r="239" spans="1:18" x14ac:dyDescent="0.3">
      <c r="A239" s="7">
        <v>358</v>
      </c>
      <c r="B239" s="7">
        <v>334</v>
      </c>
      <c r="C239" s="7">
        <v>0</v>
      </c>
      <c r="D239" s="7">
        <v>0</v>
      </c>
      <c r="E239" s="20" t="str">
        <f t="shared" si="3"/>
        <v>00</v>
      </c>
      <c r="F239" s="21">
        <v>0.20197218729381999</v>
      </c>
      <c r="G239" s="4">
        <v>0.28199999999999997</v>
      </c>
      <c r="H239" s="4">
        <v>0.26611226611226602</v>
      </c>
      <c r="I239" s="4">
        <v>0.01</v>
      </c>
      <c r="J239" s="4">
        <v>1E-3</v>
      </c>
      <c r="K239" s="5">
        <v>100</v>
      </c>
      <c r="L239" s="5">
        <v>100</v>
      </c>
      <c r="M239" s="5">
        <v>100</v>
      </c>
      <c r="N239" s="5">
        <v>100</v>
      </c>
      <c r="O239" s="2">
        <v>0.33128570993391293</v>
      </c>
      <c r="P239" s="2">
        <v>0.30939921317246427</v>
      </c>
      <c r="Q239" s="2">
        <v>1.0050335853501451E-2</v>
      </c>
      <c r="R239" s="2">
        <v>1.0005003335835344E-3</v>
      </c>
    </row>
    <row r="240" spans="1:18" x14ac:dyDescent="0.3">
      <c r="A240" s="7">
        <v>628</v>
      </c>
      <c r="B240" s="7">
        <v>365</v>
      </c>
      <c r="C240" s="7">
        <v>0</v>
      </c>
      <c r="D240" s="7">
        <v>0</v>
      </c>
      <c r="E240" s="20" t="str">
        <f t="shared" si="3"/>
        <v>00</v>
      </c>
      <c r="F240" s="21">
        <v>0.20302693486235901</v>
      </c>
      <c r="G240" s="4">
        <v>0.20699999999999999</v>
      </c>
      <c r="H240" s="4">
        <v>0.16597510373443999</v>
      </c>
      <c r="I240" s="4">
        <v>8.0000000000000002E-3</v>
      </c>
      <c r="J240" s="4">
        <v>8.9999999999999993E-3</v>
      </c>
      <c r="K240" s="5">
        <v>100</v>
      </c>
      <c r="L240" s="5">
        <v>100</v>
      </c>
      <c r="M240" s="5">
        <v>100</v>
      </c>
      <c r="N240" s="5">
        <v>100</v>
      </c>
      <c r="O240" s="2">
        <v>0.23193205734728903</v>
      </c>
      <c r="P240" s="2">
        <v>0.18149202543157947</v>
      </c>
      <c r="Q240" s="2">
        <v>8.0321716972642666E-3</v>
      </c>
      <c r="R240" s="2">
        <v>9.0407446521490707E-3</v>
      </c>
    </row>
    <row r="241" spans="1:18" x14ac:dyDescent="0.3">
      <c r="A241" s="7">
        <v>58</v>
      </c>
      <c r="B241" s="7">
        <v>349</v>
      </c>
      <c r="C241" s="7">
        <v>0</v>
      </c>
      <c r="D241" s="7">
        <v>0</v>
      </c>
      <c r="E241" s="20" t="str">
        <f t="shared" si="3"/>
        <v>00</v>
      </c>
      <c r="F241" s="21">
        <v>0.20504978878608099</v>
      </c>
      <c r="G241" s="4">
        <v>0.217</v>
      </c>
      <c r="H241" s="4">
        <v>0.22290388548057299</v>
      </c>
      <c r="I241" s="4">
        <v>5.0000000000000001E-3</v>
      </c>
      <c r="J241" s="4">
        <v>0.01</v>
      </c>
      <c r="K241" s="5">
        <v>100</v>
      </c>
      <c r="L241" s="5">
        <v>100</v>
      </c>
      <c r="M241" s="5">
        <v>100</v>
      </c>
      <c r="N241" s="5">
        <v>100</v>
      </c>
      <c r="O241" s="2">
        <v>0.24462258299133391</v>
      </c>
      <c r="P241" s="2">
        <v>0.25219123675444099</v>
      </c>
      <c r="Q241" s="2">
        <v>5.0125418235442863E-3</v>
      </c>
      <c r="R241" s="2">
        <v>1.0050335853501451E-2</v>
      </c>
    </row>
    <row r="242" spans="1:18" x14ac:dyDescent="0.3">
      <c r="A242" s="7">
        <v>142</v>
      </c>
      <c r="B242" s="7">
        <v>344</v>
      </c>
      <c r="C242" s="7">
        <v>0</v>
      </c>
      <c r="D242" s="7">
        <v>0</v>
      </c>
      <c r="E242" s="20" t="str">
        <f t="shared" si="3"/>
        <v>00</v>
      </c>
      <c r="F242" s="21">
        <v>0.206252247868071</v>
      </c>
      <c r="G242" s="4">
        <v>0.32200000000000001</v>
      </c>
      <c r="H242" s="4">
        <v>0.28834355828220898</v>
      </c>
      <c r="I242" s="4">
        <v>1.0999999999999999E-2</v>
      </c>
      <c r="J242" s="4">
        <v>1.4999999999999999E-2</v>
      </c>
      <c r="K242" s="5">
        <v>100</v>
      </c>
      <c r="L242" s="5">
        <v>100</v>
      </c>
      <c r="M242" s="5">
        <v>100</v>
      </c>
      <c r="N242" s="5">
        <v>100</v>
      </c>
      <c r="O242" s="2">
        <v>0.3886079910417416</v>
      </c>
      <c r="P242" s="2">
        <v>0.34016000970039817</v>
      </c>
      <c r="Q242" s="2">
        <v>1.1060947359424948E-2</v>
      </c>
      <c r="R242" s="2">
        <v>1.5113637810048184E-2</v>
      </c>
    </row>
    <row r="243" spans="1:18" x14ac:dyDescent="0.3">
      <c r="A243" s="7">
        <v>631</v>
      </c>
      <c r="B243" s="7">
        <v>337</v>
      </c>
      <c r="C243" s="7">
        <v>0</v>
      </c>
      <c r="D243" s="7">
        <v>0</v>
      </c>
      <c r="E243" s="20" t="str">
        <f t="shared" si="3"/>
        <v>00</v>
      </c>
      <c r="F243" s="21">
        <v>0.20626191180794301</v>
      </c>
      <c r="G243" s="4">
        <v>0.184</v>
      </c>
      <c r="H243" s="4">
        <v>0.171370967741935</v>
      </c>
      <c r="I243" s="4">
        <v>1.0999999999999999E-2</v>
      </c>
      <c r="J243" s="4">
        <v>0.01</v>
      </c>
      <c r="K243" s="5">
        <v>100</v>
      </c>
      <c r="L243" s="5">
        <v>100</v>
      </c>
      <c r="M243" s="5">
        <v>100</v>
      </c>
      <c r="N243" s="5">
        <v>100</v>
      </c>
      <c r="O243" s="2">
        <v>0.20334092401802997</v>
      </c>
      <c r="P243" s="2">
        <v>0.18798271222869237</v>
      </c>
      <c r="Q243" s="2">
        <v>1.1060947359424948E-2</v>
      </c>
      <c r="R243" s="2">
        <v>1.0050335853501451E-2</v>
      </c>
    </row>
    <row r="244" spans="1:18" x14ac:dyDescent="0.3">
      <c r="A244" s="7">
        <v>50</v>
      </c>
      <c r="B244" s="7">
        <v>340</v>
      </c>
      <c r="C244" s="7">
        <v>0</v>
      </c>
      <c r="D244" s="7">
        <v>0</v>
      </c>
      <c r="E244" s="20" t="str">
        <f t="shared" si="3"/>
        <v>00</v>
      </c>
      <c r="F244" s="21">
        <v>0.20627154542739301</v>
      </c>
      <c r="G244" s="4">
        <v>0.26300000000000001</v>
      </c>
      <c r="H244" s="4">
        <v>0.21875</v>
      </c>
      <c r="I244" s="4">
        <v>1.7999999999999999E-2</v>
      </c>
      <c r="J244" s="4">
        <v>1.2999999999999999E-2</v>
      </c>
      <c r="K244" s="5">
        <v>100</v>
      </c>
      <c r="L244" s="5">
        <v>100</v>
      </c>
      <c r="M244" s="5">
        <v>100</v>
      </c>
      <c r="N244" s="5">
        <v>100</v>
      </c>
      <c r="O244" s="2">
        <v>0.30516738679280048</v>
      </c>
      <c r="P244" s="2">
        <v>0.24686007793152578</v>
      </c>
      <c r="Q244" s="2">
        <v>1.816397062767118E-2</v>
      </c>
      <c r="R244" s="2">
        <v>1.3085239548655481E-2</v>
      </c>
    </row>
    <row r="245" spans="1:18" x14ac:dyDescent="0.3">
      <c r="A245" s="7">
        <v>831</v>
      </c>
      <c r="B245" s="7">
        <v>330</v>
      </c>
      <c r="C245" s="7">
        <v>0</v>
      </c>
      <c r="D245" s="7">
        <v>0</v>
      </c>
      <c r="E245" s="20" t="str">
        <f t="shared" si="3"/>
        <v>00</v>
      </c>
      <c r="F245" s="21">
        <v>0.211845610911882</v>
      </c>
      <c r="G245" s="4">
        <v>0.1</v>
      </c>
      <c r="H245" s="4">
        <v>0.10462776659959799</v>
      </c>
      <c r="I245" s="4">
        <v>3.0000000000000001E-3</v>
      </c>
      <c r="J245" s="4">
        <v>3.0000000000000001E-3</v>
      </c>
      <c r="K245" s="5">
        <v>100</v>
      </c>
      <c r="L245" s="5">
        <v>100</v>
      </c>
      <c r="M245" s="5">
        <v>100</v>
      </c>
      <c r="N245" s="5">
        <v>100</v>
      </c>
      <c r="O245" s="2">
        <v>0.10536051565782628</v>
      </c>
      <c r="P245" s="2">
        <v>0.11051574393038903</v>
      </c>
      <c r="Q245" s="2">
        <v>3.0045090202987243E-3</v>
      </c>
      <c r="R245" s="2">
        <v>3.0045090202987243E-3</v>
      </c>
    </row>
    <row r="246" spans="1:18" x14ac:dyDescent="0.3">
      <c r="A246" s="7">
        <v>403</v>
      </c>
      <c r="B246" s="7">
        <v>335</v>
      </c>
      <c r="C246" s="7">
        <v>0</v>
      </c>
      <c r="D246" s="7">
        <v>0</v>
      </c>
      <c r="E246" s="20" t="str">
        <f t="shared" si="3"/>
        <v>00</v>
      </c>
      <c r="F246" s="21">
        <v>0.212183280098725</v>
      </c>
      <c r="G246" s="4">
        <v>0.22700000000000001</v>
      </c>
      <c r="H246" s="4">
        <v>0.20204081632653101</v>
      </c>
      <c r="I246" s="4">
        <v>6.0000000000000001E-3</v>
      </c>
      <c r="J246" s="4">
        <v>0.01</v>
      </c>
      <c r="K246" s="5">
        <v>100</v>
      </c>
      <c r="L246" s="5">
        <v>100</v>
      </c>
      <c r="M246" s="5">
        <v>100</v>
      </c>
      <c r="N246" s="5">
        <v>100</v>
      </c>
      <c r="O246" s="2">
        <v>0.25747623039471507</v>
      </c>
      <c r="P246" s="2">
        <v>0.22569783111930705</v>
      </c>
      <c r="Q246" s="2">
        <v>6.0180723255630212E-3</v>
      </c>
      <c r="R246" s="2">
        <v>1.0050335853501451E-2</v>
      </c>
    </row>
    <row r="247" spans="1:18" x14ac:dyDescent="0.3">
      <c r="A247" s="7">
        <v>662</v>
      </c>
      <c r="B247" s="7">
        <v>337</v>
      </c>
      <c r="C247" s="7">
        <v>0</v>
      </c>
      <c r="D247" s="7">
        <v>0</v>
      </c>
      <c r="E247" s="20" t="str">
        <f t="shared" si="3"/>
        <v>00</v>
      </c>
      <c r="F247" s="21">
        <v>0.212994642762182</v>
      </c>
      <c r="G247" s="4">
        <v>0.14399999999999999</v>
      </c>
      <c r="H247" s="4">
        <v>0.14516129032258099</v>
      </c>
      <c r="I247" s="4">
        <v>4.0000000000000001E-3</v>
      </c>
      <c r="J247" s="4">
        <v>8.0000000000000002E-3</v>
      </c>
      <c r="K247" s="5">
        <v>100</v>
      </c>
      <c r="L247" s="5">
        <v>100</v>
      </c>
      <c r="M247" s="5">
        <v>100</v>
      </c>
      <c r="N247" s="5">
        <v>100</v>
      </c>
      <c r="O247" s="2">
        <v>0.15548490284039498</v>
      </c>
      <c r="P247" s="2">
        <v>0.15684247149297009</v>
      </c>
      <c r="Q247" s="2">
        <v>4.0080213975388218E-3</v>
      </c>
      <c r="R247" s="2">
        <v>8.0321716972642666E-3</v>
      </c>
    </row>
    <row r="248" spans="1:18" x14ac:dyDescent="0.3">
      <c r="A248" s="7">
        <v>438</v>
      </c>
      <c r="B248" s="7">
        <v>325</v>
      </c>
      <c r="C248" s="7">
        <v>0</v>
      </c>
      <c r="D248" s="7">
        <v>0</v>
      </c>
      <c r="E248" s="20" t="str">
        <f t="shared" si="3"/>
        <v>00</v>
      </c>
      <c r="F248" s="21">
        <v>0.214148690390947</v>
      </c>
      <c r="G248" s="4">
        <v>0.217</v>
      </c>
      <c r="H248" s="4">
        <v>0.21010101010101001</v>
      </c>
      <c r="I248" s="4">
        <v>7.0000000000000001E-3</v>
      </c>
      <c r="J248" s="4">
        <v>4.0000000000000001E-3</v>
      </c>
      <c r="K248" s="5">
        <v>100</v>
      </c>
      <c r="L248" s="5">
        <v>100</v>
      </c>
      <c r="M248" s="5">
        <v>100</v>
      </c>
      <c r="N248" s="5">
        <v>100</v>
      </c>
      <c r="O248" s="2">
        <v>0.24462258299133391</v>
      </c>
      <c r="P248" s="2">
        <v>0.23585020258332443</v>
      </c>
      <c r="Q248" s="2">
        <v>7.0246149369644663E-3</v>
      </c>
      <c r="R248" s="2">
        <v>4.0080213975388218E-3</v>
      </c>
    </row>
    <row r="249" spans="1:18" x14ac:dyDescent="0.3">
      <c r="A249" s="7">
        <v>527</v>
      </c>
      <c r="B249" s="7">
        <v>333</v>
      </c>
      <c r="C249" s="7">
        <v>0</v>
      </c>
      <c r="D249" s="7">
        <v>0</v>
      </c>
      <c r="E249" s="20" t="str">
        <f t="shared" si="3"/>
        <v>00</v>
      </c>
      <c r="F249" s="21">
        <v>0.21526490905661999</v>
      </c>
      <c r="G249" s="4">
        <v>8.1000000000000003E-2</v>
      </c>
      <c r="H249" s="4">
        <v>7.2434607645875296E-2</v>
      </c>
      <c r="I249" s="4">
        <v>8.0000000000000002E-3</v>
      </c>
      <c r="J249" s="4">
        <v>6.0000000000000001E-3</v>
      </c>
      <c r="K249" s="5">
        <v>100</v>
      </c>
      <c r="L249" s="5">
        <v>100</v>
      </c>
      <c r="M249" s="5">
        <v>100</v>
      </c>
      <c r="N249" s="5">
        <v>100</v>
      </c>
      <c r="O249" s="2">
        <v>8.4469156626449965E-2</v>
      </c>
      <c r="P249" s="2">
        <v>7.5191983099980236E-2</v>
      </c>
      <c r="Q249" s="2">
        <v>8.0321716972642666E-3</v>
      </c>
      <c r="R249" s="2">
        <v>6.0180723255630212E-3</v>
      </c>
    </row>
    <row r="250" spans="1:18" x14ac:dyDescent="0.3">
      <c r="A250" s="7">
        <v>293</v>
      </c>
      <c r="B250" s="7">
        <v>345</v>
      </c>
      <c r="C250" s="7">
        <v>0</v>
      </c>
      <c r="D250" s="7">
        <v>0</v>
      </c>
      <c r="E250" s="20" t="str">
        <f t="shared" si="3"/>
        <v>00</v>
      </c>
      <c r="F250" s="21">
        <v>0.21572363728565899</v>
      </c>
      <c r="G250" s="4">
        <v>9.4E-2</v>
      </c>
      <c r="H250" s="4">
        <v>9.0909090909090898E-2</v>
      </c>
      <c r="I250" s="4">
        <v>8.9999999999999993E-3</v>
      </c>
      <c r="J250" s="4">
        <v>2E-3</v>
      </c>
      <c r="K250" s="5">
        <v>100</v>
      </c>
      <c r="L250" s="5">
        <v>100</v>
      </c>
      <c r="M250" s="5">
        <v>100</v>
      </c>
      <c r="N250" s="5">
        <v>100</v>
      </c>
      <c r="O250" s="2">
        <v>9.8715972939157695E-2</v>
      </c>
      <c r="P250" s="2">
        <v>9.5310179804324893E-2</v>
      </c>
      <c r="Q250" s="2">
        <v>9.0407446521490707E-3</v>
      </c>
      <c r="R250" s="2">
        <v>2.0020026706730793E-3</v>
      </c>
    </row>
    <row r="251" spans="1:18" x14ac:dyDescent="0.3">
      <c r="A251" s="7">
        <v>545</v>
      </c>
      <c r="B251" s="7">
        <v>360</v>
      </c>
      <c r="C251" s="7">
        <v>0</v>
      </c>
      <c r="D251" s="7">
        <v>0</v>
      </c>
      <c r="E251" s="20" t="str">
        <f t="shared" si="3"/>
        <v>00</v>
      </c>
      <c r="F251" s="21">
        <v>0.21670377051012801</v>
      </c>
      <c r="G251" s="4">
        <v>0.11799999999999999</v>
      </c>
      <c r="H251" s="4">
        <v>9.6192384769539105E-2</v>
      </c>
      <c r="I251" s="4">
        <v>5.0000000000000001E-3</v>
      </c>
      <c r="J251" s="4">
        <v>6.0000000000000001E-3</v>
      </c>
      <c r="K251" s="5">
        <v>100</v>
      </c>
      <c r="L251" s="5">
        <v>100</v>
      </c>
      <c r="M251" s="5">
        <v>100</v>
      </c>
      <c r="N251" s="5">
        <v>100</v>
      </c>
      <c r="O251" s="2">
        <v>0.12556322297534575</v>
      </c>
      <c r="P251" s="2">
        <v>0.10113875624884031</v>
      </c>
      <c r="Q251" s="2">
        <v>5.0125418235442863E-3</v>
      </c>
      <c r="R251" s="2">
        <v>6.0180723255630212E-3</v>
      </c>
    </row>
    <row r="252" spans="1:18" x14ac:dyDescent="0.3">
      <c r="A252" s="7">
        <v>994</v>
      </c>
      <c r="B252" s="7">
        <v>333</v>
      </c>
      <c r="C252" s="7">
        <v>0</v>
      </c>
      <c r="D252" s="7">
        <v>0</v>
      </c>
      <c r="E252" s="20" t="str">
        <f t="shared" si="3"/>
        <v>00</v>
      </c>
      <c r="F252" s="21">
        <v>0.216800730303884</v>
      </c>
      <c r="G252" s="4">
        <v>0.19900000000000001</v>
      </c>
      <c r="H252" s="4">
        <v>0.185110663983903</v>
      </c>
      <c r="I252" s="4">
        <v>5.0000000000000001E-3</v>
      </c>
      <c r="J252" s="4">
        <v>1.2E-2</v>
      </c>
      <c r="K252" s="5">
        <v>100</v>
      </c>
      <c r="L252" s="5">
        <v>100</v>
      </c>
      <c r="M252" s="5">
        <v>100</v>
      </c>
      <c r="N252" s="5">
        <v>100</v>
      </c>
      <c r="O252" s="2">
        <v>0.22189433191377791</v>
      </c>
      <c r="P252" s="2">
        <v>0.20470295899008903</v>
      </c>
      <c r="Q252" s="2">
        <v>5.0125418235442863E-3</v>
      </c>
      <c r="R252" s="2">
        <v>1.2072581234269249E-2</v>
      </c>
    </row>
    <row r="253" spans="1:18" x14ac:dyDescent="0.3">
      <c r="A253" s="7">
        <v>694</v>
      </c>
      <c r="B253" s="7">
        <v>321</v>
      </c>
      <c r="C253" s="7">
        <v>0</v>
      </c>
      <c r="D253" s="7">
        <v>0</v>
      </c>
      <c r="E253" s="20" t="str">
        <f t="shared" si="3"/>
        <v>00</v>
      </c>
      <c r="F253" s="21">
        <v>0.21908428717183701</v>
      </c>
      <c r="G253" s="4">
        <v>0.55600000000000005</v>
      </c>
      <c r="H253" s="4">
        <v>0.24390243902438999</v>
      </c>
      <c r="I253" s="4">
        <v>1.0999999999999999E-2</v>
      </c>
      <c r="J253" s="4">
        <v>6.0000000000000001E-3</v>
      </c>
      <c r="K253" s="5">
        <v>0</v>
      </c>
      <c r="L253" s="5">
        <v>100</v>
      </c>
      <c r="M253" s="5">
        <v>100</v>
      </c>
      <c r="N253" s="5">
        <v>100</v>
      </c>
      <c r="O253" s="2">
        <v>0.81193071654991245</v>
      </c>
      <c r="P253" s="2">
        <v>0.27958486221916123</v>
      </c>
      <c r="Q253" s="2">
        <v>1.1060947359424948E-2</v>
      </c>
      <c r="R253" s="2">
        <v>6.0180723255630212E-3</v>
      </c>
    </row>
    <row r="254" spans="1:18" x14ac:dyDescent="0.3">
      <c r="A254" s="7">
        <v>899</v>
      </c>
      <c r="B254" s="7">
        <v>356</v>
      </c>
      <c r="C254" s="7">
        <v>0</v>
      </c>
      <c r="D254" s="7">
        <v>0</v>
      </c>
      <c r="E254" s="20" t="str">
        <f t="shared" si="3"/>
        <v>00</v>
      </c>
      <c r="F254" s="21">
        <v>0.219972712148468</v>
      </c>
      <c r="G254" s="4">
        <v>0.185</v>
      </c>
      <c r="H254" s="4">
        <v>0.17827868852459</v>
      </c>
      <c r="I254" s="4">
        <v>8.9999999999999993E-3</v>
      </c>
      <c r="J254" s="4">
        <v>3.0000000000000001E-3</v>
      </c>
      <c r="K254" s="5">
        <v>100</v>
      </c>
      <c r="L254" s="5">
        <v>100</v>
      </c>
      <c r="M254" s="5">
        <v>100</v>
      </c>
      <c r="N254" s="5">
        <v>100</v>
      </c>
      <c r="O254" s="2">
        <v>0.2045671657412744</v>
      </c>
      <c r="P254" s="2">
        <v>0.19635397854657771</v>
      </c>
      <c r="Q254" s="2">
        <v>9.0407446521490707E-3</v>
      </c>
      <c r="R254" s="2">
        <v>3.0045090202987243E-3</v>
      </c>
    </row>
    <row r="255" spans="1:18" x14ac:dyDescent="0.3">
      <c r="A255" s="7">
        <v>514</v>
      </c>
      <c r="B255" s="7">
        <v>319</v>
      </c>
      <c r="C255" s="7">
        <v>0</v>
      </c>
      <c r="D255" s="7">
        <v>0</v>
      </c>
      <c r="E255" s="20" t="str">
        <f t="shared" si="3"/>
        <v>00</v>
      </c>
      <c r="F255" s="21">
        <v>0.221491858112665</v>
      </c>
      <c r="G255" s="4">
        <v>0.154</v>
      </c>
      <c r="H255" s="4">
        <v>0.11018711018711</v>
      </c>
      <c r="I255" s="4">
        <v>4.0000000000000001E-3</v>
      </c>
      <c r="J255" s="4">
        <v>6.0000000000000001E-3</v>
      </c>
      <c r="K255" s="5">
        <v>100</v>
      </c>
      <c r="L255" s="5">
        <v>100</v>
      </c>
      <c r="M255" s="5">
        <v>100</v>
      </c>
      <c r="N255" s="5">
        <v>100</v>
      </c>
      <c r="O255" s="2">
        <v>0.16723591937591381</v>
      </c>
      <c r="P255" s="2">
        <v>0.11674407452396421</v>
      </c>
      <c r="Q255" s="2">
        <v>4.0080213975388218E-3</v>
      </c>
      <c r="R255" s="2">
        <v>6.0180723255630212E-3</v>
      </c>
    </row>
    <row r="256" spans="1:18" x14ac:dyDescent="0.3">
      <c r="A256" s="7">
        <v>31</v>
      </c>
      <c r="B256" s="7">
        <v>359</v>
      </c>
      <c r="C256" s="7">
        <v>0</v>
      </c>
      <c r="D256" s="7">
        <v>0</v>
      </c>
      <c r="E256" s="20" t="str">
        <f t="shared" si="3"/>
        <v>00</v>
      </c>
      <c r="F256" s="21">
        <v>0.22227291751904499</v>
      </c>
      <c r="G256" s="4">
        <v>0.184</v>
      </c>
      <c r="H256" s="4">
        <v>0.17647058823529399</v>
      </c>
      <c r="I256" s="4">
        <v>5.0000000000000001E-3</v>
      </c>
      <c r="J256" s="4">
        <v>3.0000000000000001E-3</v>
      </c>
      <c r="K256" s="5">
        <v>100</v>
      </c>
      <c r="L256" s="5">
        <v>100</v>
      </c>
      <c r="M256" s="5">
        <v>100</v>
      </c>
      <c r="N256" s="5">
        <v>100</v>
      </c>
      <c r="O256" s="2">
        <v>0.20334092401802997</v>
      </c>
      <c r="P256" s="2">
        <v>0.19415601444095723</v>
      </c>
      <c r="Q256" s="2">
        <v>5.0125418235442863E-3</v>
      </c>
      <c r="R256" s="2">
        <v>3.0045090202987243E-3</v>
      </c>
    </row>
    <row r="257" spans="1:18" x14ac:dyDescent="0.3">
      <c r="A257" s="7">
        <v>598</v>
      </c>
      <c r="B257" s="7">
        <v>375</v>
      </c>
      <c r="C257" s="7">
        <v>0</v>
      </c>
      <c r="D257" s="7">
        <v>0</v>
      </c>
      <c r="E257" s="20" t="str">
        <f t="shared" si="3"/>
        <v>00</v>
      </c>
      <c r="F257" s="21">
        <v>0.222429094662532</v>
      </c>
      <c r="G257" s="4">
        <v>0.127</v>
      </c>
      <c r="H257" s="4">
        <v>0.11156186612576099</v>
      </c>
      <c r="I257" s="4">
        <v>7.0000000000000001E-3</v>
      </c>
      <c r="J257" s="4">
        <v>8.0000000000000002E-3</v>
      </c>
      <c r="K257" s="5">
        <v>100</v>
      </c>
      <c r="L257" s="5">
        <v>100</v>
      </c>
      <c r="M257" s="5">
        <v>100</v>
      </c>
      <c r="N257" s="5">
        <v>100</v>
      </c>
      <c r="O257" s="2">
        <v>0.13581972314253485</v>
      </c>
      <c r="P257" s="2">
        <v>0.1182902636662444</v>
      </c>
      <c r="Q257" s="2">
        <v>7.0246149369644663E-3</v>
      </c>
      <c r="R257" s="2">
        <v>8.0321716972642666E-3</v>
      </c>
    </row>
    <row r="258" spans="1:18" x14ac:dyDescent="0.3">
      <c r="A258" s="7">
        <v>14</v>
      </c>
      <c r="B258" s="7">
        <v>334</v>
      </c>
      <c r="C258" s="7">
        <v>0</v>
      </c>
      <c r="D258" s="7">
        <v>0</v>
      </c>
      <c r="E258" s="20" t="str">
        <f t="shared" ref="E258:E321" si="4">_xlfn.CONCAT(C258,D258)</f>
        <v>00</v>
      </c>
      <c r="F258" s="21">
        <v>0.222834678761518</v>
      </c>
      <c r="G258" s="4">
        <v>0.374</v>
      </c>
      <c r="H258" s="4">
        <v>0.34782608695652201</v>
      </c>
      <c r="I258" s="4">
        <v>0.01</v>
      </c>
      <c r="J258" s="4">
        <v>1.4999999999999999E-2</v>
      </c>
      <c r="K258" s="5">
        <v>100</v>
      </c>
      <c r="L258" s="5">
        <v>100</v>
      </c>
      <c r="M258" s="5">
        <v>100</v>
      </c>
      <c r="N258" s="5">
        <v>100</v>
      </c>
      <c r="O258" s="2">
        <v>0.46840490788203853</v>
      </c>
      <c r="P258" s="2">
        <v>0.42744401482693994</v>
      </c>
      <c r="Q258" s="2">
        <v>1.0050335853501451E-2</v>
      </c>
      <c r="R258" s="2">
        <v>1.5113637810048184E-2</v>
      </c>
    </row>
    <row r="259" spans="1:18" x14ac:dyDescent="0.3">
      <c r="A259" s="7">
        <v>896</v>
      </c>
      <c r="B259" s="7">
        <v>362</v>
      </c>
      <c r="C259" s="7">
        <v>0</v>
      </c>
      <c r="D259" s="7">
        <v>0</v>
      </c>
      <c r="E259" s="20" t="str">
        <f t="shared" si="4"/>
        <v>00</v>
      </c>
      <c r="F259" s="21">
        <v>0.223032734914348</v>
      </c>
      <c r="G259" s="4">
        <v>0.08</v>
      </c>
      <c r="H259" s="4">
        <v>8.0645161290322606E-2</v>
      </c>
      <c r="I259" s="4">
        <v>3.0000000000000001E-3</v>
      </c>
      <c r="J259" s="4">
        <v>8.0000000000000002E-3</v>
      </c>
      <c r="K259" s="5">
        <v>100</v>
      </c>
      <c r="L259" s="5">
        <v>100</v>
      </c>
      <c r="M259" s="5">
        <v>100</v>
      </c>
      <c r="N259" s="5">
        <v>100</v>
      </c>
      <c r="O259" s="2">
        <v>8.3381608939051013E-2</v>
      </c>
      <c r="P259" s="2">
        <v>8.4083117210541444E-2</v>
      </c>
      <c r="Q259" s="2">
        <v>3.0045090202987243E-3</v>
      </c>
      <c r="R259" s="2">
        <v>8.0321716972642666E-3</v>
      </c>
    </row>
    <row r="260" spans="1:18" x14ac:dyDescent="0.3">
      <c r="A260" s="7">
        <v>390</v>
      </c>
      <c r="B260" s="7">
        <v>350</v>
      </c>
      <c r="C260" s="7">
        <v>0</v>
      </c>
      <c r="D260" s="7">
        <v>0</v>
      </c>
      <c r="E260" s="20" t="str">
        <f t="shared" si="4"/>
        <v>00</v>
      </c>
      <c r="F260" s="21">
        <v>0.22311282901509699</v>
      </c>
      <c r="G260" s="4">
        <v>0.74099999999999999</v>
      </c>
      <c r="H260" s="4">
        <v>0.72687224669603501</v>
      </c>
      <c r="I260" s="4">
        <v>8.0000000000000002E-3</v>
      </c>
      <c r="J260" s="4">
        <v>4.0000000000000001E-3</v>
      </c>
      <c r="K260" s="5">
        <v>0</v>
      </c>
      <c r="L260" s="5">
        <v>0</v>
      </c>
      <c r="M260" s="5">
        <v>100</v>
      </c>
      <c r="N260" s="5">
        <v>100</v>
      </c>
      <c r="O260" s="2">
        <v>1.3509272172825992</v>
      </c>
      <c r="P260" s="2">
        <v>1.2978156324363102</v>
      </c>
      <c r="Q260" s="2">
        <v>8.0321716972642666E-3</v>
      </c>
      <c r="R260" s="2">
        <v>4.0080213975388218E-3</v>
      </c>
    </row>
    <row r="261" spans="1:18" x14ac:dyDescent="0.3">
      <c r="A261" s="7">
        <v>881</v>
      </c>
      <c r="B261" s="7">
        <v>327</v>
      </c>
      <c r="C261" s="7">
        <v>0</v>
      </c>
      <c r="D261" s="7">
        <v>0</v>
      </c>
      <c r="E261" s="20" t="str">
        <f t="shared" si="4"/>
        <v>00</v>
      </c>
      <c r="F261" s="21">
        <v>0.224017584092154</v>
      </c>
      <c r="G261" s="4">
        <v>0.15</v>
      </c>
      <c r="H261" s="4">
        <v>0.154929577464789</v>
      </c>
      <c r="I261" s="4">
        <v>1.2E-2</v>
      </c>
      <c r="J261" s="4">
        <v>0.01</v>
      </c>
      <c r="K261" s="5">
        <v>100</v>
      </c>
      <c r="L261" s="5">
        <v>100</v>
      </c>
      <c r="M261" s="5">
        <v>100</v>
      </c>
      <c r="N261" s="5">
        <v>100</v>
      </c>
      <c r="O261" s="2">
        <v>0.16251892949777494</v>
      </c>
      <c r="P261" s="2">
        <v>0.16833531481921502</v>
      </c>
      <c r="Q261" s="2">
        <v>1.2072581234269249E-2</v>
      </c>
      <c r="R261" s="2">
        <v>1.0050335853501451E-2</v>
      </c>
    </row>
    <row r="262" spans="1:18" x14ac:dyDescent="0.3">
      <c r="A262" s="7">
        <v>848</v>
      </c>
      <c r="B262" s="7">
        <v>331</v>
      </c>
      <c r="C262" s="7">
        <v>0</v>
      </c>
      <c r="D262" s="7">
        <v>0</v>
      </c>
      <c r="E262" s="20" t="str">
        <f t="shared" si="4"/>
        <v>00</v>
      </c>
      <c r="F262" s="21">
        <v>0.22480962532851601</v>
      </c>
      <c r="G262" s="4">
        <v>0.13200000000000001</v>
      </c>
      <c r="H262" s="4">
        <v>0.11623246492986</v>
      </c>
      <c r="I262" s="4">
        <v>0.01</v>
      </c>
      <c r="J262" s="4">
        <v>8.0000000000000002E-3</v>
      </c>
      <c r="K262" s="5">
        <v>100</v>
      </c>
      <c r="L262" s="5">
        <v>100</v>
      </c>
      <c r="M262" s="5">
        <v>100</v>
      </c>
      <c r="N262" s="5">
        <v>100</v>
      </c>
      <c r="O262" s="2">
        <v>0.14156356432178688</v>
      </c>
      <c r="P262" s="2">
        <v>0.12356122030467305</v>
      </c>
      <c r="Q262" s="2">
        <v>1.0050335853501451E-2</v>
      </c>
      <c r="R262" s="2">
        <v>8.0321716972642666E-3</v>
      </c>
    </row>
    <row r="263" spans="1:18" x14ac:dyDescent="0.3">
      <c r="A263" s="7">
        <v>529</v>
      </c>
      <c r="B263" s="7">
        <v>331</v>
      </c>
      <c r="C263" s="7">
        <v>0</v>
      </c>
      <c r="D263" s="7">
        <v>0</v>
      </c>
      <c r="E263" s="20" t="str">
        <f t="shared" si="4"/>
        <v>00</v>
      </c>
      <c r="F263" s="21">
        <v>0.22500105981708499</v>
      </c>
      <c r="G263" s="4">
        <v>0.13600000000000001</v>
      </c>
      <c r="H263" s="4">
        <v>0.133196721311475</v>
      </c>
      <c r="I263" s="4">
        <v>8.0000000000000002E-3</v>
      </c>
      <c r="J263" s="4">
        <v>4.0000000000000001E-3</v>
      </c>
      <c r="K263" s="5">
        <v>100</v>
      </c>
      <c r="L263" s="5">
        <v>100</v>
      </c>
      <c r="M263" s="5">
        <v>100</v>
      </c>
      <c r="N263" s="5">
        <v>100</v>
      </c>
      <c r="O263" s="2">
        <v>0.14618251017808145</v>
      </c>
      <c r="P263" s="2">
        <v>0.14294322680686872</v>
      </c>
      <c r="Q263" s="2">
        <v>8.0321716972642666E-3</v>
      </c>
      <c r="R263" s="2">
        <v>4.0080213975388218E-3</v>
      </c>
    </row>
    <row r="264" spans="1:18" x14ac:dyDescent="0.3">
      <c r="A264" s="7">
        <v>232</v>
      </c>
      <c r="B264" s="7">
        <v>331</v>
      </c>
      <c r="C264" s="7">
        <v>0</v>
      </c>
      <c r="D264" s="7">
        <v>0</v>
      </c>
      <c r="E264" s="20" t="str">
        <f t="shared" si="4"/>
        <v>00</v>
      </c>
      <c r="F264" s="21">
        <v>0.22696946851577299</v>
      </c>
      <c r="G264" s="4">
        <v>0.157</v>
      </c>
      <c r="H264" s="4">
        <v>0.15291750503018101</v>
      </c>
      <c r="I264" s="4">
        <v>1.2999999999999999E-2</v>
      </c>
      <c r="J264" s="4">
        <v>8.0000000000000002E-3</v>
      </c>
      <c r="K264" s="5">
        <v>100</v>
      </c>
      <c r="L264" s="5">
        <v>100</v>
      </c>
      <c r="M264" s="5">
        <v>100</v>
      </c>
      <c r="N264" s="5">
        <v>100</v>
      </c>
      <c r="O264" s="2">
        <v>0.17078832098028163</v>
      </c>
      <c r="P264" s="2">
        <v>0.16595719241424717</v>
      </c>
      <c r="Q264" s="2">
        <v>1.3085239548655481E-2</v>
      </c>
      <c r="R264" s="2">
        <v>8.0321716972642666E-3</v>
      </c>
    </row>
    <row r="265" spans="1:18" x14ac:dyDescent="0.3">
      <c r="A265" s="7">
        <v>711</v>
      </c>
      <c r="B265" s="7">
        <v>367</v>
      </c>
      <c r="C265" s="7">
        <v>0</v>
      </c>
      <c r="D265" s="7">
        <v>0</v>
      </c>
      <c r="E265" s="20" t="str">
        <f t="shared" si="4"/>
        <v>00</v>
      </c>
      <c r="F265" s="21">
        <v>0.228784189391251</v>
      </c>
      <c r="G265" s="4">
        <v>0.28000000000000003</v>
      </c>
      <c r="H265" s="4">
        <v>0.27327935222672101</v>
      </c>
      <c r="I265" s="4">
        <v>7.0000000000000001E-3</v>
      </c>
      <c r="J265" s="4">
        <v>8.0000000000000002E-3</v>
      </c>
      <c r="K265" s="5">
        <v>100</v>
      </c>
      <c r="L265" s="5">
        <v>100</v>
      </c>
      <c r="M265" s="5">
        <v>100</v>
      </c>
      <c r="N265" s="5">
        <v>100</v>
      </c>
      <c r="O265" s="2">
        <v>0.3285040669720361</v>
      </c>
      <c r="P265" s="2">
        <v>0.31921312869964402</v>
      </c>
      <c r="Q265" s="2">
        <v>7.0246149369644663E-3</v>
      </c>
      <c r="R265" s="2">
        <v>8.0321716972642666E-3</v>
      </c>
    </row>
    <row r="266" spans="1:18" x14ac:dyDescent="0.3">
      <c r="A266" s="7">
        <v>574</v>
      </c>
      <c r="B266" s="7">
        <v>358</v>
      </c>
      <c r="C266" s="7">
        <v>0</v>
      </c>
      <c r="D266" s="7">
        <v>0</v>
      </c>
      <c r="E266" s="20" t="str">
        <f t="shared" si="4"/>
        <v>00</v>
      </c>
      <c r="F266" s="21">
        <v>0.22948670141138</v>
      </c>
      <c r="G266" s="4">
        <v>0.17299999999999999</v>
      </c>
      <c r="H266" s="4">
        <v>0.15384615384615399</v>
      </c>
      <c r="I266" s="4">
        <v>7.0000000000000001E-3</v>
      </c>
      <c r="J266" s="4">
        <v>0.01</v>
      </c>
      <c r="K266" s="5">
        <v>100</v>
      </c>
      <c r="L266" s="5">
        <v>100</v>
      </c>
      <c r="M266" s="5">
        <v>100</v>
      </c>
      <c r="N266" s="5">
        <v>100</v>
      </c>
      <c r="O266" s="2">
        <v>0.1899505839584458</v>
      </c>
      <c r="P266" s="2">
        <v>0.16705408466316635</v>
      </c>
      <c r="Q266" s="2">
        <v>7.0246149369644663E-3</v>
      </c>
      <c r="R266" s="2">
        <v>1.0050335853501451E-2</v>
      </c>
    </row>
    <row r="267" spans="1:18" x14ac:dyDescent="0.3">
      <c r="A267" s="7">
        <v>291</v>
      </c>
      <c r="B267" s="7">
        <v>345</v>
      </c>
      <c r="C267" s="7">
        <v>0</v>
      </c>
      <c r="D267" s="7">
        <v>0</v>
      </c>
      <c r="E267" s="20" t="str">
        <f t="shared" si="4"/>
        <v>00</v>
      </c>
      <c r="F267" s="21">
        <v>0.23022141385584499</v>
      </c>
      <c r="G267" s="4">
        <v>0.218</v>
      </c>
      <c r="H267" s="4">
        <v>0.168490153172867</v>
      </c>
      <c r="I267" s="4">
        <v>1.7999999999999999E-2</v>
      </c>
      <c r="J267" s="4">
        <v>8.0000000000000002E-3</v>
      </c>
      <c r="K267" s="5">
        <v>100</v>
      </c>
      <c r="L267" s="5">
        <v>100</v>
      </c>
      <c r="M267" s="5">
        <v>100</v>
      </c>
      <c r="N267" s="5">
        <v>100</v>
      </c>
      <c r="O267" s="2">
        <v>0.24590053843682594</v>
      </c>
      <c r="P267" s="2">
        <v>0.18451213817377379</v>
      </c>
      <c r="Q267" s="2">
        <v>1.816397062767118E-2</v>
      </c>
      <c r="R267" s="2">
        <v>8.0321716972642666E-3</v>
      </c>
    </row>
    <row r="268" spans="1:18" x14ac:dyDescent="0.3">
      <c r="A268" s="7">
        <v>153</v>
      </c>
      <c r="B268" s="7">
        <v>329</v>
      </c>
      <c r="C268" s="7">
        <v>0</v>
      </c>
      <c r="D268" s="7">
        <v>0</v>
      </c>
      <c r="E268" s="20" t="str">
        <f t="shared" si="4"/>
        <v>00</v>
      </c>
      <c r="F268" s="21">
        <v>0.23098687413697999</v>
      </c>
      <c r="G268" s="4">
        <v>0.21199999999999999</v>
      </c>
      <c r="H268" s="4">
        <v>0.216161616161616</v>
      </c>
      <c r="I268" s="4">
        <v>5.0000000000000001E-3</v>
      </c>
      <c r="J268" s="4">
        <v>1.0999999999999999E-2</v>
      </c>
      <c r="K268" s="5">
        <v>100</v>
      </c>
      <c r="L268" s="5">
        <v>100</v>
      </c>
      <c r="M268" s="5">
        <v>100</v>
      </c>
      <c r="N268" s="5">
        <v>100</v>
      </c>
      <c r="O268" s="2">
        <v>0.23825718912425789</v>
      </c>
      <c r="P268" s="2">
        <v>0.24355242294541665</v>
      </c>
      <c r="Q268" s="2">
        <v>5.0125418235442863E-3</v>
      </c>
      <c r="R268" s="2">
        <v>1.1060947359424948E-2</v>
      </c>
    </row>
    <row r="269" spans="1:18" x14ac:dyDescent="0.3">
      <c r="A269" s="7">
        <v>364</v>
      </c>
      <c r="B269" s="7">
        <v>323</v>
      </c>
      <c r="C269" s="7">
        <v>0</v>
      </c>
      <c r="D269" s="7">
        <v>0</v>
      </c>
      <c r="E269" s="20" t="str">
        <f t="shared" si="4"/>
        <v>00</v>
      </c>
      <c r="F269" s="21">
        <v>0.23104057718452101</v>
      </c>
      <c r="G269" s="4">
        <v>0.377</v>
      </c>
      <c r="H269" s="4">
        <v>0.38163265306122501</v>
      </c>
      <c r="I269" s="4">
        <v>2E-3</v>
      </c>
      <c r="J269" s="4">
        <v>7.0000000000000001E-3</v>
      </c>
      <c r="K269" s="5">
        <v>100</v>
      </c>
      <c r="L269" s="5">
        <v>100</v>
      </c>
      <c r="M269" s="5">
        <v>100</v>
      </c>
      <c r="N269" s="5">
        <v>100</v>
      </c>
      <c r="O269" s="2">
        <v>0.47320876019468389</v>
      </c>
      <c r="P269" s="2">
        <v>0.48067258559530407</v>
      </c>
      <c r="Q269" s="2">
        <v>2.0020026706730793E-3</v>
      </c>
      <c r="R269" s="2">
        <v>7.0246149369644663E-3</v>
      </c>
    </row>
    <row r="270" spans="1:18" x14ac:dyDescent="0.3">
      <c r="A270" s="7">
        <v>365</v>
      </c>
      <c r="B270" s="7">
        <v>341</v>
      </c>
      <c r="C270" s="7">
        <v>0</v>
      </c>
      <c r="D270" s="7">
        <v>0</v>
      </c>
      <c r="E270" s="20" t="str">
        <f t="shared" si="4"/>
        <v>00</v>
      </c>
      <c r="F270" s="21">
        <v>0.23296287760734199</v>
      </c>
      <c r="G270" s="4">
        <v>0.28599999999999998</v>
      </c>
      <c r="H270" s="4">
        <v>0.23768736616702399</v>
      </c>
      <c r="I270" s="4">
        <v>8.9999999999999993E-3</v>
      </c>
      <c r="J270" s="4">
        <v>6.0000000000000001E-3</v>
      </c>
      <c r="K270" s="5">
        <v>100</v>
      </c>
      <c r="L270" s="5">
        <v>100</v>
      </c>
      <c r="M270" s="5">
        <v>100</v>
      </c>
      <c r="N270" s="5">
        <v>100</v>
      </c>
      <c r="O270" s="2">
        <v>0.33687231664255274</v>
      </c>
      <c r="P270" s="2">
        <v>0.27139852681686744</v>
      </c>
      <c r="Q270" s="2">
        <v>9.0407446521490707E-3</v>
      </c>
      <c r="R270" s="2">
        <v>6.0180723255630212E-3</v>
      </c>
    </row>
    <row r="271" spans="1:18" x14ac:dyDescent="0.3">
      <c r="A271" s="7">
        <v>714</v>
      </c>
      <c r="B271" s="7">
        <v>313</v>
      </c>
      <c r="C271" s="7">
        <v>0</v>
      </c>
      <c r="D271" s="7">
        <v>0</v>
      </c>
      <c r="E271" s="20" t="str">
        <f t="shared" si="4"/>
        <v>00</v>
      </c>
      <c r="F271" s="21">
        <v>0.23332894117026101</v>
      </c>
      <c r="G271" s="4">
        <v>0.10299999999999999</v>
      </c>
      <c r="H271" s="4">
        <v>7.8629032258064502E-2</v>
      </c>
      <c r="I271" s="4">
        <v>3.0000000000000001E-3</v>
      </c>
      <c r="J271" s="4">
        <v>5.0000000000000001E-3</v>
      </c>
      <c r="K271" s="5">
        <v>100</v>
      </c>
      <c r="L271" s="5">
        <v>100</v>
      </c>
      <c r="M271" s="5">
        <v>100</v>
      </c>
      <c r="N271" s="5">
        <v>100</v>
      </c>
      <c r="O271" s="2">
        <v>0.10869941692334091</v>
      </c>
      <c r="P271" s="2">
        <v>8.1892535830722771E-2</v>
      </c>
      <c r="Q271" s="2">
        <v>3.0045090202987243E-3</v>
      </c>
      <c r="R271" s="2">
        <v>5.0125418235442863E-3</v>
      </c>
    </row>
    <row r="272" spans="1:18" x14ac:dyDescent="0.3">
      <c r="A272" s="7">
        <v>1000</v>
      </c>
      <c r="B272" s="7">
        <v>342</v>
      </c>
      <c r="C272" s="7">
        <v>0</v>
      </c>
      <c r="D272" s="7">
        <v>0</v>
      </c>
      <c r="E272" s="20" t="str">
        <f t="shared" si="4"/>
        <v>00</v>
      </c>
      <c r="F272" s="21">
        <v>0.23545302130731</v>
      </c>
      <c r="G272" s="4">
        <v>0.20100000000000001</v>
      </c>
      <c r="H272" s="4">
        <v>0.193018480492813</v>
      </c>
      <c r="I272" s="4">
        <v>4.0000000000000001E-3</v>
      </c>
      <c r="J272" s="4">
        <v>0.01</v>
      </c>
      <c r="K272" s="5">
        <v>100</v>
      </c>
      <c r="L272" s="5">
        <v>100</v>
      </c>
      <c r="M272" s="5">
        <v>100</v>
      </c>
      <c r="N272" s="5">
        <v>100</v>
      </c>
      <c r="O272" s="2">
        <v>0.22439433321586247</v>
      </c>
      <c r="P272" s="2">
        <v>0.2144545112133284</v>
      </c>
      <c r="Q272" s="2">
        <v>4.0080213975388218E-3</v>
      </c>
      <c r="R272" s="2">
        <v>1.0050335853501451E-2</v>
      </c>
    </row>
    <row r="273" spans="1:18" x14ac:dyDescent="0.3">
      <c r="A273" s="7">
        <v>78</v>
      </c>
      <c r="B273" s="7">
        <v>349</v>
      </c>
      <c r="C273" s="7">
        <v>0</v>
      </c>
      <c r="D273" s="7">
        <v>0</v>
      </c>
      <c r="E273" s="20" t="str">
        <f t="shared" si="4"/>
        <v>00</v>
      </c>
      <c r="F273" s="21">
        <v>0.23780724940120801</v>
      </c>
      <c r="G273" s="4">
        <v>0.26700000000000002</v>
      </c>
      <c r="H273" s="4">
        <v>0.24210526315789499</v>
      </c>
      <c r="I273" s="4">
        <v>8.9999999999999993E-3</v>
      </c>
      <c r="J273" s="4">
        <v>0.01</v>
      </c>
      <c r="K273" s="5">
        <v>100</v>
      </c>
      <c r="L273" s="5">
        <v>100</v>
      </c>
      <c r="M273" s="5">
        <v>100</v>
      </c>
      <c r="N273" s="5">
        <v>100</v>
      </c>
      <c r="O273" s="2">
        <v>0.31060957709548559</v>
      </c>
      <c r="P273" s="2">
        <v>0.27721077258448595</v>
      </c>
      <c r="Q273" s="2">
        <v>9.0407446521490707E-3</v>
      </c>
      <c r="R273" s="2">
        <v>1.0050335853501451E-2</v>
      </c>
    </row>
    <row r="274" spans="1:18" x14ac:dyDescent="0.3">
      <c r="A274" s="7">
        <v>1</v>
      </c>
      <c r="B274" s="7">
        <v>330</v>
      </c>
      <c r="C274" s="7">
        <v>0</v>
      </c>
      <c r="D274" s="7">
        <v>0</v>
      </c>
      <c r="E274" s="20" t="str">
        <f t="shared" si="4"/>
        <v>00</v>
      </c>
      <c r="F274" s="21">
        <v>0.24065075614588799</v>
      </c>
      <c r="G274" s="4">
        <v>0.12</v>
      </c>
      <c r="H274" s="4">
        <v>0.120967741935484</v>
      </c>
      <c r="I274" s="4">
        <v>8.9999999999999993E-3</v>
      </c>
      <c r="J274" s="4">
        <v>4.0000000000000001E-3</v>
      </c>
      <c r="K274" s="5">
        <v>100</v>
      </c>
      <c r="L274" s="5">
        <v>100</v>
      </c>
      <c r="M274" s="5">
        <v>100</v>
      </c>
      <c r="N274" s="5">
        <v>100</v>
      </c>
      <c r="O274" s="2">
        <v>0.12783337150988489</v>
      </c>
      <c r="P274" s="2">
        <v>0.12893368337589328</v>
      </c>
      <c r="Q274" s="2">
        <v>9.0407446521490707E-3</v>
      </c>
      <c r="R274" s="2">
        <v>4.0080213975388218E-3</v>
      </c>
    </row>
    <row r="275" spans="1:18" x14ac:dyDescent="0.3">
      <c r="A275" s="7">
        <v>483</v>
      </c>
      <c r="B275" s="7">
        <v>327</v>
      </c>
      <c r="C275" s="7">
        <v>0</v>
      </c>
      <c r="D275" s="7">
        <v>0</v>
      </c>
      <c r="E275" s="20" t="str">
        <f t="shared" si="4"/>
        <v>00</v>
      </c>
      <c r="F275" s="21">
        <v>0.24103745148193101</v>
      </c>
      <c r="G275" s="4">
        <v>0.152</v>
      </c>
      <c r="H275" s="4">
        <v>0.13184584178499001</v>
      </c>
      <c r="I275" s="4">
        <v>0.01</v>
      </c>
      <c r="J275" s="4">
        <v>6.0000000000000001E-3</v>
      </c>
      <c r="K275" s="5">
        <v>100</v>
      </c>
      <c r="L275" s="5">
        <v>100</v>
      </c>
      <c r="M275" s="5">
        <v>100</v>
      </c>
      <c r="N275" s="5">
        <v>100</v>
      </c>
      <c r="O275" s="2">
        <v>0.16487464319023401</v>
      </c>
      <c r="P275" s="2">
        <v>0.14138597846089351</v>
      </c>
      <c r="Q275" s="2">
        <v>1.0050335853501451E-2</v>
      </c>
      <c r="R275" s="2">
        <v>6.0180723255630212E-3</v>
      </c>
    </row>
    <row r="276" spans="1:18" x14ac:dyDescent="0.3">
      <c r="A276" s="7">
        <v>632</v>
      </c>
      <c r="B276" s="7">
        <v>332</v>
      </c>
      <c r="C276" s="7">
        <v>0</v>
      </c>
      <c r="D276" s="7">
        <v>0</v>
      </c>
      <c r="E276" s="20" t="str">
        <f t="shared" si="4"/>
        <v>00</v>
      </c>
      <c r="F276" s="21">
        <v>0.24282880387483799</v>
      </c>
      <c r="G276" s="4">
        <v>0.251</v>
      </c>
      <c r="H276" s="4">
        <v>0.19745222929936301</v>
      </c>
      <c r="I276" s="4">
        <v>7.0000000000000001E-3</v>
      </c>
      <c r="J276" s="4">
        <v>7.0000000000000001E-3</v>
      </c>
      <c r="K276" s="5">
        <v>100</v>
      </c>
      <c r="L276" s="5">
        <v>100</v>
      </c>
      <c r="M276" s="5">
        <v>100</v>
      </c>
      <c r="N276" s="5">
        <v>100</v>
      </c>
      <c r="O276" s="2">
        <v>0.28901629546491758</v>
      </c>
      <c r="P276" s="2">
        <v>0.21996389839683</v>
      </c>
      <c r="Q276" s="2">
        <v>7.0246149369644663E-3</v>
      </c>
      <c r="R276" s="2">
        <v>7.0246149369644663E-3</v>
      </c>
    </row>
    <row r="277" spans="1:18" x14ac:dyDescent="0.3">
      <c r="A277" s="7">
        <v>617</v>
      </c>
      <c r="B277" s="7">
        <v>337</v>
      </c>
      <c r="C277" s="7">
        <v>0</v>
      </c>
      <c r="D277" s="7">
        <v>0</v>
      </c>
      <c r="E277" s="20" t="str">
        <f t="shared" si="4"/>
        <v>00</v>
      </c>
      <c r="F277" s="21">
        <v>0.24341172645771</v>
      </c>
      <c r="G277" s="4">
        <v>0.187</v>
      </c>
      <c r="H277" s="4">
        <v>0.16904276985743399</v>
      </c>
      <c r="I277" s="4">
        <v>5.0000000000000001E-3</v>
      </c>
      <c r="J277" s="4">
        <v>5.0000000000000001E-3</v>
      </c>
      <c r="K277" s="5">
        <v>100</v>
      </c>
      <c r="L277" s="5">
        <v>100</v>
      </c>
      <c r="M277" s="5">
        <v>100</v>
      </c>
      <c r="N277" s="5">
        <v>100</v>
      </c>
      <c r="O277" s="2">
        <v>0.20702416943432653</v>
      </c>
      <c r="P277" s="2">
        <v>0.18517695339035903</v>
      </c>
      <c r="Q277" s="2">
        <v>5.0125418235442863E-3</v>
      </c>
      <c r="R277" s="2">
        <v>5.0125418235442863E-3</v>
      </c>
    </row>
    <row r="278" spans="1:18" x14ac:dyDescent="0.3">
      <c r="A278" s="7">
        <v>436</v>
      </c>
      <c r="B278" s="7">
        <v>319</v>
      </c>
      <c r="C278" s="7">
        <v>0</v>
      </c>
      <c r="D278" s="7">
        <v>0</v>
      </c>
      <c r="E278" s="20" t="str">
        <f t="shared" si="4"/>
        <v>00</v>
      </c>
      <c r="F278" s="21">
        <v>0.24586344492277101</v>
      </c>
      <c r="G278" s="4">
        <v>0.158</v>
      </c>
      <c r="H278" s="4">
        <v>0.165991902834008</v>
      </c>
      <c r="I278" s="4">
        <v>1.4E-2</v>
      </c>
      <c r="J278" s="4">
        <v>1.6E-2</v>
      </c>
      <c r="K278" s="5">
        <v>100</v>
      </c>
      <c r="L278" s="5">
        <v>100</v>
      </c>
      <c r="M278" s="5">
        <v>100</v>
      </c>
      <c r="N278" s="5">
        <v>100</v>
      </c>
      <c r="O278" s="2">
        <v>0.17197526473981037</v>
      </c>
      <c r="P278" s="2">
        <v>0.18151216783839599</v>
      </c>
      <c r="Q278" s="2">
        <v>1.4098924379501648E-2</v>
      </c>
      <c r="R278" s="2">
        <v>1.6129381929883644E-2</v>
      </c>
    </row>
    <row r="279" spans="1:18" x14ac:dyDescent="0.3">
      <c r="A279" s="7">
        <v>484</v>
      </c>
      <c r="B279" s="7">
        <v>324</v>
      </c>
      <c r="C279" s="7">
        <v>0</v>
      </c>
      <c r="D279" s="7">
        <v>0</v>
      </c>
      <c r="E279" s="20" t="str">
        <f t="shared" si="4"/>
        <v>00</v>
      </c>
      <c r="F279" s="21">
        <v>0.24705330360534</v>
      </c>
      <c r="G279" s="4">
        <v>0.155</v>
      </c>
      <c r="H279" s="4">
        <v>0.13934426229508201</v>
      </c>
      <c r="I279" s="4">
        <v>8.9999999999999993E-3</v>
      </c>
      <c r="J279" s="4">
        <v>1.2E-2</v>
      </c>
      <c r="K279" s="5">
        <v>100</v>
      </c>
      <c r="L279" s="5">
        <v>100</v>
      </c>
      <c r="M279" s="5">
        <v>100</v>
      </c>
      <c r="N279" s="5">
        <v>100</v>
      </c>
      <c r="O279" s="2">
        <v>0.16841865162496325</v>
      </c>
      <c r="P279" s="2">
        <v>0.15006069457573323</v>
      </c>
      <c r="Q279" s="2">
        <v>9.0407446521490707E-3</v>
      </c>
      <c r="R279" s="2">
        <v>1.2072581234269249E-2</v>
      </c>
    </row>
    <row r="280" spans="1:18" x14ac:dyDescent="0.3">
      <c r="A280" s="7">
        <v>745</v>
      </c>
      <c r="B280" s="7">
        <v>297</v>
      </c>
      <c r="C280" s="7">
        <v>0</v>
      </c>
      <c r="D280" s="7">
        <v>0</v>
      </c>
      <c r="E280" s="20" t="str">
        <f t="shared" si="4"/>
        <v>00</v>
      </c>
      <c r="F280" s="21">
        <v>0.25252475519623302</v>
      </c>
      <c r="G280" s="4">
        <v>0.08</v>
      </c>
      <c r="H280" s="4">
        <v>9.4377510040160595E-2</v>
      </c>
      <c r="I280" s="4">
        <v>1.2999999999999999E-2</v>
      </c>
      <c r="J280" s="4">
        <v>1.7999999999999999E-2</v>
      </c>
      <c r="K280" s="5">
        <v>100</v>
      </c>
      <c r="L280" s="5">
        <v>100</v>
      </c>
      <c r="M280" s="5">
        <v>100</v>
      </c>
      <c r="N280" s="5">
        <v>100</v>
      </c>
      <c r="O280" s="2">
        <v>8.3381608939051013E-2</v>
      </c>
      <c r="P280" s="2">
        <v>9.9132737521974518E-2</v>
      </c>
      <c r="Q280" s="2">
        <v>1.3085239548655481E-2</v>
      </c>
      <c r="R280" s="2">
        <v>1.816397062767118E-2</v>
      </c>
    </row>
    <row r="281" spans="1:18" x14ac:dyDescent="0.3">
      <c r="A281" s="7">
        <v>273</v>
      </c>
      <c r="B281" s="7">
        <v>321</v>
      </c>
      <c r="C281" s="7">
        <v>0</v>
      </c>
      <c r="D281" s="7">
        <v>0</v>
      </c>
      <c r="E281" s="20" t="str">
        <f t="shared" si="4"/>
        <v>00</v>
      </c>
      <c r="F281" s="21">
        <v>0.25487310757828202</v>
      </c>
      <c r="G281" s="4">
        <v>6.8000000000000005E-2</v>
      </c>
      <c r="H281" s="4">
        <v>6.6265060240963902E-2</v>
      </c>
      <c r="I281" s="4">
        <v>8.0000000000000002E-3</v>
      </c>
      <c r="J281" s="4">
        <v>3.0000000000000001E-3</v>
      </c>
      <c r="K281" s="5">
        <v>100</v>
      </c>
      <c r="L281" s="5">
        <v>100</v>
      </c>
      <c r="M281" s="5">
        <v>100</v>
      </c>
      <c r="N281" s="5">
        <v>100</v>
      </c>
      <c r="O281" s="2">
        <v>7.0422464296545931E-2</v>
      </c>
      <c r="P281" s="2">
        <v>6.8562671437296663E-2</v>
      </c>
      <c r="Q281" s="2">
        <v>8.0321716972642666E-3</v>
      </c>
      <c r="R281" s="2">
        <v>3.0045090202987243E-3</v>
      </c>
    </row>
    <row r="282" spans="1:18" x14ac:dyDescent="0.3">
      <c r="A282" s="7">
        <v>684</v>
      </c>
      <c r="B282" s="7">
        <v>315</v>
      </c>
      <c r="C282" s="7">
        <v>0</v>
      </c>
      <c r="D282" s="7">
        <v>0</v>
      </c>
      <c r="E282" s="20" t="str">
        <f t="shared" si="4"/>
        <v>00</v>
      </c>
      <c r="F282" s="21">
        <v>0.25491307922256801</v>
      </c>
      <c r="G282" s="4">
        <v>0.19500000000000001</v>
      </c>
      <c r="H282" s="4">
        <v>0.18442622950819701</v>
      </c>
      <c r="I282" s="4">
        <v>5.0000000000000001E-3</v>
      </c>
      <c r="J282" s="4">
        <v>1.2E-2</v>
      </c>
      <c r="K282" s="5">
        <v>100</v>
      </c>
      <c r="L282" s="5">
        <v>100</v>
      </c>
      <c r="M282" s="5">
        <v>100</v>
      </c>
      <c r="N282" s="5">
        <v>100</v>
      </c>
      <c r="O282" s="2">
        <v>0.21691300156357377</v>
      </c>
      <c r="P282" s="2">
        <v>0.2038634005687098</v>
      </c>
      <c r="Q282" s="2">
        <v>5.0125418235442863E-3</v>
      </c>
      <c r="R282" s="2">
        <v>1.2072581234269249E-2</v>
      </c>
    </row>
    <row r="283" spans="1:18" x14ac:dyDescent="0.3">
      <c r="A283" s="7">
        <v>910</v>
      </c>
      <c r="B283" s="7">
        <v>306</v>
      </c>
      <c r="C283" s="7">
        <v>0</v>
      </c>
      <c r="D283" s="7">
        <v>0</v>
      </c>
      <c r="E283" s="20" t="str">
        <f t="shared" si="4"/>
        <v>00</v>
      </c>
      <c r="F283" s="21">
        <v>0.25642640530084199</v>
      </c>
      <c r="G283" s="4">
        <v>0.16</v>
      </c>
      <c r="H283" s="4">
        <v>0.15090543259557301</v>
      </c>
      <c r="I283" s="4">
        <v>1.4E-2</v>
      </c>
      <c r="J283" s="4">
        <v>0.01</v>
      </c>
      <c r="K283" s="5">
        <v>100</v>
      </c>
      <c r="L283" s="5">
        <v>100</v>
      </c>
      <c r="M283" s="5">
        <v>100</v>
      </c>
      <c r="N283" s="5">
        <v>100</v>
      </c>
      <c r="O283" s="2">
        <v>0.1743533871447778</v>
      </c>
      <c r="P283" s="2">
        <v>0.16358471206061639</v>
      </c>
      <c r="Q283" s="2">
        <v>1.4098924379501648E-2</v>
      </c>
      <c r="R283" s="2">
        <v>1.0050335853501451E-2</v>
      </c>
    </row>
    <row r="284" spans="1:18" x14ac:dyDescent="0.3">
      <c r="A284" s="7">
        <v>799</v>
      </c>
      <c r="B284" s="7">
        <v>312</v>
      </c>
      <c r="C284" s="7">
        <v>0</v>
      </c>
      <c r="D284" s="7">
        <v>0</v>
      </c>
      <c r="E284" s="20" t="str">
        <f t="shared" si="4"/>
        <v>00</v>
      </c>
      <c r="F284" s="21">
        <v>0.25676555000234302</v>
      </c>
      <c r="G284" s="4">
        <v>0.32500000000000001</v>
      </c>
      <c r="H284" s="4">
        <v>0.31632653061224503</v>
      </c>
      <c r="I284" s="4">
        <v>1.0999999999999999E-2</v>
      </c>
      <c r="J284" s="4">
        <v>1.0999999999999999E-2</v>
      </c>
      <c r="K284" s="5">
        <v>100</v>
      </c>
      <c r="L284" s="5">
        <v>100</v>
      </c>
      <c r="M284" s="5">
        <v>100</v>
      </c>
      <c r="N284" s="5">
        <v>100</v>
      </c>
      <c r="O284" s="2">
        <v>0.39304258810960718</v>
      </c>
      <c r="P284" s="2">
        <v>0.38027485927960603</v>
      </c>
      <c r="Q284" s="2">
        <v>1.1060947359424948E-2</v>
      </c>
      <c r="R284" s="2">
        <v>1.1060947359424948E-2</v>
      </c>
    </row>
    <row r="285" spans="1:18" x14ac:dyDescent="0.3">
      <c r="A285" s="7">
        <v>987</v>
      </c>
      <c r="B285" s="7">
        <v>319</v>
      </c>
      <c r="C285" s="7">
        <v>0</v>
      </c>
      <c r="D285" s="7">
        <v>0</v>
      </c>
      <c r="E285" s="20" t="str">
        <f t="shared" si="4"/>
        <v>00</v>
      </c>
      <c r="F285" s="21">
        <v>0.25729187768159301</v>
      </c>
      <c r="G285" s="4">
        <v>0.16600000000000001</v>
      </c>
      <c r="H285" s="4">
        <v>0.16056910569105701</v>
      </c>
      <c r="I285" s="4">
        <v>0.01</v>
      </c>
      <c r="J285" s="4">
        <v>1.4E-2</v>
      </c>
      <c r="K285" s="5">
        <v>100</v>
      </c>
      <c r="L285" s="5">
        <v>100</v>
      </c>
      <c r="M285" s="5">
        <v>100</v>
      </c>
      <c r="N285" s="5">
        <v>100</v>
      </c>
      <c r="O285" s="2">
        <v>0.18152187662339034</v>
      </c>
      <c r="P285" s="2">
        <v>0.17503112353127545</v>
      </c>
      <c r="Q285" s="2">
        <v>1.0050335853501451E-2</v>
      </c>
      <c r="R285" s="2">
        <v>1.4098924379501648E-2</v>
      </c>
    </row>
    <row r="286" spans="1:18" x14ac:dyDescent="0.3">
      <c r="A286" s="7">
        <v>534</v>
      </c>
      <c r="B286" s="7">
        <v>325</v>
      </c>
      <c r="C286" s="7">
        <v>0</v>
      </c>
      <c r="D286" s="7">
        <v>0</v>
      </c>
      <c r="E286" s="20" t="str">
        <f t="shared" si="4"/>
        <v>00</v>
      </c>
      <c r="F286" s="21">
        <v>0.26051195065342703</v>
      </c>
      <c r="G286" s="4">
        <v>0.23100000000000001</v>
      </c>
      <c r="H286" s="4">
        <v>0.21659919028340099</v>
      </c>
      <c r="I286" s="4">
        <v>6.0000000000000001E-3</v>
      </c>
      <c r="J286" s="4">
        <v>1.0999999999999999E-2</v>
      </c>
      <c r="K286" s="5">
        <v>100</v>
      </c>
      <c r="L286" s="5">
        <v>100</v>
      </c>
      <c r="M286" s="5">
        <v>100</v>
      </c>
      <c r="N286" s="5">
        <v>100</v>
      </c>
      <c r="O286" s="2">
        <v>0.26266430947649305</v>
      </c>
      <c r="P286" s="2">
        <v>0.24411082415814098</v>
      </c>
      <c r="Q286" s="2">
        <v>6.0180723255630212E-3</v>
      </c>
      <c r="R286" s="2">
        <v>1.1060947359424948E-2</v>
      </c>
    </row>
    <row r="287" spans="1:18" x14ac:dyDescent="0.3">
      <c r="A287" s="7">
        <v>753</v>
      </c>
      <c r="B287" s="7">
        <v>337</v>
      </c>
      <c r="C287" s="7">
        <v>0</v>
      </c>
      <c r="D287" s="7">
        <v>0</v>
      </c>
      <c r="E287" s="20" t="str">
        <f t="shared" si="4"/>
        <v>00</v>
      </c>
      <c r="F287" s="21">
        <v>0.26099762603042598</v>
      </c>
      <c r="G287" s="4">
        <v>0.16</v>
      </c>
      <c r="H287" s="4">
        <v>0.15863453815261</v>
      </c>
      <c r="I287" s="4">
        <v>8.9999999999999993E-3</v>
      </c>
      <c r="J287" s="4">
        <v>7.0000000000000001E-3</v>
      </c>
      <c r="K287" s="5">
        <v>100</v>
      </c>
      <c r="L287" s="5">
        <v>100</v>
      </c>
      <c r="M287" s="5">
        <v>100</v>
      </c>
      <c r="N287" s="5">
        <v>100</v>
      </c>
      <c r="O287" s="2">
        <v>0.1743533871447778</v>
      </c>
      <c r="P287" s="2">
        <v>0.17272915710251463</v>
      </c>
      <c r="Q287" s="2">
        <v>9.0407446521490707E-3</v>
      </c>
      <c r="R287" s="2">
        <v>7.0246149369644663E-3</v>
      </c>
    </row>
    <row r="288" spans="1:18" x14ac:dyDescent="0.3">
      <c r="A288" s="7">
        <v>112</v>
      </c>
      <c r="B288" s="7">
        <v>312</v>
      </c>
      <c r="C288" s="7">
        <v>0</v>
      </c>
      <c r="D288" s="7">
        <v>0</v>
      </c>
      <c r="E288" s="20" t="str">
        <f t="shared" si="4"/>
        <v>00</v>
      </c>
      <c r="F288" s="21">
        <v>0.26266866928591098</v>
      </c>
      <c r="G288" s="4">
        <v>0.14000000000000001</v>
      </c>
      <c r="H288" s="4">
        <v>0.12601626016260201</v>
      </c>
      <c r="I288" s="4">
        <v>1.4E-2</v>
      </c>
      <c r="J288" s="4">
        <v>1.6E-2</v>
      </c>
      <c r="K288" s="5">
        <v>100</v>
      </c>
      <c r="L288" s="5">
        <v>100</v>
      </c>
      <c r="M288" s="5">
        <v>100</v>
      </c>
      <c r="N288" s="5">
        <v>100</v>
      </c>
      <c r="O288" s="2">
        <v>0.15082288973458366</v>
      </c>
      <c r="P288" s="2">
        <v>0.13469350780470046</v>
      </c>
      <c r="Q288" s="2">
        <v>1.4098924379501648E-2</v>
      </c>
      <c r="R288" s="2">
        <v>1.6129381929883644E-2</v>
      </c>
    </row>
    <row r="289" spans="1:18" x14ac:dyDescent="0.3">
      <c r="A289" s="7">
        <v>106</v>
      </c>
      <c r="B289" s="7">
        <v>310</v>
      </c>
      <c r="C289" s="7">
        <v>0</v>
      </c>
      <c r="D289" s="7">
        <v>0</v>
      </c>
      <c r="E289" s="20" t="str">
        <f t="shared" si="4"/>
        <v>00</v>
      </c>
      <c r="F289" s="21">
        <v>0.262762877905998</v>
      </c>
      <c r="G289" s="4">
        <v>0.28899999999999998</v>
      </c>
      <c r="H289" s="4">
        <v>0.290060851926978</v>
      </c>
      <c r="I289" s="4">
        <v>0.5</v>
      </c>
      <c r="J289" s="4">
        <v>0.47499999999999998</v>
      </c>
      <c r="K289" s="5">
        <v>100</v>
      </c>
      <c r="L289" s="5">
        <v>100</v>
      </c>
      <c r="M289" s="5">
        <v>0</v>
      </c>
      <c r="N289" s="5">
        <v>100</v>
      </c>
      <c r="O289" s="2">
        <v>0.34108284917889609</v>
      </c>
      <c r="P289" s="2">
        <v>0.34257601955923128</v>
      </c>
      <c r="Q289" s="2">
        <v>0.69314718055994529</v>
      </c>
      <c r="R289" s="2">
        <v>0.64435701639051324</v>
      </c>
    </row>
    <row r="290" spans="1:18" x14ac:dyDescent="0.3">
      <c r="A290" s="7">
        <v>658</v>
      </c>
      <c r="B290" s="7">
        <v>330</v>
      </c>
      <c r="C290" s="7">
        <v>0</v>
      </c>
      <c r="D290" s="7">
        <v>0</v>
      </c>
      <c r="E290" s="20" t="str">
        <f t="shared" si="4"/>
        <v>00</v>
      </c>
      <c r="F290" s="21">
        <v>0.26298630067772899</v>
      </c>
      <c r="G290" s="4">
        <v>0.33</v>
      </c>
      <c r="H290" s="4">
        <v>0.321212121212121</v>
      </c>
      <c r="I290" s="4">
        <v>8.9999999999999993E-3</v>
      </c>
      <c r="J290" s="4">
        <v>8.0000000000000002E-3</v>
      </c>
      <c r="K290" s="5">
        <v>100</v>
      </c>
      <c r="L290" s="5">
        <v>100</v>
      </c>
      <c r="M290" s="5">
        <v>100</v>
      </c>
      <c r="N290" s="5">
        <v>100</v>
      </c>
      <c r="O290" s="2">
        <v>0.40047756659712541</v>
      </c>
      <c r="P290" s="2">
        <v>0.38744660260548586</v>
      </c>
      <c r="Q290" s="2">
        <v>9.0407446521490707E-3</v>
      </c>
      <c r="R290" s="2">
        <v>8.0321716972642666E-3</v>
      </c>
    </row>
    <row r="291" spans="1:18" x14ac:dyDescent="0.3">
      <c r="A291" s="7">
        <v>82</v>
      </c>
      <c r="B291" s="7">
        <v>326</v>
      </c>
      <c r="C291" s="7">
        <v>0</v>
      </c>
      <c r="D291" s="7">
        <v>0</v>
      </c>
      <c r="E291" s="20" t="str">
        <f t="shared" si="4"/>
        <v>00</v>
      </c>
      <c r="F291" s="21">
        <v>0.264805365492293</v>
      </c>
      <c r="G291" s="4">
        <v>0.29499999999999998</v>
      </c>
      <c r="H291" s="4">
        <v>0.24130434782608701</v>
      </c>
      <c r="I291" s="4">
        <v>0.01</v>
      </c>
      <c r="J291" s="4">
        <v>1.2E-2</v>
      </c>
      <c r="K291" s="5">
        <v>100</v>
      </c>
      <c r="L291" s="5">
        <v>100</v>
      </c>
      <c r="M291" s="5">
        <v>100</v>
      </c>
      <c r="N291" s="5">
        <v>100</v>
      </c>
      <c r="O291" s="2">
        <v>0.34955747616986832</v>
      </c>
      <c r="P291" s="2">
        <v>0.27615456728071358</v>
      </c>
      <c r="Q291" s="2">
        <v>1.0050335853501451E-2</v>
      </c>
      <c r="R291" s="2">
        <v>1.2072581234269249E-2</v>
      </c>
    </row>
    <row r="292" spans="1:18" x14ac:dyDescent="0.3">
      <c r="A292" s="7">
        <v>904</v>
      </c>
      <c r="B292" s="7">
        <v>314</v>
      </c>
      <c r="C292" s="7">
        <v>0</v>
      </c>
      <c r="D292" s="7">
        <v>0</v>
      </c>
      <c r="E292" s="20" t="str">
        <f t="shared" si="4"/>
        <v>00</v>
      </c>
      <c r="F292" s="21">
        <v>0.26879061745252603</v>
      </c>
      <c r="G292" s="4">
        <v>0.22500000000000001</v>
      </c>
      <c r="H292" s="4">
        <v>0.18518518518518501</v>
      </c>
      <c r="I292" s="4">
        <v>8.0000000000000002E-3</v>
      </c>
      <c r="J292" s="4">
        <v>0.01</v>
      </c>
      <c r="K292" s="5">
        <v>100</v>
      </c>
      <c r="L292" s="5">
        <v>100</v>
      </c>
      <c r="M292" s="5">
        <v>100</v>
      </c>
      <c r="N292" s="5">
        <v>100</v>
      </c>
      <c r="O292" s="2">
        <v>0.25489224962879004</v>
      </c>
      <c r="P292" s="2">
        <v>0.204794412646013</v>
      </c>
      <c r="Q292" s="2">
        <v>8.0321716972642666E-3</v>
      </c>
      <c r="R292" s="2">
        <v>1.0050335853501451E-2</v>
      </c>
    </row>
    <row r="293" spans="1:18" x14ac:dyDescent="0.3">
      <c r="A293" s="7">
        <v>809</v>
      </c>
      <c r="B293" s="7">
        <v>304</v>
      </c>
      <c r="C293" s="7">
        <v>0</v>
      </c>
      <c r="D293" s="7">
        <v>0</v>
      </c>
      <c r="E293" s="20" t="str">
        <f t="shared" si="4"/>
        <v>00</v>
      </c>
      <c r="F293" s="21">
        <v>0.27048184814155601</v>
      </c>
      <c r="G293" s="4">
        <v>0.23799999999999999</v>
      </c>
      <c r="H293" s="4">
        <v>0.22672064777327899</v>
      </c>
      <c r="I293" s="4">
        <v>5.0000000000000001E-3</v>
      </c>
      <c r="J293" s="4">
        <v>7.0000000000000001E-3</v>
      </c>
      <c r="K293" s="5">
        <v>100</v>
      </c>
      <c r="L293" s="5">
        <v>100</v>
      </c>
      <c r="M293" s="5">
        <v>100</v>
      </c>
      <c r="N293" s="5">
        <v>100</v>
      </c>
      <c r="O293" s="2">
        <v>0.27180872329549077</v>
      </c>
      <c r="P293" s="2">
        <v>0.25711490858134695</v>
      </c>
      <c r="Q293" s="2">
        <v>5.0125418235442863E-3</v>
      </c>
      <c r="R293" s="2">
        <v>7.0246149369644663E-3</v>
      </c>
    </row>
    <row r="294" spans="1:18" x14ac:dyDescent="0.3">
      <c r="A294" s="7">
        <v>788</v>
      </c>
      <c r="B294" s="7">
        <v>321</v>
      </c>
      <c r="C294" s="7">
        <v>0</v>
      </c>
      <c r="D294" s="7">
        <v>0</v>
      </c>
      <c r="E294" s="20" t="str">
        <f t="shared" si="4"/>
        <v>00</v>
      </c>
      <c r="F294" s="21">
        <v>0.27111701852064402</v>
      </c>
      <c r="G294" s="4">
        <v>0.106</v>
      </c>
      <c r="H294" s="4">
        <v>8.9249492900608504E-2</v>
      </c>
      <c r="I294" s="4">
        <v>8.9999999999999993E-3</v>
      </c>
      <c r="J294" s="4">
        <v>8.0000000000000002E-3</v>
      </c>
      <c r="K294" s="5">
        <v>100</v>
      </c>
      <c r="L294" s="5">
        <v>100</v>
      </c>
      <c r="M294" s="5">
        <v>100</v>
      </c>
      <c r="N294" s="5">
        <v>100</v>
      </c>
      <c r="O294" s="2">
        <v>0.11204950380862289</v>
      </c>
      <c r="P294" s="2">
        <v>9.3486286300435747E-2</v>
      </c>
      <c r="Q294" s="2">
        <v>9.0407446521490707E-3</v>
      </c>
      <c r="R294" s="2">
        <v>8.0321716972642666E-3</v>
      </c>
    </row>
    <row r="295" spans="1:18" x14ac:dyDescent="0.3">
      <c r="A295" s="7">
        <v>793</v>
      </c>
      <c r="B295" s="7">
        <v>309</v>
      </c>
      <c r="C295" s="7">
        <v>0</v>
      </c>
      <c r="D295" s="7">
        <v>0</v>
      </c>
      <c r="E295" s="20" t="str">
        <f t="shared" si="4"/>
        <v>00</v>
      </c>
      <c r="F295" s="21">
        <v>0.27224974760825699</v>
      </c>
      <c r="G295" s="4">
        <v>0.22500000000000001</v>
      </c>
      <c r="H295" s="4">
        <v>0.21085594989561601</v>
      </c>
      <c r="I295" s="4">
        <v>1.0999999999999999E-2</v>
      </c>
      <c r="J295" s="4">
        <v>8.0000000000000002E-3</v>
      </c>
      <c r="K295" s="5">
        <v>100</v>
      </c>
      <c r="L295" s="5">
        <v>100</v>
      </c>
      <c r="M295" s="5">
        <v>100</v>
      </c>
      <c r="N295" s="5">
        <v>100</v>
      </c>
      <c r="O295" s="2">
        <v>0.25489224962879004</v>
      </c>
      <c r="P295" s="2">
        <v>0.23680640179132767</v>
      </c>
      <c r="Q295" s="2">
        <v>1.1060947359424948E-2</v>
      </c>
      <c r="R295" s="2">
        <v>8.0321716972642666E-3</v>
      </c>
    </row>
    <row r="296" spans="1:18" x14ac:dyDescent="0.3">
      <c r="A296" s="7">
        <v>221</v>
      </c>
      <c r="B296" s="7">
        <v>305</v>
      </c>
      <c r="C296" s="7">
        <v>0</v>
      </c>
      <c r="D296" s="7">
        <v>0</v>
      </c>
      <c r="E296" s="20" t="str">
        <f t="shared" si="4"/>
        <v>00</v>
      </c>
      <c r="F296" s="21">
        <v>0.27318808769632802</v>
      </c>
      <c r="G296" s="4">
        <v>0.42</v>
      </c>
      <c r="H296" s="4">
        <v>0.41649484536082498</v>
      </c>
      <c r="I296" s="4">
        <v>0.02</v>
      </c>
      <c r="J296" s="4">
        <v>1.9E-2</v>
      </c>
      <c r="K296" s="5">
        <v>100</v>
      </c>
      <c r="L296" s="5">
        <v>100</v>
      </c>
      <c r="M296" s="5">
        <v>100</v>
      </c>
      <c r="N296" s="5">
        <v>100</v>
      </c>
      <c r="O296" s="2">
        <v>0.54472717544167193</v>
      </c>
      <c r="P296" s="2">
        <v>0.53870199329424606</v>
      </c>
      <c r="Q296" s="2">
        <v>2.0202707317519466E-2</v>
      </c>
      <c r="R296" s="2">
        <v>1.9182819416773987E-2</v>
      </c>
    </row>
    <row r="297" spans="1:18" x14ac:dyDescent="0.3">
      <c r="A297" s="7">
        <v>384</v>
      </c>
      <c r="B297" s="7">
        <v>297</v>
      </c>
      <c r="C297" s="7">
        <v>0</v>
      </c>
      <c r="D297" s="7">
        <v>0</v>
      </c>
      <c r="E297" s="20" t="str">
        <f t="shared" si="4"/>
        <v>00</v>
      </c>
      <c r="F297" s="21">
        <v>0.27398550658231602</v>
      </c>
      <c r="G297" s="4">
        <v>0.107</v>
      </c>
      <c r="H297" s="4">
        <v>9.6579476861166996E-2</v>
      </c>
      <c r="I297" s="4">
        <v>1.4999999999999999E-2</v>
      </c>
      <c r="J297" s="4">
        <v>1.0999999999999999E-2</v>
      </c>
      <c r="K297" s="5">
        <v>100</v>
      </c>
      <c r="L297" s="5">
        <v>100</v>
      </c>
      <c r="M297" s="5">
        <v>100</v>
      </c>
      <c r="N297" s="5">
        <v>100</v>
      </c>
      <c r="O297" s="2">
        <v>0.11316869810563798</v>
      </c>
      <c r="P297" s="2">
        <v>0.10156713835437439</v>
      </c>
      <c r="Q297" s="2">
        <v>1.5113637810048184E-2</v>
      </c>
      <c r="R297" s="2">
        <v>1.1060947359424948E-2</v>
      </c>
    </row>
    <row r="298" spans="1:18" x14ac:dyDescent="0.3">
      <c r="A298" s="7">
        <v>726</v>
      </c>
      <c r="B298" s="7">
        <v>323</v>
      </c>
      <c r="C298" s="7">
        <v>0</v>
      </c>
      <c r="D298" s="7">
        <v>0</v>
      </c>
      <c r="E298" s="20" t="str">
        <f t="shared" si="4"/>
        <v>00</v>
      </c>
      <c r="F298" s="21">
        <v>0.27452772475064602</v>
      </c>
      <c r="G298" s="4">
        <v>0.13200000000000001</v>
      </c>
      <c r="H298" s="4">
        <v>0.13104838709677399</v>
      </c>
      <c r="I298" s="4">
        <v>8.0000000000000002E-3</v>
      </c>
      <c r="J298" s="4">
        <v>6.0000000000000001E-3</v>
      </c>
      <c r="K298" s="5">
        <v>100</v>
      </c>
      <c r="L298" s="5">
        <v>100</v>
      </c>
      <c r="M298" s="5">
        <v>100</v>
      </c>
      <c r="N298" s="5">
        <v>100</v>
      </c>
      <c r="O298" s="2">
        <v>0.14156356432178688</v>
      </c>
      <c r="P298" s="2">
        <v>0.14046783662117951</v>
      </c>
      <c r="Q298" s="2">
        <v>8.0321716972642666E-3</v>
      </c>
      <c r="R298" s="2">
        <v>6.0180723255630212E-3</v>
      </c>
    </row>
    <row r="299" spans="1:18" x14ac:dyDescent="0.3">
      <c r="A299" s="7">
        <v>370</v>
      </c>
      <c r="B299" s="7">
        <v>313</v>
      </c>
      <c r="C299" s="7">
        <v>0</v>
      </c>
      <c r="D299" s="7">
        <v>0</v>
      </c>
      <c r="E299" s="20" t="str">
        <f t="shared" si="4"/>
        <v>00</v>
      </c>
      <c r="F299" s="21">
        <v>0.274896462850242</v>
      </c>
      <c r="G299" s="4">
        <v>0.30299999999999999</v>
      </c>
      <c r="H299" s="4">
        <v>0.27366255144032903</v>
      </c>
      <c r="I299" s="4">
        <v>1.4999999999999999E-2</v>
      </c>
      <c r="J299" s="4">
        <v>0.02</v>
      </c>
      <c r="K299" s="5">
        <v>100</v>
      </c>
      <c r="L299" s="5">
        <v>100</v>
      </c>
      <c r="M299" s="5">
        <v>100</v>
      </c>
      <c r="N299" s="5">
        <v>100</v>
      </c>
      <c r="O299" s="2">
        <v>0.36096986822161309</v>
      </c>
      <c r="P299" s="2">
        <v>0.31974056696719672</v>
      </c>
      <c r="Q299" s="2">
        <v>1.5113637810048184E-2</v>
      </c>
      <c r="R299" s="2">
        <v>2.0202707317519466E-2</v>
      </c>
    </row>
    <row r="300" spans="1:18" x14ac:dyDescent="0.3">
      <c r="A300" s="7">
        <v>654</v>
      </c>
      <c r="B300" s="7">
        <v>324</v>
      </c>
      <c r="C300" s="7">
        <v>0</v>
      </c>
      <c r="D300" s="7">
        <v>0</v>
      </c>
      <c r="E300" s="20" t="str">
        <f t="shared" si="4"/>
        <v>00</v>
      </c>
      <c r="F300" s="21">
        <v>0.275689715696463</v>
      </c>
      <c r="G300" s="4">
        <v>0.11799999999999999</v>
      </c>
      <c r="H300" s="4">
        <v>0.116935483870968</v>
      </c>
      <c r="I300" s="4">
        <v>8.9999999999999993E-3</v>
      </c>
      <c r="J300" s="4">
        <v>7.0000000000000001E-3</v>
      </c>
      <c r="K300" s="5">
        <v>100</v>
      </c>
      <c r="L300" s="5">
        <v>100</v>
      </c>
      <c r="M300" s="5">
        <v>100</v>
      </c>
      <c r="N300" s="5">
        <v>100</v>
      </c>
      <c r="O300" s="2">
        <v>0.12556322297534575</v>
      </c>
      <c r="P300" s="2">
        <v>0.12435701634848162</v>
      </c>
      <c r="Q300" s="2">
        <v>9.0407446521490707E-3</v>
      </c>
      <c r="R300" s="2">
        <v>7.0246149369644663E-3</v>
      </c>
    </row>
    <row r="301" spans="1:18" x14ac:dyDescent="0.3">
      <c r="A301" s="7">
        <v>395</v>
      </c>
      <c r="B301" s="7">
        <v>328</v>
      </c>
      <c r="C301" s="7">
        <v>0</v>
      </c>
      <c r="D301" s="7">
        <v>0</v>
      </c>
      <c r="E301" s="20" t="str">
        <f t="shared" si="4"/>
        <v>00</v>
      </c>
      <c r="F301" s="21">
        <v>0.27662072149936401</v>
      </c>
      <c r="G301" s="4">
        <v>0.191</v>
      </c>
      <c r="H301" s="4">
        <v>0.185110663983903</v>
      </c>
      <c r="I301" s="4">
        <v>1.2E-2</v>
      </c>
      <c r="J301" s="4">
        <v>0.01</v>
      </c>
      <c r="K301" s="5">
        <v>100</v>
      </c>
      <c r="L301" s="5">
        <v>100</v>
      </c>
      <c r="M301" s="5">
        <v>100</v>
      </c>
      <c r="N301" s="5">
        <v>100</v>
      </c>
      <c r="O301" s="2">
        <v>0.21195636192364545</v>
      </c>
      <c r="P301" s="2">
        <v>0.20470295899008903</v>
      </c>
      <c r="Q301" s="2">
        <v>1.2072581234269249E-2</v>
      </c>
      <c r="R301" s="2">
        <v>1.0050335853501451E-2</v>
      </c>
    </row>
    <row r="302" spans="1:18" x14ac:dyDescent="0.3">
      <c r="A302" s="7">
        <v>964</v>
      </c>
      <c r="B302" s="7">
        <v>306</v>
      </c>
      <c r="C302" s="7">
        <v>0</v>
      </c>
      <c r="D302" s="7">
        <v>0</v>
      </c>
      <c r="E302" s="20" t="str">
        <f t="shared" si="4"/>
        <v>00</v>
      </c>
      <c r="F302" s="21">
        <v>0.27714715801036699</v>
      </c>
      <c r="G302" s="4">
        <v>0.129</v>
      </c>
      <c r="H302" s="4">
        <v>0.11336032388664</v>
      </c>
      <c r="I302" s="4">
        <v>1.2E-2</v>
      </c>
      <c r="J302" s="4">
        <v>6.0000000000000001E-3</v>
      </c>
      <c r="K302" s="5">
        <v>100</v>
      </c>
      <c r="L302" s="5">
        <v>100</v>
      </c>
      <c r="M302" s="5">
        <v>100</v>
      </c>
      <c r="N302" s="5">
        <v>100</v>
      </c>
      <c r="O302" s="2">
        <v>0.13811330212963427</v>
      </c>
      <c r="P302" s="2">
        <v>0.12031660681147671</v>
      </c>
      <c r="Q302" s="2">
        <v>1.2072581234269249E-2</v>
      </c>
      <c r="R302" s="2">
        <v>6.0180723255630212E-3</v>
      </c>
    </row>
    <row r="303" spans="1:18" x14ac:dyDescent="0.3">
      <c r="A303" s="7">
        <v>775</v>
      </c>
      <c r="B303" s="7">
        <v>289</v>
      </c>
      <c r="C303" s="7">
        <v>0</v>
      </c>
      <c r="D303" s="7">
        <v>0</v>
      </c>
      <c r="E303" s="20" t="str">
        <f t="shared" si="4"/>
        <v>00</v>
      </c>
      <c r="F303" s="21">
        <v>0.27908906903790098</v>
      </c>
      <c r="G303" s="4">
        <v>0.26900000000000002</v>
      </c>
      <c r="H303" s="4">
        <v>0.249492900608519</v>
      </c>
      <c r="I303" s="4">
        <v>4.0000000000000001E-3</v>
      </c>
      <c r="J303" s="4">
        <v>1.2E-2</v>
      </c>
      <c r="K303" s="5">
        <v>100</v>
      </c>
      <c r="L303" s="5">
        <v>100</v>
      </c>
      <c r="M303" s="5">
        <v>100</v>
      </c>
      <c r="N303" s="5">
        <v>100</v>
      </c>
      <c r="O303" s="2">
        <v>0.3133418192323586</v>
      </c>
      <c r="P303" s="2">
        <v>0.28700616840441967</v>
      </c>
      <c r="Q303" s="2">
        <v>4.0080213975388218E-3</v>
      </c>
      <c r="R303" s="2">
        <v>1.2072581234269249E-2</v>
      </c>
    </row>
    <row r="304" spans="1:18" x14ac:dyDescent="0.3">
      <c r="A304" s="7">
        <v>978</v>
      </c>
      <c r="B304" s="7">
        <v>299</v>
      </c>
      <c r="C304" s="7">
        <v>0</v>
      </c>
      <c r="D304" s="7">
        <v>0</v>
      </c>
      <c r="E304" s="20" t="str">
        <f t="shared" si="4"/>
        <v>00</v>
      </c>
      <c r="F304" s="21">
        <v>0.279559580922774</v>
      </c>
      <c r="G304" s="4">
        <v>0.153</v>
      </c>
      <c r="H304" s="4">
        <v>0.146341463414634</v>
      </c>
      <c r="I304" s="4">
        <v>8.0000000000000002E-3</v>
      </c>
      <c r="J304" s="4">
        <v>6.0000000000000001E-3</v>
      </c>
      <c r="K304" s="5">
        <v>100</v>
      </c>
      <c r="L304" s="5">
        <v>100</v>
      </c>
      <c r="M304" s="5">
        <v>100</v>
      </c>
      <c r="N304" s="5">
        <v>100</v>
      </c>
      <c r="O304" s="2">
        <v>0.16605458433008269</v>
      </c>
      <c r="P304" s="2">
        <v>0.15822400521489402</v>
      </c>
      <c r="Q304" s="2">
        <v>8.0321716972642666E-3</v>
      </c>
      <c r="R304" s="2">
        <v>6.0180723255630212E-3</v>
      </c>
    </row>
    <row r="305" spans="1:18" x14ac:dyDescent="0.3">
      <c r="A305" s="7">
        <v>357</v>
      </c>
      <c r="B305" s="7">
        <v>306</v>
      </c>
      <c r="C305" s="7">
        <v>0</v>
      </c>
      <c r="D305" s="7">
        <v>0</v>
      </c>
      <c r="E305" s="20" t="str">
        <f t="shared" si="4"/>
        <v>00</v>
      </c>
      <c r="F305" s="21">
        <v>0.27956429329341298</v>
      </c>
      <c r="G305" s="4">
        <v>0.27700000000000002</v>
      </c>
      <c r="H305" s="4">
        <v>0.26239669421487599</v>
      </c>
      <c r="I305" s="4">
        <v>1.2999999999999999E-2</v>
      </c>
      <c r="J305" s="4">
        <v>1.2999999999999999E-2</v>
      </c>
      <c r="K305" s="5">
        <v>100</v>
      </c>
      <c r="L305" s="5">
        <v>100</v>
      </c>
      <c r="M305" s="5">
        <v>100</v>
      </c>
      <c r="N305" s="5">
        <v>100</v>
      </c>
      <c r="O305" s="2">
        <v>0.32434605682337242</v>
      </c>
      <c r="P305" s="2">
        <v>0.30434912493699257</v>
      </c>
      <c r="Q305" s="2">
        <v>1.3085239548655481E-2</v>
      </c>
      <c r="R305" s="2">
        <v>1.3085239548655481E-2</v>
      </c>
    </row>
    <row r="306" spans="1:18" x14ac:dyDescent="0.3">
      <c r="A306" s="7">
        <v>885</v>
      </c>
      <c r="B306" s="7">
        <v>314</v>
      </c>
      <c r="C306" s="7">
        <v>0</v>
      </c>
      <c r="D306" s="7">
        <v>0</v>
      </c>
      <c r="E306" s="20" t="str">
        <f t="shared" si="4"/>
        <v>00</v>
      </c>
      <c r="F306" s="21">
        <v>0.28080713381297601</v>
      </c>
      <c r="G306" s="4">
        <v>0.224</v>
      </c>
      <c r="H306" s="4">
        <v>0.20486815415821499</v>
      </c>
      <c r="I306" s="4">
        <v>1.4E-2</v>
      </c>
      <c r="J306" s="4">
        <v>1.7999999999999999E-2</v>
      </c>
      <c r="K306" s="5">
        <v>100</v>
      </c>
      <c r="L306" s="5">
        <v>100</v>
      </c>
      <c r="M306" s="5">
        <v>100</v>
      </c>
      <c r="N306" s="5">
        <v>100</v>
      </c>
      <c r="O306" s="2">
        <v>0.25360275879891825</v>
      </c>
      <c r="P306" s="2">
        <v>0.22924733425222757</v>
      </c>
      <c r="Q306" s="2">
        <v>1.4098924379501648E-2</v>
      </c>
      <c r="R306" s="2">
        <v>1.816397062767118E-2</v>
      </c>
    </row>
    <row r="307" spans="1:18" x14ac:dyDescent="0.3">
      <c r="A307" s="7">
        <v>595</v>
      </c>
      <c r="B307" s="7">
        <v>290</v>
      </c>
      <c r="C307" s="7">
        <v>0</v>
      </c>
      <c r="D307" s="7">
        <v>0</v>
      </c>
      <c r="E307" s="20" t="str">
        <f t="shared" si="4"/>
        <v>00</v>
      </c>
      <c r="F307" s="21">
        <v>0.28098768907848698</v>
      </c>
      <c r="G307" s="4">
        <v>0.22700000000000001</v>
      </c>
      <c r="H307" s="4">
        <v>0.20997920997920999</v>
      </c>
      <c r="I307" s="4">
        <v>7.0000000000000001E-3</v>
      </c>
      <c r="J307" s="4">
        <v>6.0000000000000001E-3</v>
      </c>
      <c r="K307" s="5">
        <v>100</v>
      </c>
      <c r="L307" s="5">
        <v>100</v>
      </c>
      <c r="M307" s="5">
        <v>100</v>
      </c>
      <c r="N307" s="5">
        <v>100</v>
      </c>
      <c r="O307" s="2">
        <v>0.25747623039471507</v>
      </c>
      <c r="P307" s="2">
        <v>0.23569601738532966</v>
      </c>
      <c r="Q307" s="2">
        <v>7.0246149369644663E-3</v>
      </c>
      <c r="R307" s="2">
        <v>6.0180723255630212E-3</v>
      </c>
    </row>
    <row r="308" spans="1:18" x14ac:dyDescent="0.3">
      <c r="A308" s="7">
        <v>971</v>
      </c>
      <c r="B308" s="7">
        <v>311</v>
      </c>
      <c r="C308" s="7">
        <v>0</v>
      </c>
      <c r="D308" s="7">
        <v>0</v>
      </c>
      <c r="E308" s="20" t="str">
        <f t="shared" si="4"/>
        <v>00</v>
      </c>
      <c r="F308" s="21">
        <v>0.28208914825239501</v>
      </c>
      <c r="G308" s="4">
        <v>0.13</v>
      </c>
      <c r="H308" s="4">
        <v>0.13508064516129001</v>
      </c>
      <c r="I308" s="4">
        <v>1.4E-2</v>
      </c>
      <c r="J308" s="4">
        <v>0.01</v>
      </c>
      <c r="K308" s="5">
        <v>100</v>
      </c>
      <c r="L308" s="5">
        <v>100</v>
      </c>
      <c r="M308" s="5">
        <v>100</v>
      </c>
      <c r="N308" s="5">
        <v>100</v>
      </c>
      <c r="O308" s="2">
        <v>0.13926206733350766</v>
      </c>
      <c r="P308" s="2">
        <v>0.14511900779691017</v>
      </c>
      <c r="Q308" s="2">
        <v>1.4098924379501648E-2</v>
      </c>
      <c r="R308" s="2">
        <v>1.0050335853501451E-2</v>
      </c>
    </row>
    <row r="309" spans="1:18" x14ac:dyDescent="0.3">
      <c r="A309" s="7">
        <v>268</v>
      </c>
      <c r="B309" s="7">
        <v>289</v>
      </c>
      <c r="C309" s="7">
        <v>0</v>
      </c>
      <c r="D309" s="7">
        <v>0</v>
      </c>
      <c r="E309" s="20" t="str">
        <f t="shared" si="4"/>
        <v>00</v>
      </c>
      <c r="F309" s="21">
        <v>0.28264037509304202</v>
      </c>
      <c r="G309" s="4">
        <v>0.439</v>
      </c>
      <c r="H309" s="4">
        <v>0.37953091684434997</v>
      </c>
      <c r="I309" s="4">
        <v>1.6E-2</v>
      </c>
      <c r="J309" s="4">
        <v>8.0000000000000002E-3</v>
      </c>
      <c r="K309" s="5">
        <v>100</v>
      </c>
      <c r="L309" s="5">
        <v>100</v>
      </c>
      <c r="M309" s="5">
        <v>100</v>
      </c>
      <c r="N309" s="5">
        <v>100</v>
      </c>
      <c r="O309" s="2">
        <v>0.57803437345944086</v>
      </c>
      <c r="P309" s="2">
        <v>0.47727950127478724</v>
      </c>
      <c r="Q309" s="2">
        <v>1.6129381929883644E-2</v>
      </c>
      <c r="R309" s="2">
        <v>8.0321716972642666E-3</v>
      </c>
    </row>
    <row r="310" spans="1:18" x14ac:dyDescent="0.3">
      <c r="A310" s="7">
        <v>786</v>
      </c>
      <c r="B310" s="7">
        <v>315</v>
      </c>
      <c r="C310" s="7">
        <v>0</v>
      </c>
      <c r="D310" s="7">
        <v>0</v>
      </c>
      <c r="E310" s="20" t="str">
        <f t="shared" si="4"/>
        <v>00</v>
      </c>
      <c r="F310" s="21">
        <v>0.283244919524962</v>
      </c>
      <c r="G310" s="4">
        <v>0.2</v>
      </c>
      <c r="H310" s="4">
        <v>0.189409368635438</v>
      </c>
      <c r="I310" s="4">
        <v>1.9E-2</v>
      </c>
      <c r="J310" s="4">
        <v>0.02</v>
      </c>
      <c r="K310" s="5">
        <v>100</v>
      </c>
      <c r="L310" s="5">
        <v>100</v>
      </c>
      <c r="M310" s="5">
        <v>100</v>
      </c>
      <c r="N310" s="5">
        <v>100</v>
      </c>
      <c r="O310" s="2">
        <v>0.22314355131420971</v>
      </c>
      <c r="P310" s="2">
        <v>0.20999212251008303</v>
      </c>
      <c r="Q310" s="2">
        <v>1.9182819416773987E-2</v>
      </c>
      <c r="R310" s="2">
        <v>2.0202707317519466E-2</v>
      </c>
    </row>
    <row r="311" spans="1:18" x14ac:dyDescent="0.3">
      <c r="A311" s="7">
        <v>30</v>
      </c>
      <c r="B311" s="7">
        <v>294</v>
      </c>
      <c r="C311" s="7">
        <v>0</v>
      </c>
      <c r="D311" s="7">
        <v>0</v>
      </c>
      <c r="E311" s="20" t="str">
        <f t="shared" si="4"/>
        <v>00</v>
      </c>
      <c r="F311" s="21">
        <v>0.284658839405102</v>
      </c>
      <c r="G311" s="4">
        <v>5.8000000000000003E-2</v>
      </c>
      <c r="H311" s="4">
        <v>6.0362173038229397E-2</v>
      </c>
      <c r="I311" s="4">
        <v>8.9999999999999993E-3</v>
      </c>
      <c r="J311" s="4">
        <v>7.0000000000000001E-3</v>
      </c>
      <c r="K311" s="5">
        <v>100</v>
      </c>
      <c r="L311" s="5">
        <v>100</v>
      </c>
      <c r="M311" s="5">
        <v>100</v>
      </c>
      <c r="N311" s="5">
        <v>100</v>
      </c>
      <c r="O311" s="2">
        <v>5.9750004405774049E-2</v>
      </c>
      <c r="P311" s="2">
        <v>6.2260768427731483E-2</v>
      </c>
      <c r="Q311" s="2">
        <v>9.0407446521490707E-3</v>
      </c>
      <c r="R311" s="2">
        <v>7.0246149369644663E-3</v>
      </c>
    </row>
    <row r="312" spans="1:18" x14ac:dyDescent="0.3">
      <c r="A312" s="7">
        <v>889</v>
      </c>
      <c r="B312" s="7">
        <v>301</v>
      </c>
      <c r="C312" s="7">
        <v>0</v>
      </c>
      <c r="D312" s="7">
        <v>0</v>
      </c>
      <c r="E312" s="20" t="str">
        <f t="shared" si="4"/>
        <v>00</v>
      </c>
      <c r="F312" s="21">
        <v>0.284792575188136</v>
      </c>
      <c r="G312" s="4">
        <v>0.16700000000000001</v>
      </c>
      <c r="H312" s="4">
        <v>0.202898550724638</v>
      </c>
      <c r="I312" s="4">
        <v>1.0999999999999999E-2</v>
      </c>
      <c r="J312" s="4">
        <v>1.2999999999999999E-2</v>
      </c>
      <c r="K312" s="5">
        <v>100</v>
      </c>
      <c r="L312" s="5">
        <v>100</v>
      </c>
      <c r="M312" s="5">
        <v>100</v>
      </c>
      <c r="N312" s="5">
        <v>100</v>
      </c>
      <c r="O312" s="2">
        <v>0.18272163681529441</v>
      </c>
      <c r="P312" s="2">
        <v>0.22677331936478889</v>
      </c>
      <c r="Q312" s="2">
        <v>1.1060947359424948E-2</v>
      </c>
      <c r="R312" s="2">
        <v>1.3085239548655481E-2</v>
      </c>
    </row>
    <row r="313" spans="1:18" x14ac:dyDescent="0.3">
      <c r="A313" s="7">
        <v>503</v>
      </c>
      <c r="B313" s="7">
        <v>310</v>
      </c>
      <c r="C313" s="7">
        <v>0</v>
      </c>
      <c r="D313" s="7">
        <v>0</v>
      </c>
      <c r="E313" s="20" t="str">
        <f t="shared" si="4"/>
        <v>00</v>
      </c>
      <c r="F313" s="21">
        <v>0.28501465728414599</v>
      </c>
      <c r="G313" s="4">
        <v>0.19500000000000001</v>
      </c>
      <c r="H313" s="4">
        <v>0.184738955823293</v>
      </c>
      <c r="I313" s="4">
        <v>1.4E-2</v>
      </c>
      <c r="J313" s="4">
        <v>7.0000000000000001E-3</v>
      </c>
      <c r="K313" s="5">
        <v>100</v>
      </c>
      <c r="L313" s="5">
        <v>100</v>
      </c>
      <c r="M313" s="5">
        <v>100</v>
      </c>
      <c r="N313" s="5">
        <v>100</v>
      </c>
      <c r="O313" s="2">
        <v>0.21691300156357377</v>
      </c>
      <c r="P313" s="2">
        <v>0.20424691742292012</v>
      </c>
      <c r="Q313" s="2">
        <v>1.4098924379501648E-2</v>
      </c>
      <c r="R313" s="2">
        <v>7.0246149369644663E-3</v>
      </c>
    </row>
    <row r="314" spans="1:18" x14ac:dyDescent="0.3">
      <c r="A314" s="7">
        <v>311</v>
      </c>
      <c r="B314" s="7">
        <v>303</v>
      </c>
      <c r="C314" s="7">
        <v>0</v>
      </c>
      <c r="D314" s="7">
        <v>0</v>
      </c>
      <c r="E314" s="20" t="str">
        <f t="shared" si="4"/>
        <v>00</v>
      </c>
      <c r="F314" s="21">
        <v>0.28652991971132402</v>
      </c>
      <c r="G314" s="4">
        <v>0.08</v>
      </c>
      <c r="H314" s="4">
        <v>8.4337349397590397E-2</v>
      </c>
      <c r="I314" s="4">
        <v>8.0000000000000002E-3</v>
      </c>
      <c r="J314" s="4">
        <v>5.0000000000000001E-3</v>
      </c>
      <c r="K314" s="5">
        <v>100</v>
      </c>
      <c r="L314" s="5">
        <v>100</v>
      </c>
      <c r="M314" s="5">
        <v>100</v>
      </c>
      <c r="N314" s="5">
        <v>100</v>
      </c>
      <c r="O314" s="2">
        <v>8.3381608939051013E-2</v>
      </c>
      <c r="P314" s="2">
        <v>8.8107267510266901E-2</v>
      </c>
      <c r="Q314" s="2">
        <v>8.0321716972642666E-3</v>
      </c>
      <c r="R314" s="2">
        <v>5.0125418235442863E-3</v>
      </c>
    </row>
    <row r="315" spans="1:18" x14ac:dyDescent="0.3">
      <c r="A315" s="7">
        <v>42</v>
      </c>
      <c r="B315" s="7">
        <v>283</v>
      </c>
      <c r="C315" s="7">
        <v>0</v>
      </c>
      <c r="D315" s="7">
        <v>0</v>
      </c>
      <c r="E315" s="20" t="str">
        <f t="shared" si="4"/>
        <v>00</v>
      </c>
      <c r="F315" s="21">
        <v>0.28837640888677202</v>
      </c>
      <c r="G315" s="4">
        <v>7.9000000000000001E-2</v>
      </c>
      <c r="H315" s="4">
        <v>7.8156312625250496E-2</v>
      </c>
      <c r="I315" s="4">
        <v>6.0000000000000001E-3</v>
      </c>
      <c r="J315" s="4">
        <v>7.0000000000000001E-3</v>
      </c>
      <c r="K315" s="5">
        <v>100</v>
      </c>
      <c r="L315" s="5">
        <v>100</v>
      </c>
      <c r="M315" s="5">
        <v>100</v>
      </c>
      <c r="N315" s="5">
        <v>100</v>
      </c>
      <c r="O315" s="2">
        <v>8.2295242726830156E-2</v>
      </c>
      <c r="P315" s="2">
        <v>8.1379606268377952E-2</v>
      </c>
      <c r="Q315" s="2">
        <v>6.0180723255630212E-3</v>
      </c>
      <c r="R315" s="2">
        <v>7.0246149369644663E-3</v>
      </c>
    </row>
    <row r="316" spans="1:18" x14ac:dyDescent="0.3">
      <c r="A316" s="7">
        <v>502</v>
      </c>
      <c r="B316" s="7">
        <v>279</v>
      </c>
      <c r="C316" s="7">
        <v>0</v>
      </c>
      <c r="D316" s="7">
        <v>0</v>
      </c>
      <c r="E316" s="20" t="str">
        <f t="shared" si="4"/>
        <v>00</v>
      </c>
      <c r="F316" s="21">
        <v>0.28989895883078798</v>
      </c>
      <c r="G316" s="4">
        <v>0.113</v>
      </c>
      <c r="H316" s="4">
        <v>0.101626016260163</v>
      </c>
      <c r="I316" s="4">
        <v>7.0000000000000001E-3</v>
      </c>
      <c r="J316" s="4">
        <v>1.4E-2</v>
      </c>
      <c r="K316" s="5">
        <v>100</v>
      </c>
      <c r="L316" s="5">
        <v>100</v>
      </c>
      <c r="M316" s="5">
        <v>100</v>
      </c>
      <c r="N316" s="5">
        <v>100</v>
      </c>
      <c r="O316" s="2">
        <v>0.11991029667255755</v>
      </c>
      <c r="P316" s="2">
        <v>0.10716883441461042</v>
      </c>
      <c r="Q316" s="2">
        <v>7.0246149369644663E-3</v>
      </c>
      <c r="R316" s="2">
        <v>1.4098924379501648E-2</v>
      </c>
    </row>
    <row r="317" spans="1:18" x14ac:dyDescent="0.3">
      <c r="A317" s="7">
        <v>615</v>
      </c>
      <c r="B317" s="7">
        <v>308</v>
      </c>
      <c r="C317" s="7">
        <v>0</v>
      </c>
      <c r="D317" s="7">
        <v>0</v>
      </c>
      <c r="E317" s="20" t="str">
        <f t="shared" si="4"/>
        <v>00</v>
      </c>
      <c r="F317" s="21">
        <v>0.29007759746211098</v>
      </c>
      <c r="G317" s="4">
        <v>0.33900000000000002</v>
      </c>
      <c r="H317" s="4">
        <v>0.30490405117270802</v>
      </c>
      <c r="I317" s="4">
        <v>8.9999999999999993E-3</v>
      </c>
      <c r="J317" s="4">
        <v>1.7999999999999999E-2</v>
      </c>
      <c r="K317" s="5">
        <v>100</v>
      </c>
      <c r="L317" s="5">
        <v>100</v>
      </c>
      <c r="M317" s="5">
        <v>100</v>
      </c>
      <c r="N317" s="5">
        <v>100</v>
      </c>
      <c r="O317" s="2">
        <v>0.41400143913045073</v>
      </c>
      <c r="P317" s="2">
        <v>0.3637053870795719</v>
      </c>
      <c r="Q317" s="2">
        <v>9.0407446521490707E-3</v>
      </c>
      <c r="R317" s="2">
        <v>1.816397062767118E-2</v>
      </c>
    </row>
    <row r="318" spans="1:18" x14ac:dyDescent="0.3">
      <c r="A318" s="7">
        <v>75</v>
      </c>
      <c r="B318" s="7">
        <v>318</v>
      </c>
      <c r="C318" s="7">
        <v>0</v>
      </c>
      <c r="D318" s="7">
        <v>0</v>
      </c>
      <c r="E318" s="20" t="str">
        <f t="shared" si="4"/>
        <v>00</v>
      </c>
      <c r="F318" s="21">
        <v>0.29353564888911599</v>
      </c>
      <c r="G318" s="4">
        <v>0.14000000000000001</v>
      </c>
      <c r="H318" s="4">
        <v>0.126506024096386</v>
      </c>
      <c r="I318" s="4">
        <v>0.01</v>
      </c>
      <c r="J318" s="4">
        <v>1.2E-2</v>
      </c>
      <c r="K318" s="5">
        <v>100</v>
      </c>
      <c r="L318" s="5">
        <v>100</v>
      </c>
      <c r="M318" s="5">
        <v>100</v>
      </c>
      <c r="N318" s="5">
        <v>100</v>
      </c>
      <c r="O318" s="2">
        <v>0.15082288973458366</v>
      </c>
      <c r="P318" s="2">
        <v>0.13525404593596937</v>
      </c>
      <c r="Q318" s="2">
        <v>1.0050335853501451E-2</v>
      </c>
      <c r="R318" s="2">
        <v>1.2072581234269249E-2</v>
      </c>
    </row>
    <row r="319" spans="1:18" x14ac:dyDescent="0.3">
      <c r="A319" s="7">
        <v>100</v>
      </c>
      <c r="B319" s="7">
        <v>304</v>
      </c>
      <c r="C319" s="7">
        <v>0</v>
      </c>
      <c r="D319" s="7">
        <v>0</v>
      </c>
      <c r="E319" s="20" t="str">
        <f t="shared" si="4"/>
        <v>00</v>
      </c>
      <c r="F319" s="21">
        <v>0.29704669526525201</v>
      </c>
      <c r="G319" s="4">
        <v>0.26</v>
      </c>
      <c r="H319" s="4">
        <v>0.25204918032786899</v>
      </c>
      <c r="I319" s="4">
        <v>1.2999999999999999E-2</v>
      </c>
      <c r="J319" s="4">
        <v>5.0000000000000001E-3</v>
      </c>
      <c r="K319" s="5">
        <v>100</v>
      </c>
      <c r="L319" s="5">
        <v>100</v>
      </c>
      <c r="M319" s="5">
        <v>100</v>
      </c>
      <c r="N319" s="5">
        <v>100</v>
      </c>
      <c r="O319" s="2">
        <v>0.30110509278392161</v>
      </c>
      <c r="P319" s="2">
        <v>0.29041805227065592</v>
      </c>
      <c r="Q319" s="2">
        <v>1.3085239548655481E-2</v>
      </c>
      <c r="R319" s="2">
        <v>5.0125418235442863E-3</v>
      </c>
    </row>
    <row r="320" spans="1:18" x14ac:dyDescent="0.3">
      <c r="A320" s="7">
        <v>915</v>
      </c>
      <c r="B320" s="7">
        <v>340</v>
      </c>
      <c r="C320" s="7">
        <v>0</v>
      </c>
      <c r="D320" s="7">
        <v>0</v>
      </c>
      <c r="E320" s="20" t="str">
        <f t="shared" si="4"/>
        <v>00</v>
      </c>
      <c r="F320" s="21">
        <v>0.29720897097429499</v>
      </c>
      <c r="G320" s="4">
        <v>0.11899999999999999</v>
      </c>
      <c r="H320" s="4">
        <v>9.1836734693877597E-2</v>
      </c>
      <c r="I320" s="4">
        <v>1.0999999999999999E-2</v>
      </c>
      <c r="J320" s="4">
        <v>8.9999999999999993E-3</v>
      </c>
      <c r="K320" s="5">
        <v>100</v>
      </c>
      <c r="L320" s="5">
        <v>100</v>
      </c>
      <c r="M320" s="5">
        <v>100</v>
      </c>
      <c r="N320" s="5">
        <v>100</v>
      </c>
      <c r="O320" s="2">
        <v>0.12669765304595754</v>
      </c>
      <c r="P320" s="2">
        <v>9.6331108938432067E-2</v>
      </c>
      <c r="Q320" s="2">
        <v>1.1060947359424948E-2</v>
      </c>
      <c r="R320" s="2">
        <v>9.0407446521490707E-3</v>
      </c>
    </row>
    <row r="321" spans="1:18" x14ac:dyDescent="0.3">
      <c r="A321" s="7">
        <v>209</v>
      </c>
      <c r="B321" s="7">
        <v>286</v>
      </c>
      <c r="C321" s="7">
        <v>0</v>
      </c>
      <c r="D321" s="7">
        <v>0</v>
      </c>
      <c r="E321" s="20" t="str">
        <f t="shared" si="4"/>
        <v>00</v>
      </c>
      <c r="F321" s="21">
        <v>0.30118318164653501</v>
      </c>
      <c r="G321" s="4">
        <v>0.39300000000000002</v>
      </c>
      <c r="H321" s="4">
        <v>0.35256410256410298</v>
      </c>
      <c r="I321" s="4">
        <v>8.0000000000000002E-3</v>
      </c>
      <c r="J321" s="4">
        <v>1.0999999999999999E-2</v>
      </c>
      <c r="K321" s="5">
        <v>100</v>
      </c>
      <c r="L321" s="5">
        <v>100</v>
      </c>
      <c r="M321" s="5">
        <v>100</v>
      </c>
      <c r="N321" s="5">
        <v>100</v>
      </c>
      <c r="O321" s="2">
        <v>0.4992264879226388</v>
      </c>
      <c r="P321" s="2">
        <v>0.43473549040827825</v>
      </c>
      <c r="Q321" s="2">
        <v>8.0321716972642666E-3</v>
      </c>
      <c r="R321" s="2">
        <v>1.1060947359424948E-2</v>
      </c>
    </row>
    <row r="322" spans="1:18" x14ac:dyDescent="0.3">
      <c r="A322" s="7">
        <v>810</v>
      </c>
      <c r="B322" s="7">
        <v>305</v>
      </c>
      <c r="C322" s="7">
        <v>0</v>
      </c>
      <c r="D322" s="7">
        <v>0</v>
      </c>
      <c r="E322" s="20" t="str">
        <f t="shared" ref="E322:E385" si="5">_xlfn.CONCAT(C322,D322)</f>
        <v>00</v>
      </c>
      <c r="F322" s="21">
        <v>0.30335786615694799</v>
      </c>
      <c r="G322" s="4">
        <v>0.193</v>
      </c>
      <c r="H322" s="4">
        <v>0.19238476953907799</v>
      </c>
      <c r="I322" s="4">
        <v>7.0000000000000001E-3</v>
      </c>
      <c r="J322" s="4">
        <v>1.2E-2</v>
      </c>
      <c r="K322" s="5">
        <v>100</v>
      </c>
      <c r="L322" s="5">
        <v>100</v>
      </c>
      <c r="M322" s="5">
        <v>100</v>
      </c>
      <c r="N322" s="5">
        <v>100</v>
      </c>
      <c r="O322" s="2">
        <v>0.21443161071218833</v>
      </c>
      <c r="P322" s="2">
        <v>0.2136695338048355</v>
      </c>
      <c r="Q322" s="2">
        <v>7.0246149369644663E-3</v>
      </c>
      <c r="R322" s="2">
        <v>1.2072581234269249E-2</v>
      </c>
    </row>
    <row r="323" spans="1:18" x14ac:dyDescent="0.3">
      <c r="A323" s="7">
        <v>511</v>
      </c>
      <c r="B323" s="7">
        <v>302</v>
      </c>
      <c r="C323" s="7">
        <v>0</v>
      </c>
      <c r="D323" s="7">
        <v>0</v>
      </c>
      <c r="E323" s="20" t="str">
        <f t="shared" si="5"/>
        <v>00</v>
      </c>
      <c r="F323" s="21">
        <v>0.30397640666921399</v>
      </c>
      <c r="G323" s="4">
        <v>6.9000000000000006E-2</v>
      </c>
      <c r="H323" s="4">
        <v>8.21643286573146E-2</v>
      </c>
      <c r="I323" s="4">
        <v>1.4E-2</v>
      </c>
      <c r="J323" s="4">
        <v>5.0000000000000001E-3</v>
      </c>
      <c r="K323" s="5">
        <v>100</v>
      </c>
      <c r="L323" s="5">
        <v>100</v>
      </c>
      <c r="M323" s="5">
        <v>100</v>
      </c>
      <c r="N323" s="5">
        <v>100</v>
      </c>
      <c r="O323" s="2">
        <v>7.1496001705069923E-2</v>
      </c>
      <c r="P323" s="2">
        <v>8.5736911637333671E-2</v>
      </c>
      <c r="Q323" s="2">
        <v>1.4098924379501648E-2</v>
      </c>
      <c r="R323" s="2">
        <v>5.0125418235442863E-3</v>
      </c>
    </row>
    <row r="324" spans="1:18" x14ac:dyDescent="0.3">
      <c r="A324" s="7">
        <v>664</v>
      </c>
      <c r="B324" s="7">
        <v>279</v>
      </c>
      <c r="C324" s="7">
        <v>0</v>
      </c>
      <c r="D324" s="7">
        <v>0</v>
      </c>
      <c r="E324" s="20" t="str">
        <f t="shared" si="5"/>
        <v>00</v>
      </c>
      <c r="F324" s="21">
        <v>0.30650230520959298</v>
      </c>
      <c r="G324" s="4">
        <v>0.35199999999999998</v>
      </c>
      <c r="H324" s="4">
        <v>0.26710816777041901</v>
      </c>
      <c r="I324" s="4">
        <v>0.01</v>
      </c>
      <c r="J324" s="4">
        <v>1.0999999999999999E-2</v>
      </c>
      <c r="K324" s="5">
        <v>100</v>
      </c>
      <c r="L324" s="5">
        <v>100</v>
      </c>
      <c r="M324" s="5">
        <v>100</v>
      </c>
      <c r="N324" s="5">
        <v>100</v>
      </c>
      <c r="O324" s="2">
        <v>0.43386458262986233</v>
      </c>
      <c r="P324" s="2">
        <v>0.3107571565665449</v>
      </c>
      <c r="Q324" s="2">
        <v>1.0050335853501451E-2</v>
      </c>
      <c r="R324" s="2">
        <v>1.1060947359424948E-2</v>
      </c>
    </row>
    <row r="325" spans="1:18" x14ac:dyDescent="0.3">
      <c r="A325" s="7">
        <v>566</v>
      </c>
      <c r="B325" s="7">
        <v>311</v>
      </c>
      <c r="C325" s="7">
        <v>0</v>
      </c>
      <c r="D325" s="7">
        <v>0</v>
      </c>
      <c r="E325" s="20" t="str">
        <f t="shared" si="5"/>
        <v>00</v>
      </c>
      <c r="F325" s="21">
        <v>0.30692317542921599</v>
      </c>
      <c r="G325" s="4">
        <v>8.7999999999999995E-2</v>
      </c>
      <c r="H325" s="4">
        <v>9.2555331991951706E-2</v>
      </c>
      <c r="I325" s="4">
        <v>8.9999999999999993E-3</v>
      </c>
      <c r="J325" s="4">
        <v>8.0000000000000002E-3</v>
      </c>
      <c r="K325" s="5">
        <v>100</v>
      </c>
      <c r="L325" s="5">
        <v>100</v>
      </c>
      <c r="M325" s="5">
        <v>100</v>
      </c>
      <c r="N325" s="5">
        <v>100</v>
      </c>
      <c r="O325" s="2">
        <v>9.2115288907805626E-2</v>
      </c>
      <c r="P325" s="2">
        <v>9.7122686593950319E-2</v>
      </c>
      <c r="Q325" s="2">
        <v>9.0407446521490707E-3</v>
      </c>
      <c r="R325" s="2">
        <v>8.0321716972642666E-3</v>
      </c>
    </row>
    <row r="326" spans="1:18" x14ac:dyDescent="0.3">
      <c r="A326" s="7">
        <v>761</v>
      </c>
      <c r="B326" s="7">
        <v>289</v>
      </c>
      <c r="C326" s="7">
        <v>0</v>
      </c>
      <c r="D326" s="7">
        <v>0</v>
      </c>
      <c r="E326" s="20" t="str">
        <f t="shared" si="5"/>
        <v>00</v>
      </c>
      <c r="F326" s="21">
        <v>0.30780623010059899</v>
      </c>
      <c r="G326" s="4">
        <v>0.182</v>
      </c>
      <c r="H326" s="4">
        <v>0.18979591836734699</v>
      </c>
      <c r="I326" s="4">
        <v>8.0000000000000002E-3</v>
      </c>
      <c r="J326" s="4">
        <v>8.9999999999999993E-3</v>
      </c>
      <c r="K326" s="5">
        <v>100</v>
      </c>
      <c r="L326" s="5">
        <v>100</v>
      </c>
      <c r="M326" s="5">
        <v>100</v>
      </c>
      <c r="N326" s="5">
        <v>100</v>
      </c>
      <c r="O326" s="2">
        <v>0.20089294237938993</v>
      </c>
      <c r="P326" s="2">
        <v>0.21046911041748195</v>
      </c>
      <c r="Q326" s="2">
        <v>8.0321716972642666E-3</v>
      </c>
      <c r="R326" s="2">
        <v>9.0407446521490707E-3</v>
      </c>
    </row>
    <row r="327" spans="1:18" x14ac:dyDescent="0.3">
      <c r="A327" s="7">
        <v>992</v>
      </c>
      <c r="B327" s="7">
        <v>318</v>
      </c>
      <c r="C327" s="7">
        <v>0</v>
      </c>
      <c r="D327" s="7">
        <v>0</v>
      </c>
      <c r="E327" s="20" t="str">
        <f t="shared" si="5"/>
        <v>00</v>
      </c>
      <c r="F327" s="21">
        <v>0.30830537971413402</v>
      </c>
      <c r="G327" s="4">
        <v>0.17199999999999999</v>
      </c>
      <c r="H327" s="4">
        <v>0.16129032258064499</v>
      </c>
      <c r="I327" s="4">
        <v>5.0000000000000001E-3</v>
      </c>
      <c r="J327" s="4">
        <v>7.0000000000000001E-3</v>
      </c>
      <c r="K327" s="5">
        <v>100</v>
      </c>
      <c r="L327" s="5">
        <v>100</v>
      </c>
      <c r="M327" s="5">
        <v>100</v>
      </c>
      <c r="N327" s="5">
        <v>100</v>
      </c>
      <c r="O327" s="2">
        <v>0.18874212459687728</v>
      </c>
      <c r="P327" s="2">
        <v>0.17589066646366402</v>
      </c>
      <c r="Q327" s="2">
        <v>5.0125418235442863E-3</v>
      </c>
      <c r="R327" s="2">
        <v>7.0246149369644663E-3</v>
      </c>
    </row>
    <row r="328" spans="1:18" x14ac:dyDescent="0.3">
      <c r="A328" s="7">
        <v>995</v>
      </c>
      <c r="B328" s="7">
        <v>300</v>
      </c>
      <c r="C328" s="7">
        <v>0</v>
      </c>
      <c r="D328" s="7">
        <v>0</v>
      </c>
      <c r="E328" s="20" t="str">
        <f t="shared" si="5"/>
        <v>00</v>
      </c>
      <c r="F328" s="21">
        <v>0.308627126435703</v>
      </c>
      <c r="G328" s="4">
        <v>0.72399999999999998</v>
      </c>
      <c r="H328" s="4">
        <v>0.62470862470862498</v>
      </c>
      <c r="I328" s="4">
        <v>1.7000000000000001E-2</v>
      </c>
      <c r="J328" s="4">
        <v>7.0000000000000001E-3</v>
      </c>
      <c r="K328" s="5">
        <v>0</v>
      </c>
      <c r="L328" s="5">
        <v>0</v>
      </c>
      <c r="M328" s="5">
        <v>100</v>
      </c>
      <c r="N328" s="5">
        <v>100</v>
      </c>
      <c r="O328" s="2">
        <v>1.287354413264987</v>
      </c>
      <c r="P328" s="2">
        <v>0.98005255394355473</v>
      </c>
      <c r="Q328" s="2">
        <v>1.7146158834970514E-2</v>
      </c>
      <c r="R328" s="2">
        <v>7.0246149369644663E-3</v>
      </c>
    </row>
    <row r="329" spans="1:18" x14ac:dyDescent="0.3">
      <c r="A329" s="7">
        <v>525</v>
      </c>
      <c r="B329" s="7">
        <v>301</v>
      </c>
      <c r="C329" s="7">
        <v>0</v>
      </c>
      <c r="D329" s="7">
        <v>0</v>
      </c>
      <c r="E329" s="20" t="str">
        <f t="shared" si="5"/>
        <v>00</v>
      </c>
      <c r="F329" s="21">
        <v>0.30995812642966702</v>
      </c>
      <c r="G329" s="4">
        <v>0.20699999999999999</v>
      </c>
      <c r="H329" s="4">
        <v>0.18124999999999999</v>
      </c>
      <c r="I329" s="4">
        <v>1.2999999999999999E-2</v>
      </c>
      <c r="J329" s="4">
        <v>1.4E-2</v>
      </c>
      <c r="K329" s="5">
        <v>100</v>
      </c>
      <c r="L329" s="5">
        <v>100</v>
      </c>
      <c r="M329" s="5">
        <v>100</v>
      </c>
      <c r="N329" s="5">
        <v>100</v>
      </c>
      <c r="O329" s="2">
        <v>0.23193205734728903</v>
      </c>
      <c r="P329" s="2">
        <v>0.1999764920326754</v>
      </c>
      <c r="Q329" s="2">
        <v>1.3085239548655481E-2</v>
      </c>
      <c r="R329" s="2">
        <v>1.4098924379501648E-2</v>
      </c>
    </row>
    <row r="330" spans="1:18" x14ac:dyDescent="0.3">
      <c r="A330" s="7">
        <v>573</v>
      </c>
      <c r="B330" s="7">
        <v>283</v>
      </c>
      <c r="C330" s="7">
        <v>0</v>
      </c>
      <c r="D330" s="7">
        <v>0</v>
      </c>
      <c r="E330" s="20" t="str">
        <f t="shared" si="5"/>
        <v>00</v>
      </c>
      <c r="F330" s="21">
        <v>0.31110549481516903</v>
      </c>
      <c r="G330" s="4">
        <v>7.3999999999999996E-2</v>
      </c>
      <c r="H330" s="4">
        <v>6.50406504065041E-2</v>
      </c>
      <c r="I330" s="4">
        <v>0.01</v>
      </c>
      <c r="J330" s="4">
        <v>5.0000000000000001E-3</v>
      </c>
      <c r="K330" s="5">
        <v>100</v>
      </c>
      <c r="L330" s="5">
        <v>100</v>
      </c>
      <c r="M330" s="5">
        <v>100</v>
      </c>
      <c r="N330" s="5">
        <v>100</v>
      </c>
      <c r="O330" s="2">
        <v>7.6881044335957618E-2</v>
      </c>
      <c r="P330" s="2">
        <v>6.7252227009167456E-2</v>
      </c>
      <c r="Q330" s="2">
        <v>1.0050335853501451E-2</v>
      </c>
      <c r="R330" s="2">
        <v>5.0125418235442863E-3</v>
      </c>
    </row>
    <row r="331" spans="1:18" x14ac:dyDescent="0.3">
      <c r="A331" s="7">
        <v>228</v>
      </c>
      <c r="B331" s="7">
        <v>275</v>
      </c>
      <c r="C331" s="7">
        <v>0</v>
      </c>
      <c r="D331" s="7">
        <v>0</v>
      </c>
      <c r="E331" s="20" t="str">
        <f t="shared" si="5"/>
        <v>00</v>
      </c>
      <c r="F331" s="21">
        <v>0.31234716471468699</v>
      </c>
      <c r="G331" s="4">
        <v>0.123</v>
      </c>
      <c r="H331" s="4">
        <v>0.10505050505050501</v>
      </c>
      <c r="I331" s="4">
        <v>7.0000000000000001E-3</v>
      </c>
      <c r="J331" s="4">
        <v>5.0000000000000001E-3</v>
      </c>
      <c r="K331" s="5">
        <v>100</v>
      </c>
      <c r="L331" s="5">
        <v>100</v>
      </c>
      <c r="M331" s="5">
        <v>100</v>
      </c>
      <c r="N331" s="5">
        <v>100</v>
      </c>
      <c r="O331" s="2">
        <v>0.13124828660995402</v>
      </c>
      <c r="P331" s="2">
        <v>0.11098799252355468</v>
      </c>
      <c r="Q331" s="2">
        <v>7.0246149369644663E-3</v>
      </c>
      <c r="R331" s="2">
        <v>5.0125418235442863E-3</v>
      </c>
    </row>
    <row r="332" spans="1:18" x14ac:dyDescent="0.3">
      <c r="A332" s="7">
        <v>409</v>
      </c>
      <c r="B332" s="7">
        <v>290</v>
      </c>
      <c r="C332" s="7">
        <v>0</v>
      </c>
      <c r="D332" s="7">
        <v>0</v>
      </c>
      <c r="E332" s="20" t="str">
        <f t="shared" si="5"/>
        <v>00</v>
      </c>
      <c r="F332" s="21">
        <v>0.31412566458750402</v>
      </c>
      <c r="G332" s="4">
        <v>0.153</v>
      </c>
      <c r="H332" s="4">
        <v>0.10337552742616</v>
      </c>
      <c r="I332" s="4">
        <v>1.4E-2</v>
      </c>
      <c r="J332" s="4">
        <v>8.0000000000000002E-3</v>
      </c>
      <c r="K332" s="5">
        <v>100</v>
      </c>
      <c r="L332" s="5">
        <v>100</v>
      </c>
      <c r="M332" s="5">
        <v>100</v>
      </c>
      <c r="N332" s="5">
        <v>100</v>
      </c>
      <c r="O332" s="2">
        <v>0.16605458433008269</v>
      </c>
      <c r="P332" s="2">
        <v>0.10911815277065925</v>
      </c>
      <c r="Q332" s="2">
        <v>1.4098924379501648E-2</v>
      </c>
      <c r="R332" s="2">
        <v>8.0321716972642666E-3</v>
      </c>
    </row>
    <row r="333" spans="1:18" x14ac:dyDescent="0.3">
      <c r="A333" s="7">
        <v>907</v>
      </c>
      <c r="B333" s="7">
        <v>310</v>
      </c>
      <c r="C333" s="7">
        <v>0</v>
      </c>
      <c r="D333" s="7">
        <v>0</v>
      </c>
      <c r="E333" s="20" t="str">
        <f t="shared" si="5"/>
        <v>00</v>
      </c>
      <c r="F333" s="21">
        <v>0.31499579638124398</v>
      </c>
      <c r="G333" s="4">
        <v>9.8000000000000004E-2</v>
      </c>
      <c r="H333" s="4">
        <v>9.9593495934959406E-2</v>
      </c>
      <c r="I333" s="4">
        <v>5.0000000000000001E-3</v>
      </c>
      <c r="J333" s="4">
        <v>1.4E-2</v>
      </c>
      <c r="K333" s="5">
        <v>100</v>
      </c>
      <c r="L333" s="5">
        <v>100</v>
      </c>
      <c r="M333" s="5">
        <v>100</v>
      </c>
      <c r="N333" s="5">
        <v>100</v>
      </c>
      <c r="O333" s="2">
        <v>0.10314075891951337</v>
      </c>
      <c r="P333" s="2">
        <v>0.1049089464471725</v>
      </c>
      <c r="Q333" s="2">
        <v>5.0125418235442863E-3</v>
      </c>
      <c r="R333" s="2">
        <v>1.4098924379501648E-2</v>
      </c>
    </row>
    <row r="334" spans="1:18" x14ac:dyDescent="0.3">
      <c r="A334" s="7">
        <v>393</v>
      </c>
      <c r="B334" s="7">
        <v>305</v>
      </c>
      <c r="C334" s="7">
        <v>0</v>
      </c>
      <c r="D334" s="7">
        <v>0</v>
      </c>
      <c r="E334" s="20" t="str">
        <f t="shared" si="5"/>
        <v>00</v>
      </c>
      <c r="F334" s="21">
        <v>0.31872905517884198</v>
      </c>
      <c r="G334" s="4">
        <v>0.14599999999999999</v>
      </c>
      <c r="H334" s="4">
        <v>0.133333333333333</v>
      </c>
      <c r="I334" s="4">
        <v>0.01</v>
      </c>
      <c r="J334" s="4">
        <v>1.2E-2</v>
      </c>
      <c r="K334" s="5">
        <v>100</v>
      </c>
      <c r="L334" s="5">
        <v>100</v>
      </c>
      <c r="M334" s="5">
        <v>100</v>
      </c>
      <c r="N334" s="5">
        <v>100</v>
      </c>
      <c r="O334" s="2">
        <v>0.15782408519356722</v>
      </c>
      <c r="P334" s="2">
        <v>0.14310084364067291</v>
      </c>
      <c r="Q334" s="2">
        <v>1.0050335853501451E-2</v>
      </c>
      <c r="R334" s="2">
        <v>1.2072581234269249E-2</v>
      </c>
    </row>
    <row r="335" spans="1:18" x14ac:dyDescent="0.3">
      <c r="A335" s="7">
        <v>101</v>
      </c>
      <c r="B335" s="7">
        <v>294</v>
      </c>
      <c r="C335" s="7">
        <v>0</v>
      </c>
      <c r="D335" s="7">
        <v>0</v>
      </c>
      <c r="E335" s="20" t="str">
        <f t="shared" si="5"/>
        <v>00</v>
      </c>
      <c r="F335" s="21">
        <v>0.31929765135076299</v>
      </c>
      <c r="G335" s="4">
        <v>0.30099999999999999</v>
      </c>
      <c r="H335" s="4">
        <v>0.28194726166328599</v>
      </c>
      <c r="I335" s="4">
        <v>1.2999999999999999E-2</v>
      </c>
      <c r="J335" s="4">
        <v>7.0000000000000001E-3</v>
      </c>
      <c r="K335" s="5">
        <v>100</v>
      </c>
      <c r="L335" s="5">
        <v>100</v>
      </c>
      <c r="M335" s="5">
        <v>100</v>
      </c>
      <c r="N335" s="5">
        <v>100</v>
      </c>
      <c r="O335" s="2">
        <v>0.35810453674832671</v>
      </c>
      <c r="P335" s="2">
        <v>0.33121226090891565</v>
      </c>
      <c r="Q335" s="2">
        <v>1.3085239548655481E-2</v>
      </c>
      <c r="R335" s="2">
        <v>7.0246149369644663E-3</v>
      </c>
    </row>
    <row r="336" spans="1:18" x14ac:dyDescent="0.3">
      <c r="A336" s="7">
        <v>61</v>
      </c>
      <c r="B336" s="7">
        <v>284</v>
      </c>
      <c r="C336" s="7">
        <v>0</v>
      </c>
      <c r="D336" s="7">
        <v>0</v>
      </c>
      <c r="E336" s="20" t="str">
        <f t="shared" si="5"/>
        <v>00</v>
      </c>
      <c r="F336" s="21">
        <v>0.32134041306109201</v>
      </c>
      <c r="G336" s="4">
        <v>0.29299999999999998</v>
      </c>
      <c r="H336" s="4">
        <v>0.271255060728745</v>
      </c>
      <c r="I336" s="4">
        <v>1.6E-2</v>
      </c>
      <c r="J336" s="4">
        <v>1.0999999999999999E-2</v>
      </c>
      <c r="K336" s="5">
        <v>100</v>
      </c>
      <c r="L336" s="5">
        <v>100</v>
      </c>
      <c r="M336" s="5">
        <v>100</v>
      </c>
      <c r="N336" s="5">
        <v>100</v>
      </c>
      <c r="O336" s="2">
        <v>0.34672461308556418</v>
      </c>
      <c r="P336" s="2">
        <v>0.3164314857377668</v>
      </c>
      <c r="Q336" s="2">
        <v>1.6129381929883644E-2</v>
      </c>
      <c r="R336" s="2">
        <v>1.1060947359424948E-2</v>
      </c>
    </row>
    <row r="337" spans="1:18" x14ac:dyDescent="0.3">
      <c r="A337" s="7">
        <v>565</v>
      </c>
      <c r="B337" s="7">
        <v>278</v>
      </c>
      <c r="C337" s="7">
        <v>0</v>
      </c>
      <c r="D337" s="7">
        <v>0</v>
      </c>
      <c r="E337" s="20" t="str">
        <f t="shared" si="5"/>
        <v>00</v>
      </c>
      <c r="F337" s="21">
        <v>0.32135468006322698</v>
      </c>
      <c r="G337" s="4">
        <v>0.27300000000000002</v>
      </c>
      <c r="H337" s="4">
        <v>0.23780487804878001</v>
      </c>
      <c r="I337" s="4">
        <v>1.7000000000000001E-2</v>
      </c>
      <c r="J337" s="4">
        <v>1.4E-2</v>
      </c>
      <c r="K337" s="5">
        <v>100</v>
      </c>
      <c r="L337" s="5">
        <v>100</v>
      </c>
      <c r="M337" s="5">
        <v>100</v>
      </c>
      <c r="N337" s="5">
        <v>100</v>
      </c>
      <c r="O337" s="2">
        <v>0.31882880144861769</v>
      </c>
      <c r="P337" s="2">
        <v>0.27155269052189668</v>
      </c>
      <c r="Q337" s="2">
        <v>1.7146158834970514E-2</v>
      </c>
      <c r="R337" s="2">
        <v>1.4098924379501648E-2</v>
      </c>
    </row>
    <row r="338" spans="1:18" x14ac:dyDescent="0.3">
      <c r="A338" s="7">
        <v>830</v>
      </c>
      <c r="B338" s="7">
        <v>290</v>
      </c>
      <c r="C338" s="7">
        <v>0</v>
      </c>
      <c r="D338" s="7">
        <v>0</v>
      </c>
      <c r="E338" s="20" t="str">
        <f t="shared" si="5"/>
        <v>00</v>
      </c>
      <c r="F338" s="21">
        <v>0.32489243456539002</v>
      </c>
      <c r="G338" s="4">
        <v>8.1000000000000003E-2</v>
      </c>
      <c r="H338" s="4">
        <v>8.6172344689378802E-2</v>
      </c>
      <c r="I338" s="4">
        <v>1.6E-2</v>
      </c>
      <c r="J338" s="4">
        <v>1.4999999999999999E-2</v>
      </c>
      <c r="K338" s="5">
        <v>100</v>
      </c>
      <c r="L338" s="5">
        <v>100</v>
      </c>
      <c r="M338" s="5">
        <v>100</v>
      </c>
      <c r="N338" s="5">
        <v>100</v>
      </c>
      <c r="O338" s="2">
        <v>8.4469156626449965E-2</v>
      </c>
      <c r="P338" s="2">
        <v>9.0113286237132675E-2</v>
      </c>
      <c r="Q338" s="2">
        <v>1.6129381929883644E-2</v>
      </c>
      <c r="R338" s="2">
        <v>1.5113637810048184E-2</v>
      </c>
    </row>
    <row r="339" spans="1:18" x14ac:dyDescent="0.3">
      <c r="A339" s="7">
        <v>690</v>
      </c>
      <c r="B339" s="7">
        <v>271</v>
      </c>
      <c r="C339" s="7">
        <v>0</v>
      </c>
      <c r="D339" s="7">
        <v>0</v>
      </c>
      <c r="E339" s="20" t="str">
        <f t="shared" si="5"/>
        <v>00</v>
      </c>
      <c r="F339" s="21">
        <v>0.326082112391961</v>
      </c>
      <c r="G339" s="4">
        <v>0.30199999999999999</v>
      </c>
      <c r="H339" s="4">
        <v>0.28541666666666698</v>
      </c>
      <c r="I339" s="4">
        <v>2E-3</v>
      </c>
      <c r="J339" s="4">
        <v>8.0000000000000002E-3</v>
      </c>
      <c r="K339" s="5">
        <v>100</v>
      </c>
      <c r="L339" s="5">
        <v>100</v>
      </c>
      <c r="M339" s="5">
        <v>100</v>
      </c>
      <c r="N339" s="5">
        <v>100</v>
      </c>
      <c r="O339" s="2">
        <v>0.35953617621976464</v>
      </c>
      <c r="P339" s="2">
        <v>0.33605565673599713</v>
      </c>
      <c r="Q339" s="2">
        <v>2.0020026706730793E-3</v>
      </c>
      <c r="R339" s="2">
        <v>8.0321716972642666E-3</v>
      </c>
    </row>
    <row r="340" spans="1:18" x14ac:dyDescent="0.3">
      <c r="A340" s="7">
        <v>12</v>
      </c>
      <c r="B340" s="7">
        <v>295</v>
      </c>
      <c r="C340" s="7">
        <v>0</v>
      </c>
      <c r="D340" s="7">
        <v>0</v>
      </c>
      <c r="E340" s="20" t="str">
        <f t="shared" si="5"/>
        <v>00</v>
      </c>
      <c r="F340" s="21">
        <v>0.32872425804620098</v>
      </c>
      <c r="G340" s="4">
        <v>0.32</v>
      </c>
      <c r="H340" s="4">
        <v>0.27133479212253803</v>
      </c>
      <c r="I340" s="4">
        <v>1.2E-2</v>
      </c>
      <c r="J340" s="4">
        <v>6.0000000000000001E-3</v>
      </c>
      <c r="K340" s="5">
        <v>100</v>
      </c>
      <c r="L340" s="5">
        <v>100</v>
      </c>
      <c r="M340" s="5">
        <v>100</v>
      </c>
      <c r="N340" s="5">
        <v>100</v>
      </c>
      <c r="O340" s="2">
        <v>0.38566248081198479</v>
      </c>
      <c r="P340" s="2">
        <v>0.31654090091376041</v>
      </c>
      <c r="Q340" s="2">
        <v>1.2072581234269249E-2</v>
      </c>
      <c r="R340" s="2">
        <v>6.0180723255630212E-3</v>
      </c>
    </row>
    <row r="341" spans="1:18" x14ac:dyDescent="0.3">
      <c r="A341" s="7">
        <v>86</v>
      </c>
      <c r="B341" s="7">
        <v>285</v>
      </c>
      <c r="C341" s="7">
        <v>0</v>
      </c>
      <c r="D341" s="7">
        <v>0</v>
      </c>
      <c r="E341" s="20" t="str">
        <f t="shared" si="5"/>
        <v>00</v>
      </c>
      <c r="F341" s="21">
        <v>0.33057400371518603</v>
      </c>
      <c r="G341" s="4">
        <v>0.20699999999999999</v>
      </c>
      <c r="H341" s="4">
        <v>0.182751540041068</v>
      </c>
      <c r="I341" s="4">
        <v>1.2E-2</v>
      </c>
      <c r="J341" s="4">
        <v>1.7000000000000001E-2</v>
      </c>
      <c r="K341" s="5">
        <v>100</v>
      </c>
      <c r="L341" s="5">
        <v>100</v>
      </c>
      <c r="M341" s="5">
        <v>100</v>
      </c>
      <c r="N341" s="5">
        <v>100</v>
      </c>
      <c r="O341" s="2">
        <v>0.23193205734728903</v>
      </c>
      <c r="P341" s="2">
        <v>0.20181211779815234</v>
      </c>
      <c r="Q341" s="2">
        <v>1.2072581234269249E-2</v>
      </c>
      <c r="R341" s="2">
        <v>1.7146158834970514E-2</v>
      </c>
    </row>
    <row r="342" spans="1:18" x14ac:dyDescent="0.3">
      <c r="A342" s="7">
        <v>732</v>
      </c>
      <c r="B342" s="7">
        <v>262</v>
      </c>
      <c r="C342" s="7">
        <v>0</v>
      </c>
      <c r="D342" s="7">
        <v>0</v>
      </c>
      <c r="E342" s="20" t="str">
        <f t="shared" si="5"/>
        <v>00</v>
      </c>
      <c r="F342" s="21">
        <v>0.33249096076990398</v>
      </c>
      <c r="G342" s="4">
        <v>0.182</v>
      </c>
      <c r="H342" s="4">
        <v>0.15853658536585399</v>
      </c>
      <c r="I342" s="4">
        <v>1.4E-2</v>
      </c>
      <c r="J342" s="4">
        <v>1.2999999999999999E-2</v>
      </c>
      <c r="K342" s="5">
        <v>100</v>
      </c>
      <c r="L342" s="5">
        <v>100</v>
      </c>
      <c r="M342" s="5">
        <v>100</v>
      </c>
      <c r="N342" s="5">
        <v>100</v>
      </c>
      <c r="O342" s="2">
        <v>0.20089294237938993</v>
      </c>
      <c r="P342" s="2">
        <v>0.17261274266699417</v>
      </c>
      <c r="Q342" s="2">
        <v>1.4098924379501648E-2</v>
      </c>
      <c r="R342" s="2">
        <v>1.3085239548655481E-2</v>
      </c>
    </row>
    <row r="343" spans="1:18" x14ac:dyDescent="0.3">
      <c r="A343" s="7">
        <v>424</v>
      </c>
      <c r="B343" s="7">
        <v>269</v>
      </c>
      <c r="C343" s="7">
        <v>0</v>
      </c>
      <c r="D343" s="7">
        <v>0</v>
      </c>
      <c r="E343" s="20" t="str">
        <f t="shared" si="5"/>
        <v>00</v>
      </c>
      <c r="F343" s="21">
        <v>0.33254255073186101</v>
      </c>
      <c r="G343" s="4">
        <v>5.2999999999999999E-2</v>
      </c>
      <c r="H343" s="4">
        <v>5.8116232464929897E-2</v>
      </c>
      <c r="I343" s="4">
        <v>6.0000000000000001E-3</v>
      </c>
      <c r="J343" s="4">
        <v>8.0000000000000002E-3</v>
      </c>
      <c r="K343" s="5">
        <v>100</v>
      </c>
      <c r="L343" s="5">
        <v>100</v>
      </c>
      <c r="M343" s="5">
        <v>100</v>
      </c>
      <c r="N343" s="5">
        <v>100</v>
      </c>
      <c r="O343" s="2">
        <v>5.4456185796058855E-2</v>
      </c>
      <c r="P343" s="2">
        <v>5.9873401047414454E-2</v>
      </c>
      <c r="Q343" s="2">
        <v>6.0180723255630212E-3</v>
      </c>
      <c r="R343" s="2">
        <v>8.0321716972642666E-3</v>
      </c>
    </row>
    <row r="344" spans="1:18" x14ac:dyDescent="0.3">
      <c r="A344" s="7">
        <v>105</v>
      </c>
      <c r="B344" s="7">
        <v>283</v>
      </c>
      <c r="C344" s="7">
        <v>0</v>
      </c>
      <c r="D344" s="7">
        <v>0</v>
      </c>
      <c r="E344" s="20" t="str">
        <f t="shared" si="5"/>
        <v>00</v>
      </c>
      <c r="F344" s="21">
        <v>0.33512824492600102</v>
      </c>
      <c r="G344" s="4">
        <v>0.182</v>
      </c>
      <c r="H344" s="4">
        <v>0.170781893004115</v>
      </c>
      <c r="I344" s="4">
        <v>1.4999999999999999E-2</v>
      </c>
      <c r="J344" s="4">
        <v>1.6E-2</v>
      </c>
      <c r="K344" s="5">
        <v>100</v>
      </c>
      <c r="L344" s="5">
        <v>100</v>
      </c>
      <c r="M344" s="5">
        <v>100</v>
      </c>
      <c r="N344" s="5">
        <v>100</v>
      </c>
      <c r="O344" s="2">
        <v>0.20089294237938993</v>
      </c>
      <c r="P344" s="2">
        <v>0.18727206195381044</v>
      </c>
      <c r="Q344" s="2">
        <v>1.5113637810048184E-2</v>
      </c>
      <c r="R344" s="2">
        <v>1.6129381929883644E-2</v>
      </c>
    </row>
    <row r="345" spans="1:18" x14ac:dyDescent="0.3">
      <c r="A345" s="7">
        <v>642</v>
      </c>
      <c r="B345" s="7">
        <v>288</v>
      </c>
      <c r="C345" s="7">
        <v>0</v>
      </c>
      <c r="D345" s="7">
        <v>0</v>
      </c>
      <c r="E345" s="20" t="str">
        <f t="shared" si="5"/>
        <v>00</v>
      </c>
      <c r="F345" s="21">
        <v>0.34165573053728099</v>
      </c>
      <c r="G345" s="4">
        <v>0.13400000000000001</v>
      </c>
      <c r="H345" s="4">
        <v>0.125506072874494</v>
      </c>
      <c r="I345" s="4">
        <v>8.0000000000000002E-3</v>
      </c>
      <c r="J345" s="4">
        <v>1.6E-2</v>
      </c>
      <c r="K345" s="5">
        <v>100</v>
      </c>
      <c r="L345" s="5">
        <v>100</v>
      </c>
      <c r="M345" s="5">
        <v>100</v>
      </c>
      <c r="N345" s="5">
        <v>100</v>
      </c>
      <c r="O345" s="2">
        <v>0.14387037041970191</v>
      </c>
      <c r="P345" s="2">
        <v>0.13410992894381227</v>
      </c>
      <c r="Q345" s="2">
        <v>8.0321716972642666E-3</v>
      </c>
      <c r="R345" s="2">
        <v>1.6129381929883644E-2</v>
      </c>
    </row>
    <row r="346" spans="1:18" x14ac:dyDescent="0.3">
      <c r="A346" s="7">
        <v>725</v>
      </c>
      <c r="B346" s="7">
        <v>280</v>
      </c>
      <c r="C346" s="7">
        <v>0</v>
      </c>
      <c r="D346" s="7">
        <v>0</v>
      </c>
      <c r="E346" s="20" t="str">
        <f t="shared" si="5"/>
        <v>00</v>
      </c>
      <c r="F346" s="21">
        <v>0.34352799036656501</v>
      </c>
      <c r="G346" s="4">
        <v>7.9000000000000001E-2</v>
      </c>
      <c r="H346" s="4">
        <v>7.0140280561122204E-2</v>
      </c>
      <c r="I346" s="4">
        <v>0.01</v>
      </c>
      <c r="J346" s="4">
        <v>1.4E-2</v>
      </c>
      <c r="K346" s="5">
        <v>100</v>
      </c>
      <c r="L346" s="5">
        <v>100</v>
      </c>
      <c r="M346" s="5">
        <v>100</v>
      </c>
      <c r="N346" s="5">
        <v>100</v>
      </c>
      <c r="O346" s="2">
        <v>8.2295242726830156E-2</v>
      </c>
      <c r="P346" s="2">
        <v>7.272154352526336E-2</v>
      </c>
      <c r="Q346" s="2">
        <v>1.0050335853501451E-2</v>
      </c>
      <c r="R346" s="2">
        <v>1.4098924379501648E-2</v>
      </c>
    </row>
    <row r="347" spans="1:18" x14ac:dyDescent="0.3">
      <c r="A347" s="7">
        <v>203</v>
      </c>
      <c r="B347" s="7">
        <v>281</v>
      </c>
      <c r="C347" s="7">
        <v>0</v>
      </c>
      <c r="D347" s="7">
        <v>0</v>
      </c>
      <c r="E347" s="20" t="str">
        <f t="shared" si="5"/>
        <v>00</v>
      </c>
      <c r="F347" s="21">
        <v>0.34481905946597702</v>
      </c>
      <c r="G347" s="4">
        <v>6.4000000000000001E-2</v>
      </c>
      <c r="H347" s="4">
        <v>6.14754098360656E-2</v>
      </c>
      <c r="I347" s="4">
        <v>8.9999999999999993E-3</v>
      </c>
      <c r="J347" s="4">
        <v>8.0000000000000002E-3</v>
      </c>
      <c r="K347" s="5">
        <v>100</v>
      </c>
      <c r="L347" s="5">
        <v>100</v>
      </c>
      <c r="M347" s="5">
        <v>100</v>
      </c>
      <c r="N347" s="5">
        <v>100</v>
      </c>
      <c r="O347" s="2">
        <v>6.613980250454507E-2</v>
      </c>
      <c r="P347" s="2">
        <v>6.3446221738962236E-2</v>
      </c>
      <c r="Q347" s="2">
        <v>9.0407446521490707E-3</v>
      </c>
      <c r="R347" s="2">
        <v>8.0321716972642666E-3</v>
      </c>
    </row>
    <row r="348" spans="1:18" x14ac:dyDescent="0.3">
      <c r="A348" s="7">
        <v>687</v>
      </c>
      <c r="B348" s="7">
        <v>252</v>
      </c>
      <c r="C348" s="7">
        <v>0</v>
      </c>
      <c r="D348" s="7">
        <v>0</v>
      </c>
      <c r="E348" s="20" t="str">
        <f t="shared" si="5"/>
        <v>00</v>
      </c>
      <c r="F348" s="21">
        <v>0.34522609195663101</v>
      </c>
      <c r="G348" s="4">
        <v>0.42</v>
      </c>
      <c r="H348" s="4">
        <v>0.39263803680981602</v>
      </c>
      <c r="I348" s="4">
        <v>1.6E-2</v>
      </c>
      <c r="J348" s="4">
        <v>1.2999999999999999E-2</v>
      </c>
      <c r="K348" s="5">
        <v>100</v>
      </c>
      <c r="L348" s="5">
        <v>100</v>
      </c>
      <c r="M348" s="5">
        <v>100</v>
      </c>
      <c r="N348" s="5">
        <v>100</v>
      </c>
      <c r="O348" s="2">
        <v>0.54472717544167193</v>
      </c>
      <c r="P348" s="2">
        <v>0.49863035067217254</v>
      </c>
      <c r="Q348" s="2">
        <v>1.6129381929883644E-2</v>
      </c>
      <c r="R348" s="2">
        <v>1.3085239548655481E-2</v>
      </c>
    </row>
    <row r="349" spans="1:18" x14ac:dyDescent="0.3">
      <c r="A349" s="7">
        <v>519</v>
      </c>
      <c r="B349" s="7">
        <v>276</v>
      </c>
      <c r="C349" s="7">
        <v>0</v>
      </c>
      <c r="D349" s="7">
        <v>0</v>
      </c>
      <c r="E349" s="20" t="str">
        <f t="shared" si="5"/>
        <v>00</v>
      </c>
      <c r="F349" s="21">
        <v>0.34616126907214601</v>
      </c>
      <c r="G349" s="4">
        <v>0.33700000000000002</v>
      </c>
      <c r="H349" s="4">
        <v>0.32040816326530602</v>
      </c>
      <c r="I349" s="4">
        <v>1.6E-2</v>
      </c>
      <c r="J349" s="4">
        <v>1.4E-2</v>
      </c>
      <c r="K349" s="5">
        <v>100</v>
      </c>
      <c r="L349" s="5">
        <v>100</v>
      </c>
      <c r="M349" s="5">
        <v>100</v>
      </c>
      <c r="N349" s="5">
        <v>100</v>
      </c>
      <c r="O349" s="2">
        <v>0.41098028879627452</v>
      </c>
      <c r="P349" s="2">
        <v>0.38626290112422823</v>
      </c>
      <c r="Q349" s="2">
        <v>1.6129381929883644E-2</v>
      </c>
      <c r="R349" s="2">
        <v>1.4098924379501648E-2</v>
      </c>
    </row>
    <row r="350" spans="1:18" x14ac:dyDescent="0.3">
      <c r="A350" s="7">
        <v>976</v>
      </c>
      <c r="B350" s="7">
        <v>259</v>
      </c>
      <c r="C350" s="7">
        <v>0</v>
      </c>
      <c r="D350" s="7">
        <v>0</v>
      </c>
      <c r="E350" s="20" t="str">
        <f t="shared" si="5"/>
        <v>00</v>
      </c>
      <c r="F350" s="21">
        <v>0.34828175775563402</v>
      </c>
      <c r="G350" s="4">
        <v>0.111</v>
      </c>
      <c r="H350" s="4">
        <v>0.10386965376782099</v>
      </c>
      <c r="I350" s="4">
        <v>7.0000000000000001E-3</v>
      </c>
      <c r="J350" s="4">
        <v>1.0999999999999999E-2</v>
      </c>
      <c r="K350" s="5">
        <v>100</v>
      </c>
      <c r="L350" s="5">
        <v>100</v>
      </c>
      <c r="M350" s="5">
        <v>100</v>
      </c>
      <c r="N350" s="5">
        <v>100</v>
      </c>
      <c r="O350" s="2">
        <v>0.11765804346823246</v>
      </c>
      <c r="P350" s="2">
        <v>0.10966940088221395</v>
      </c>
      <c r="Q350" s="2">
        <v>7.0246149369644663E-3</v>
      </c>
      <c r="R350" s="2">
        <v>1.1060947359424948E-2</v>
      </c>
    </row>
    <row r="351" spans="1:18" x14ac:dyDescent="0.3">
      <c r="A351" s="7">
        <v>180</v>
      </c>
      <c r="B351" s="7">
        <v>285</v>
      </c>
      <c r="C351" s="7">
        <v>0</v>
      </c>
      <c r="D351" s="7">
        <v>0</v>
      </c>
      <c r="E351" s="20" t="str">
        <f t="shared" si="5"/>
        <v>00</v>
      </c>
      <c r="F351" s="21">
        <v>0.351734589061932</v>
      </c>
      <c r="G351" s="4">
        <v>0.11</v>
      </c>
      <c r="H351" s="4">
        <v>9.1277890466531397E-2</v>
      </c>
      <c r="I351" s="4">
        <v>0.01</v>
      </c>
      <c r="J351" s="4">
        <v>1.0999999999999999E-2</v>
      </c>
      <c r="K351" s="5">
        <v>100</v>
      </c>
      <c r="L351" s="5">
        <v>100</v>
      </c>
      <c r="M351" s="5">
        <v>100</v>
      </c>
      <c r="N351" s="5">
        <v>100</v>
      </c>
      <c r="O351" s="2">
        <v>0.11653381625595151</v>
      </c>
      <c r="P351" s="2">
        <v>9.5715941627704956E-2</v>
      </c>
      <c r="Q351" s="2">
        <v>1.0050335853501451E-2</v>
      </c>
      <c r="R351" s="2">
        <v>1.1060947359424948E-2</v>
      </c>
    </row>
    <row r="352" spans="1:18" x14ac:dyDescent="0.3">
      <c r="A352" s="7">
        <v>936</v>
      </c>
      <c r="B352" s="7">
        <v>253</v>
      </c>
      <c r="C352" s="7">
        <v>0</v>
      </c>
      <c r="D352" s="7">
        <v>0</v>
      </c>
      <c r="E352" s="20" t="str">
        <f t="shared" si="5"/>
        <v>00</v>
      </c>
      <c r="F352" s="21">
        <v>0.352751708384415</v>
      </c>
      <c r="G352" s="4">
        <v>0.108</v>
      </c>
      <c r="H352" s="4">
        <v>0.107942973523422</v>
      </c>
      <c r="I352" s="4">
        <v>8.9999999999999993E-3</v>
      </c>
      <c r="J352" s="4">
        <v>1.0999999999999999E-2</v>
      </c>
      <c r="K352" s="5">
        <v>100</v>
      </c>
      <c r="L352" s="5">
        <v>100</v>
      </c>
      <c r="M352" s="5">
        <v>100</v>
      </c>
      <c r="N352" s="5">
        <v>100</v>
      </c>
      <c r="O352" s="2">
        <v>0.11428914640212766</v>
      </c>
      <c r="P352" s="2">
        <v>0.11422521741807487</v>
      </c>
      <c r="Q352" s="2">
        <v>9.0407446521490707E-3</v>
      </c>
      <c r="R352" s="2">
        <v>1.1060947359424948E-2</v>
      </c>
    </row>
    <row r="353" spans="1:18" x14ac:dyDescent="0.3">
      <c r="A353" s="7">
        <v>677</v>
      </c>
      <c r="B353" s="7">
        <v>268</v>
      </c>
      <c r="C353" s="7">
        <v>0</v>
      </c>
      <c r="D353" s="7">
        <v>0</v>
      </c>
      <c r="E353" s="20" t="str">
        <f t="shared" si="5"/>
        <v>00</v>
      </c>
      <c r="F353" s="21">
        <v>0.35362768427305502</v>
      </c>
      <c r="G353" s="4">
        <v>0.191</v>
      </c>
      <c r="H353" s="4">
        <v>0.198380566801619</v>
      </c>
      <c r="I353" s="4">
        <v>1.6E-2</v>
      </c>
      <c r="J353" s="4">
        <v>2.5000000000000001E-2</v>
      </c>
      <c r="K353" s="5">
        <v>100</v>
      </c>
      <c r="L353" s="5">
        <v>100</v>
      </c>
      <c r="M353" s="5">
        <v>100</v>
      </c>
      <c r="N353" s="5">
        <v>100</v>
      </c>
      <c r="O353" s="2">
        <v>0.21195636192364545</v>
      </c>
      <c r="P353" s="2">
        <v>0.2211213059334414</v>
      </c>
      <c r="Q353" s="2">
        <v>1.6129381929883644E-2</v>
      </c>
      <c r="R353" s="2">
        <v>2.5317807984289897E-2</v>
      </c>
    </row>
    <row r="354" spans="1:18" x14ac:dyDescent="0.3">
      <c r="A354" s="7">
        <v>278</v>
      </c>
      <c r="B354" s="7">
        <v>270</v>
      </c>
      <c r="C354" s="7">
        <v>0</v>
      </c>
      <c r="D354" s="7">
        <v>0</v>
      </c>
      <c r="E354" s="20" t="str">
        <f t="shared" si="5"/>
        <v>00</v>
      </c>
      <c r="F354" s="21">
        <v>0.35384259782008698</v>
      </c>
      <c r="G354" s="4">
        <v>0.16</v>
      </c>
      <c r="H354" s="4">
        <v>0.17142857142857101</v>
      </c>
      <c r="I354" s="4">
        <v>8.9999999999999993E-3</v>
      </c>
      <c r="J354" s="4">
        <v>8.9999999999999993E-3</v>
      </c>
      <c r="K354" s="5">
        <v>100</v>
      </c>
      <c r="L354" s="5">
        <v>100</v>
      </c>
      <c r="M354" s="5">
        <v>100</v>
      </c>
      <c r="N354" s="5">
        <v>100</v>
      </c>
      <c r="O354" s="2">
        <v>0.1743533871447778</v>
      </c>
      <c r="P354" s="2">
        <v>0.18805223150293918</v>
      </c>
      <c r="Q354" s="2">
        <v>9.0407446521490707E-3</v>
      </c>
      <c r="R354" s="2">
        <v>9.0407446521490707E-3</v>
      </c>
    </row>
    <row r="355" spans="1:18" x14ac:dyDescent="0.3">
      <c r="A355" s="7">
        <v>137</v>
      </c>
      <c r="B355" s="7">
        <v>233</v>
      </c>
      <c r="C355" s="7">
        <v>0</v>
      </c>
      <c r="D355" s="7">
        <v>0</v>
      </c>
      <c r="E355" s="20" t="str">
        <f t="shared" si="5"/>
        <v>00</v>
      </c>
      <c r="F355" s="21">
        <v>0.35720239850312602</v>
      </c>
      <c r="G355" s="4">
        <v>0.57399999999999995</v>
      </c>
      <c r="H355" s="4">
        <v>0.50107991360691095</v>
      </c>
      <c r="I355" s="4">
        <v>8.9999999999999993E-3</v>
      </c>
      <c r="J355" s="4">
        <v>1.6E-2</v>
      </c>
      <c r="K355" s="5">
        <v>0</v>
      </c>
      <c r="L355" s="5">
        <v>0</v>
      </c>
      <c r="M355" s="5">
        <v>100</v>
      </c>
      <c r="N355" s="5">
        <v>100</v>
      </c>
      <c r="O355" s="2">
        <v>0.85331593271276651</v>
      </c>
      <c r="P355" s="2">
        <v>0.69530934356443952</v>
      </c>
      <c r="Q355" s="2">
        <v>9.0407446521490707E-3</v>
      </c>
      <c r="R355" s="2">
        <v>1.6129381929883644E-2</v>
      </c>
    </row>
    <row r="356" spans="1:18" x14ac:dyDescent="0.3">
      <c r="A356" s="7">
        <v>796</v>
      </c>
      <c r="B356" s="7">
        <v>270</v>
      </c>
      <c r="C356" s="7">
        <v>0</v>
      </c>
      <c r="D356" s="7">
        <v>0</v>
      </c>
      <c r="E356" s="20" t="str">
        <f t="shared" si="5"/>
        <v>00</v>
      </c>
      <c r="F356" s="21">
        <v>0.35978538070474197</v>
      </c>
      <c r="G356" s="4">
        <v>0.51100000000000001</v>
      </c>
      <c r="H356" s="4">
        <v>0.47021276595744699</v>
      </c>
      <c r="I356" s="4">
        <v>1.2E-2</v>
      </c>
      <c r="J356" s="4">
        <v>1.4999999999999999E-2</v>
      </c>
      <c r="K356" s="5">
        <v>0</v>
      </c>
      <c r="L356" s="5">
        <v>100</v>
      </c>
      <c r="M356" s="5">
        <v>100</v>
      </c>
      <c r="N356" s="5">
        <v>100</v>
      </c>
      <c r="O356" s="2">
        <v>0.71539278950726504</v>
      </c>
      <c r="P356" s="2">
        <v>0.63527979823939695</v>
      </c>
      <c r="Q356" s="2">
        <v>1.2072581234269249E-2</v>
      </c>
      <c r="R356" s="2">
        <v>1.5113637810048184E-2</v>
      </c>
    </row>
    <row r="357" spans="1:18" x14ac:dyDescent="0.3">
      <c r="A357" s="7">
        <v>177</v>
      </c>
      <c r="B357" s="7">
        <v>262</v>
      </c>
      <c r="C357" s="7">
        <v>0</v>
      </c>
      <c r="D357" s="7">
        <v>0</v>
      </c>
      <c r="E357" s="20" t="str">
        <f t="shared" si="5"/>
        <v>00</v>
      </c>
      <c r="F357" s="21">
        <v>0.36104086849075701</v>
      </c>
      <c r="G357" s="4">
        <v>0.17799999999999999</v>
      </c>
      <c r="H357" s="4">
        <v>0.18737270875763701</v>
      </c>
      <c r="I357" s="4">
        <v>1.6E-2</v>
      </c>
      <c r="J357" s="4">
        <v>2.1000000000000001E-2</v>
      </c>
      <c r="K357" s="5">
        <v>100</v>
      </c>
      <c r="L357" s="5">
        <v>100</v>
      </c>
      <c r="M357" s="5">
        <v>100</v>
      </c>
      <c r="N357" s="5">
        <v>100</v>
      </c>
      <c r="O357" s="2">
        <v>0.19601488392595706</v>
      </c>
      <c r="P357" s="2">
        <v>0.20748271090465656</v>
      </c>
      <c r="Q357" s="2">
        <v>1.6129381929883644E-2</v>
      </c>
      <c r="R357" s="2">
        <v>2.1223636451626688E-2</v>
      </c>
    </row>
    <row r="358" spans="1:18" x14ac:dyDescent="0.3">
      <c r="A358" s="7">
        <v>607</v>
      </c>
      <c r="B358" s="7">
        <v>255</v>
      </c>
      <c r="C358" s="7">
        <v>0</v>
      </c>
      <c r="D358" s="7">
        <v>0</v>
      </c>
      <c r="E358" s="20" t="str">
        <f t="shared" si="5"/>
        <v>00</v>
      </c>
      <c r="F358" s="21">
        <v>0.36443162077241498</v>
      </c>
      <c r="G358" s="4">
        <v>0.28699999999999998</v>
      </c>
      <c r="H358" s="4">
        <v>0.27087576374745398</v>
      </c>
      <c r="I358" s="4">
        <v>1.2999999999999999E-2</v>
      </c>
      <c r="J358" s="4">
        <v>8.9999999999999993E-3</v>
      </c>
      <c r="K358" s="5">
        <v>100</v>
      </c>
      <c r="L358" s="5">
        <v>100</v>
      </c>
      <c r="M358" s="5">
        <v>100</v>
      </c>
      <c r="N358" s="5">
        <v>100</v>
      </c>
      <c r="O358" s="2">
        <v>0.33827385856784098</v>
      </c>
      <c r="P358" s="2">
        <v>0.31591114139381993</v>
      </c>
      <c r="Q358" s="2">
        <v>1.3085239548655481E-2</v>
      </c>
      <c r="R358" s="2">
        <v>9.0407446521490707E-3</v>
      </c>
    </row>
    <row r="359" spans="1:18" x14ac:dyDescent="0.3">
      <c r="A359" s="7">
        <v>802</v>
      </c>
      <c r="B359" s="7">
        <v>253</v>
      </c>
      <c r="C359" s="7">
        <v>0</v>
      </c>
      <c r="D359" s="7">
        <v>0</v>
      </c>
      <c r="E359" s="20" t="str">
        <f t="shared" si="5"/>
        <v>00</v>
      </c>
      <c r="F359" s="21">
        <v>0.36625847699740399</v>
      </c>
      <c r="G359" s="4">
        <v>0.17599999999999999</v>
      </c>
      <c r="H359" s="4">
        <v>0.17540322580645201</v>
      </c>
      <c r="I359" s="4">
        <v>8.9999999999999993E-3</v>
      </c>
      <c r="J359" s="4">
        <v>8.9999999999999993E-3</v>
      </c>
      <c r="K359" s="5">
        <v>100</v>
      </c>
      <c r="L359" s="5">
        <v>100</v>
      </c>
      <c r="M359" s="5">
        <v>100</v>
      </c>
      <c r="N359" s="5">
        <v>100</v>
      </c>
      <c r="O359" s="2">
        <v>0.19358474907266526</v>
      </c>
      <c r="P359" s="2">
        <v>0.19286077068212615</v>
      </c>
      <c r="Q359" s="2">
        <v>9.0407446521490707E-3</v>
      </c>
      <c r="R359" s="2">
        <v>9.0407446521490707E-3</v>
      </c>
    </row>
    <row r="360" spans="1:18" x14ac:dyDescent="0.3">
      <c r="A360" s="7">
        <v>76</v>
      </c>
      <c r="B360" s="7">
        <v>268</v>
      </c>
      <c r="C360" s="7">
        <v>0</v>
      </c>
      <c r="D360" s="7">
        <v>0</v>
      </c>
      <c r="E360" s="20" t="str">
        <f t="shared" si="5"/>
        <v>00</v>
      </c>
      <c r="F360" s="21">
        <v>0.36722814062578601</v>
      </c>
      <c r="G360" s="4">
        <v>0.111</v>
      </c>
      <c r="H360" s="4">
        <v>8.8531187122736402E-2</v>
      </c>
      <c r="I360" s="4">
        <v>8.9999999999999993E-3</v>
      </c>
      <c r="J360" s="4">
        <v>1.4E-2</v>
      </c>
      <c r="K360" s="5">
        <v>100</v>
      </c>
      <c r="L360" s="5">
        <v>100</v>
      </c>
      <c r="M360" s="5">
        <v>100</v>
      </c>
      <c r="N360" s="5">
        <v>100</v>
      </c>
      <c r="O360" s="2">
        <v>0.11765804346823246</v>
      </c>
      <c r="P360" s="2">
        <v>9.269790061359473E-2</v>
      </c>
      <c r="Q360" s="2">
        <v>9.0407446521490707E-3</v>
      </c>
      <c r="R360" s="2">
        <v>1.4098924379501648E-2</v>
      </c>
    </row>
    <row r="361" spans="1:18" x14ac:dyDescent="0.3">
      <c r="A361" s="7">
        <v>535</v>
      </c>
      <c r="B361" s="7">
        <v>257</v>
      </c>
      <c r="C361" s="7">
        <v>0</v>
      </c>
      <c r="D361" s="7">
        <v>0</v>
      </c>
      <c r="E361" s="20" t="str">
        <f t="shared" si="5"/>
        <v>00</v>
      </c>
      <c r="F361" s="21">
        <v>0.36903429983543801</v>
      </c>
      <c r="G361" s="4">
        <v>0.22500000000000001</v>
      </c>
      <c r="H361" s="4">
        <v>0.23140495867768601</v>
      </c>
      <c r="I361" s="4">
        <v>1.4E-2</v>
      </c>
      <c r="J361" s="4">
        <v>8.9999999999999993E-3</v>
      </c>
      <c r="K361" s="5">
        <v>100</v>
      </c>
      <c r="L361" s="5">
        <v>100</v>
      </c>
      <c r="M361" s="5">
        <v>100</v>
      </c>
      <c r="N361" s="5">
        <v>100</v>
      </c>
      <c r="O361" s="2">
        <v>0.25489224962879004</v>
      </c>
      <c r="P361" s="2">
        <v>0.26319105244348528</v>
      </c>
      <c r="Q361" s="2">
        <v>1.4098924379501648E-2</v>
      </c>
      <c r="R361" s="2">
        <v>9.0407446521490707E-3</v>
      </c>
    </row>
    <row r="362" spans="1:18" x14ac:dyDescent="0.3">
      <c r="A362" s="7">
        <v>846</v>
      </c>
      <c r="B362" s="7">
        <v>283</v>
      </c>
      <c r="C362" s="7">
        <v>0</v>
      </c>
      <c r="D362" s="7">
        <v>0</v>
      </c>
      <c r="E362" s="20" t="str">
        <f t="shared" si="5"/>
        <v>00</v>
      </c>
      <c r="F362" s="21">
        <v>0.37237461210450001</v>
      </c>
      <c r="G362" s="4">
        <v>9.1999999999999998E-2</v>
      </c>
      <c r="H362" s="4">
        <v>8.7576374745417504E-2</v>
      </c>
      <c r="I362" s="4">
        <v>1.7000000000000001E-2</v>
      </c>
      <c r="J362" s="4">
        <v>8.9999999999999993E-3</v>
      </c>
      <c r="K362" s="5">
        <v>100</v>
      </c>
      <c r="L362" s="5">
        <v>100</v>
      </c>
      <c r="M362" s="5">
        <v>100</v>
      </c>
      <c r="N362" s="5">
        <v>100</v>
      </c>
      <c r="O362" s="2">
        <v>9.6510900380843728E-2</v>
      </c>
      <c r="P362" s="2">
        <v>9.1650895379535358E-2</v>
      </c>
      <c r="Q362" s="2">
        <v>1.7146158834970514E-2</v>
      </c>
      <c r="R362" s="2">
        <v>9.0407446521490707E-3</v>
      </c>
    </row>
    <row r="363" spans="1:18" x14ac:dyDescent="0.3">
      <c r="A363" s="7">
        <v>161</v>
      </c>
      <c r="B363" s="7">
        <v>250</v>
      </c>
      <c r="C363" s="7">
        <v>0</v>
      </c>
      <c r="D363" s="7">
        <v>0</v>
      </c>
      <c r="E363" s="20" t="str">
        <f t="shared" si="5"/>
        <v>00</v>
      </c>
      <c r="F363" s="21">
        <v>0.37248211553244698</v>
      </c>
      <c r="G363" s="4">
        <v>0.192</v>
      </c>
      <c r="H363" s="4">
        <v>0.189409368635438</v>
      </c>
      <c r="I363" s="4">
        <v>1.2E-2</v>
      </c>
      <c r="J363" s="4">
        <v>1.4999999999999999E-2</v>
      </c>
      <c r="K363" s="5">
        <v>100</v>
      </c>
      <c r="L363" s="5">
        <v>100</v>
      </c>
      <c r="M363" s="5">
        <v>100</v>
      </c>
      <c r="N363" s="5">
        <v>100</v>
      </c>
      <c r="O363" s="2">
        <v>0.21319322046104161</v>
      </c>
      <c r="P363" s="2">
        <v>0.20999212251008303</v>
      </c>
      <c r="Q363" s="2">
        <v>1.2072581234269249E-2</v>
      </c>
      <c r="R363" s="2">
        <v>1.5113637810048184E-2</v>
      </c>
    </row>
    <row r="364" spans="1:18" x14ac:dyDescent="0.3">
      <c r="A364" s="7">
        <v>491</v>
      </c>
      <c r="B364" s="7">
        <v>249</v>
      </c>
      <c r="C364" s="7">
        <v>0</v>
      </c>
      <c r="D364" s="7">
        <v>0</v>
      </c>
      <c r="E364" s="20" t="str">
        <f t="shared" si="5"/>
        <v>00</v>
      </c>
      <c r="F364" s="21">
        <v>0.37254924467730499</v>
      </c>
      <c r="G364" s="4">
        <v>0.13800000000000001</v>
      </c>
      <c r="H364" s="4">
        <v>0.14024390243902399</v>
      </c>
      <c r="I364" s="4">
        <v>8.9999999999999993E-3</v>
      </c>
      <c r="J364" s="4">
        <v>7.0000000000000001E-3</v>
      </c>
      <c r="K364" s="5">
        <v>100</v>
      </c>
      <c r="L364" s="5">
        <v>100</v>
      </c>
      <c r="M364" s="5">
        <v>100</v>
      </c>
      <c r="N364" s="5">
        <v>100</v>
      </c>
      <c r="O364" s="2">
        <v>0.14850000831844395</v>
      </c>
      <c r="P364" s="2">
        <v>0.15110653744602964</v>
      </c>
      <c r="Q364" s="2">
        <v>9.0407446521490707E-3</v>
      </c>
      <c r="R364" s="2">
        <v>7.0246149369644663E-3</v>
      </c>
    </row>
    <row r="365" spans="1:18" x14ac:dyDescent="0.3">
      <c r="A365" s="7">
        <v>646</v>
      </c>
      <c r="B365" s="7">
        <v>238</v>
      </c>
      <c r="C365" s="7">
        <v>0</v>
      </c>
      <c r="D365" s="7">
        <v>0</v>
      </c>
      <c r="E365" s="20" t="str">
        <f t="shared" si="5"/>
        <v>00</v>
      </c>
      <c r="F365" s="21">
        <v>0.37274790686872</v>
      </c>
      <c r="G365" s="4">
        <v>9.8000000000000004E-2</v>
      </c>
      <c r="H365" s="4">
        <v>9.5141700404858295E-2</v>
      </c>
      <c r="I365" s="4">
        <v>1.0999999999999999E-2</v>
      </c>
      <c r="J365" s="4">
        <v>1.2999999999999999E-2</v>
      </c>
      <c r="K365" s="5">
        <v>100</v>
      </c>
      <c r="L365" s="5">
        <v>100</v>
      </c>
      <c r="M365" s="5">
        <v>100</v>
      </c>
      <c r="N365" s="5">
        <v>100</v>
      </c>
      <c r="O365" s="2">
        <v>0.10314075891951337</v>
      </c>
      <c r="P365" s="2">
        <v>9.9976922574353616E-2</v>
      </c>
      <c r="Q365" s="2">
        <v>1.1060947359424948E-2</v>
      </c>
      <c r="R365" s="2">
        <v>1.3085239548655481E-2</v>
      </c>
    </row>
    <row r="366" spans="1:18" x14ac:dyDescent="0.3">
      <c r="A366" s="7">
        <v>332</v>
      </c>
      <c r="B366" s="7">
        <v>263</v>
      </c>
      <c r="C366" s="7">
        <v>0</v>
      </c>
      <c r="D366" s="7">
        <v>0</v>
      </c>
      <c r="E366" s="20" t="str">
        <f t="shared" si="5"/>
        <v>00</v>
      </c>
      <c r="F366" s="21">
        <v>0.37321520278978698</v>
      </c>
      <c r="G366" s="4">
        <v>0.29199999999999998</v>
      </c>
      <c r="H366" s="4">
        <v>0.26359832635983299</v>
      </c>
      <c r="I366" s="4">
        <v>8.9999999999999993E-3</v>
      </c>
      <c r="J366" s="4">
        <v>1.7000000000000001E-2</v>
      </c>
      <c r="K366" s="5">
        <v>100</v>
      </c>
      <c r="L366" s="5">
        <v>100</v>
      </c>
      <c r="M366" s="5">
        <v>100</v>
      </c>
      <c r="N366" s="5">
        <v>100</v>
      </c>
      <c r="O366" s="2">
        <v>0.34531118528841737</v>
      </c>
      <c r="P366" s="2">
        <v>0.30597955689335932</v>
      </c>
      <c r="Q366" s="2">
        <v>9.0407446521490707E-3</v>
      </c>
      <c r="R366" s="2">
        <v>1.7146158834970514E-2</v>
      </c>
    </row>
    <row r="367" spans="1:18" x14ac:dyDescent="0.3">
      <c r="A367" s="7">
        <v>864</v>
      </c>
      <c r="B367" s="7">
        <v>249</v>
      </c>
      <c r="C367" s="7">
        <v>0</v>
      </c>
      <c r="D367" s="7">
        <v>0</v>
      </c>
      <c r="E367" s="20" t="str">
        <f t="shared" si="5"/>
        <v>00</v>
      </c>
      <c r="F367" s="21">
        <v>0.37550820326027201</v>
      </c>
      <c r="G367" s="4">
        <v>0.29599999999999999</v>
      </c>
      <c r="H367" s="4">
        <v>0.253138075313808</v>
      </c>
      <c r="I367" s="4">
        <v>1.6E-2</v>
      </c>
      <c r="J367" s="4">
        <v>8.9999999999999993E-3</v>
      </c>
      <c r="K367" s="5">
        <v>100</v>
      </c>
      <c r="L367" s="5">
        <v>100</v>
      </c>
      <c r="M367" s="5">
        <v>100</v>
      </c>
      <c r="N367" s="5">
        <v>100</v>
      </c>
      <c r="O367" s="2">
        <v>0.35097692282409471</v>
      </c>
      <c r="P367" s="2">
        <v>0.29187495071181746</v>
      </c>
      <c r="Q367" s="2">
        <v>1.6129381929883644E-2</v>
      </c>
      <c r="R367" s="2">
        <v>9.0407446521490707E-3</v>
      </c>
    </row>
    <row r="368" spans="1:18" x14ac:dyDescent="0.3">
      <c r="A368" s="7">
        <v>892</v>
      </c>
      <c r="B368" s="7">
        <v>278</v>
      </c>
      <c r="C368" s="7">
        <v>0</v>
      </c>
      <c r="D368" s="7">
        <v>0</v>
      </c>
      <c r="E368" s="20" t="str">
        <f t="shared" si="5"/>
        <v>00</v>
      </c>
      <c r="F368" s="21">
        <v>0.382180991546269</v>
      </c>
      <c r="G368" s="4">
        <v>0.151</v>
      </c>
      <c r="H368" s="4">
        <v>0.14020618556701001</v>
      </c>
      <c r="I368" s="4">
        <v>2.1000000000000001E-2</v>
      </c>
      <c r="J368" s="4">
        <v>1.4999999999999999E-2</v>
      </c>
      <c r="K368" s="5">
        <v>100</v>
      </c>
      <c r="L368" s="5">
        <v>100</v>
      </c>
      <c r="M368" s="5">
        <v>100</v>
      </c>
      <c r="N368" s="5">
        <v>100</v>
      </c>
      <c r="O368" s="2">
        <v>0.16369609267078977</v>
      </c>
      <c r="P368" s="2">
        <v>0.15106266913868144</v>
      </c>
      <c r="Q368" s="2">
        <v>2.1223636451626688E-2</v>
      </c>
      <c r="R368" s="2">
        <v>1.5113637810048184E-2</v>
      </c>
    </row>
    <row r="369" spans="1:18" x14ac:dyDescent="0.3">
      <c r="A369" s="7">
        <v>274</v>
      </c>
      <c r="B369" s="7">
        <v>257</v>
      </c>
      <c r="C369" s="7">
        <v>0</v>
      </c>
      <c r="D369" s="7">
        <v>0</v>
      </c>
      <c r="E369" s="20" t="str">
        <f t="shared" si="5"/>
        <v>00</v>
      </c>
      <c r="F369" s="21">
        <v>0.38300550018799001</v>
      </c>
      <c r="G369" s="4">
        <v>0.36399999999999999</v>
      </c>
      <c r="H369" s="4">
        <v>0.33817427385892102</v>
      </c>
      <c r="I369" s="4">
        <v>1.2999999999999999E-2</v>
      </c>
      <c r="J369" s="4">
        <v>2.3E-2</v>
      </c>
      <c r="K369" s="5">
        <v>100</v>
      </c>
      <c r="L369" s="5">
        <v>100</v>
      </c>
      <c r="M369" s="5">
        <v>100</v>
      </c>
      <c r="N369" s="5">
        <v>100</v>
      </c>
      <c r="O369" s="2">
        <v>0.45255671564201488</v>
      </c>
      <c r="P369" s="2">
        <v>0.41275301126575559</v>
      </c>
      <c r="Q369" s="2">
        <v>1.3085239548655481E-2</v>
      </c>
      <c r="R369" s="2">
        <v>2.3268626939354331E-2</v>
      </c>
    </row>
    <row r="370" spans="1:18" x14ac:dyDescent="0.3">
      <c r="A370" s="7">
        <v>157</v>
      </c>
      <c r="B370" s="7">
        <v>239</v>
      </c>
      <c r="C370" s="7">
        <v>0</v>
      </c>
      <c r="D370" s="7">
        <v>0</v>
      </c>
      <c r="E370" s="20" t="str">
        <f t="shared" si="5"/>
        <v>00</v>
      </c>
      <c r="F370" s="21">
        <v>0.39389465900465398</v>
      </c>
      <c r="G370" s="4">
        <v>0.29899999999999999</v>
      </c>
      <c r="H370" s="4">
        <v>0.26638477801268501</v>
      </c>
      <c r="I370" s="4">
        <v>1.4999999999999999E-2</v>
      </c>
      <c r="J370" s="4">
        <v>2.7E-2</v>
      </c>
      <c r="K370" s="5">
        <v>100</v>
      </c>
      <c r="L370" s="5">
        <v>100</v>
      </c>
      <c r="M370" s="5">
        <v>100</v>
      </c>
      <c r="N370" s="5">
        <v>100</v>
      </c>
      <c r="O370" s="2">
        <v>0.35524739194754684</v>
      </c>
      <c r="P370" s="2">
        <v>0.30977060854507382</v>
      </c>
      <c r="Q370" s="2">
        <v>1.5113637810048184E-2</v>
      </c>
      <c r="R370" s="2">
        <v>2.7371196796132015E-2</v>
      </c>
    </row>
    <row r="371" spans="1:18" x14ac:dyDescent="0.3">
      <c r="A371" s="7">
        <v>952</v>
      </c>
      <c r="B371" s="7">
        <v>257</v>
      </c>
      <c r="C371" s="7">
        <v>0</v>
      </c>
      <c r="D371" s="7">
        <v>0</v>
      </c>
      <c r="E371" s="20" t="str">
        <f t="shared" si="5"/>
        <v>00</v>
      </c>
      <c r="F371" s="21">
        <v>0.39458318266623699</v>
      </c>
      <c r="G371" s="4">
        <v>0.27600000000000002</v>
      </c>
      <c r="H371" s="4">
        <v>0.20879120879120899</v>
      </c>
      <c r="I371" s="4">
        <v>2.1000000000000001E-2</v>
      </c>
      <c r="J371" s="4">
        <v>1.4E-2</v>
      </c>
      <c r="K371" s="5">
        <v>100</v>
      </c>
      <c r="L371" s="5">
        <v>100</v>
      </c>
      <c r="M371" s="5">
        <v>100</v>
      </c>
      <c r="N371" s="5">
        <v>100</v>
      </c>
      <c r="O371" s="2">
        <v>0.32296388659642072</v>
      </c>
      <c r="P371" s="2">
        <v>0.23419338750079491</v>
      </c>
      <c r="Q371" s="2">
        <v>2.1223636451626688E-2</v>
      </c>
      <c r="R371" s="2">
        <v>1.4098924379501648E-2</v>
      </c>
    </row>
    <row r="372" spans="1:18" x14ac:dyDescent="0.3">
      <c r="A372" s="7">
        <v>314</v>
      </c>
      <c r="B372" s="7">
        <v>247</v>
      </c>
      <c r="C372" s="7">
        <v>0</v>
      </c>
      <c r="D372" s="7">
        <v>0</v>
      </c>
      <c r="E372" s="20" t="str">
        <f t="shared" si="5"/>
        <v>00</v>
      </c>
      <c r="F372" s="21">
        <v>0.39574136320840902</v>
      </c>
      <c r="G372" s="4">
        <v>0.14599999999999999</v>
      </c>
      <c r="H372" s="4">
        <v>0.13627254509018</v>
      </c>
      <c r="I372" s="4">
        <v>1.2E-2</v>
      </c>
      <c r="J372" s="4">
        <v>2.1999999999999999E-2</v>
      </c>
      <c r="K372" s="5">
        <v>100</v>
      </c>
      <c r="L372" s="5">
        <v>100</v>
      </c>
      <c r="M372" s="5">
        <v>100</v>
      </c>
      <c r="N372" s="5">
        <v>100</v>
      </c>
      <c r="O372" s="2">
        <v>0.15782408519356722</v>
      </c>
      <c r="P372" s="2">
        <v>0.14649800564777052</v>
      </c>
      <c r="Q372" s="2">
        <v>1.2072581234269249E-2</v>
      </c>
      <c r="R372" s="2">
        <v>2.2245608947319737E-2</v>
      </c>
    </row>
    <row r="373" spans="1:18" x14ac:dyDescent="0.3">
      <c r="A373" s="7">
        <v>49</v>
      </c>
      <c r="B373" s="7">
        <v>253</v>
      </c>
      <c r="C373" s="7">
        <v>0</v>
      </c>
      <c r="D373" s="7">
        <v>0</v>
      </c>
      <c r="E373" s="20" t="str">
        <f t="shared" si="5"/>
        <v>00</v>
      </c>
      <c r="F373" s="21">
        <v>0.39973708057457602</v>
      </c>
      <c r="G373" s="4">
        <v>4.7E-2</v>
      </c>
      <c r="H373" s="4">
        <v>4.0485829959514198E-2</v>
      </c>
      <c r="I373" s="4">
        <v>7.0000000000000001E-3</v>
      </c>
      <c r="J373" s="4">
        <v>8.0000000000000002E-3</v>
      </c>
      <c r="K373" s="5">
        <v>100</v>
      </c>
      <c r="L373" s="5">
        <v>100</v>
      </c>
      <c r="M373" s="5">
        <v>100</v>
      </c>
      <c r="N373" s="5">
        <v>100</v>
      </c>
      <c r="O373" s="2">
        <v>4.8140375327934984E-2</v>
      </c>
      <c r="P373" s="2">
        <v>4.1328195492846061E-2</v>
      </c>
      <c r="Q373" s="2">
        <v>7.0246149369644663E-3</v>
      </c>
      <c r="R373" s="2">
        <v>8.0321716972642666E-3</v>
      </c>
    </row>
    <row r="374" spans="1:18" x14ac:dyDescent="0.3">
      <c r="A374" s="7">
        <v>309</v>
      </c>
      <c r="B374" s="7">
        <v>281</v>
      </c>
      <c r="C374" s="7">
        <v>0</v>
      </c>
      <c r="D374" s="7">
        <v>0</v>
      </c>
      <c r="E374" s="20" t="str">
        <f t="shared" si="5"/>
        <v>00</v>
      </c>
      <c r="F374" s="21">
        <v>0.40087433421319801</v>
      </c>
      <c r="G374" s="4">
        <v>7.9000000000000001E-2</v>
      </c>
      <c r="H374" s="4">
        <v>8.4337349397590397E-2</v>
      </c>
      <c r="I374" s="4">
        <v>7.0000000000000001E-3</v>
      </c>
      <c r="J374" s="4">
        <v>4.0000000000000001E-3</v>
      </c>
      <c r="K374" s="5">
        <v>100</v>
      </c>
      <c r="L374" s="5">
        <v>100</v>
      </c>
      <c r="M374" s="5">
        <v>100</v>
      </c>
      <c r="N374" s="5">
        <v>100</v>
      </c>
      <c r="O374" s="2">
        <v>8.2295242726830156E-2</v>
      </c>
      <c r="P374" s="2">
        <v>8.8107267510266901E-2</v>
      </c>
      <c r="Q374" s="2">
        <v>7.0246149369644663E-3</v>
      </c>
      <c r="R374" s="2">
        <v>4.0080213975388218E-3</v>
      </c>
    </row>
    <row r="375" spans="1:18" x14ac:dyDescent="0.3">
      <c r="A375" s="7">
        <v>817</v>
      </c>
      <c r="B375" s="7">
        <v>261</v>
      </c>
      <c r="C375" s="7">
        <v>0</v>
      </c>
      <c r="D375" s="7">
        <v>0</v>
      </c>
      <c r="E375" s="20" t="str">
        <f t="shared" si="5"/>
        <v>00</v>
      </c>
      <c r="F375" s="21">
        <v>0.40582242330285001</v>
      </c>
      <c r="G375" s="4">
        <v>8.5999999999999993E-2</v>
      </c>
      <c r="H375" s="4">
        <v>9.0361445783132502E-2</v>
      </c>
      <c r="I375" s="4">
        <v>0.998</v>
      </c>
      <c r="J375" s="4">
        <v>0.996</v>
      </c>
      <c r="K375" s="5">
        <v>100</v>
      </c>
      <c r="L375" s="5">
        <v>100</v>
      </c>
      <c r="M375" s="5">
        <v>0</v>
      </c>
      <c r="N375" s="5">
        <v>0</v>
      </c>
      <c r="O375" s="2">
        <v>8.9924707527987008E-2</v>
      </c>
      <c r="P375" s="2">
        <v>9.4707951541618915E-2</v>
      </c>
      <c r="Q375" s="2">
        <v>6.2146080984221905</v>
      </c>
      <c r="R375" s="2">
        <v>5.5214609178622451</v>
      </c>
    </row>
    <row r="376" spans="1:18" x14ac:dyDescent="0.3">
      <c r="A376" s="7">
        <v>984</v>
      </c>
      <c r="B376" s="7">
        <v>224</v>
      </c>
      <c r="C376" s="7">
        <v>0</v>
      </c>
      <c r="D376" s="7">
        <v>0</v>
      </c>
      <c r="E376" s="20" t="str">
        <f t="shared" si="5"/>
        <v>00</v>
      </c>
      <c r="F376" s="21">
        <v>0.40614839449893197</v>
      </c>
      <c r="G376" s="4">
        <v>0.2</v>
      </c>
      <c r="H376" s="4">
        <v>0.20240480961923801</v>
      </c>
      <c r="I376" s="4">
        <v>8.0000000000000002E-3</v>
      </c>
      <c r="J376" s="4">
        <v>7.0000000000000001E-3</v>
      </c>
      <c r="K376" s="5">
        <v>100</v>
      </c>
      <c r="L376" s="5">
        <v>100</v>
      </c>
      <c r="M376" s="5">
        <v>100</v>
      </c>
      <c r="N376" s="5">
        <v>100</v>
      </c>
      <c r="O376" s="2">
        <v>0.22314355131420971</v>
      </c>
      <c r="P376" s="2">
        <v>0.22615409046708038</v>
      </c>
      <c r="Q376" s="2">
        <v>8.0321716972642666E-3</v>
      </c>
      <c r="R376" s="2">
        <v>7.0246149369644663E-3</v>
      </c>
    </row>
    <row r="377" spans="1:18" x14ac:dyDescent="0.3">
      <c r="A377" s="7">
        <v>586</v>
      </c>
      <c r="B377" s="7">
        <v>255</v>
      </c>
      <c r="C377" s="7">
        <v>0</v>
      </c>
      <c r="D377" s="7">
        <v>0</v>
      </c>
      <c r="E377" s="20" t="str">
        <f t="shared" si="5"/>
        <v>00</v>
      </c>
      <c r="F377" s="21">
        <v>0.40918128398542197</v>
      </c>
      <c r="G377" s="4">
        <v>0.16200000000000001</v>
      </c>
      <c r="H377" s="4">
        <v>0.149193548387097</v>
      </c>
      <c r="I377" s="4">
        <v>2.3E-2</v>
      </c>
      <c r="J377" s="4">
        <v>1.7000000000000001E-2</v>
      </c>
      <c r="K377" s="5">
        <v>100</v>
      </c>
      <c r="L377" s="5">
        <v>100</v>
      </c>
      <c r="M377" s="5">
        <v>100</v>
      </c>
      <c r="N377" s="5">
        <v>100</v>
      </c>
      <c r="O377" s="2">
        <v>0.17673717850005405</v>
      </c>
      <c r="P377" s="2">
        <v>0.16157061268891593</v>
      </c>
      <c r="Q377" s="2">
        <v>2.3268626939354331E-2</v>
      </c>
      <c r="R377" s="2">
        <v>1.7146158834970514E-2</v>
      </c>
    </row>
    <row r="378" spans="1:18" x14ac:dyDescent="0.3">
      <c r="A378" s="7">
        <v>940</v>
      </c>
      <c r="B378" s="7">
        <v>254</v>
      </c>
      <c r="C378" s="7">
        <v>0</v>
      </c>
      <c r="D378" s="7">
        <v>0</v>
      </c>
      <c r="E378" s="20" t="str">
        <f t="shared" si="5"/>
        <v>00</v>
      </c>
      <c r="F378" s="21">
        <v>0.41136460803911701</v>
      </c>
      <c r="G378" s="4">
        <v>7.5999999999999998E-2</v>
      </c>
      <c r="H378" s="4">
        <v>8.8888888888888906E-2</v>
      </c>
      <c r="I378" s="4">
        <v>6.0000000000000001E-3</v>
      </c>
      <c r="J378" s="4">
        <v>8.0000000000000002E-3</v>
      </c>
      <c r="K378" s="5">
        <v>100</v>
      </c>
      <c r="L378" s="5">
        <v>100</v>
      </c>
      <c r="M378" s="5">
        <v>100</v>
      </c>
      <c r="N378" s="5">
        <v>100</v>
      </c>
      <c r="O378" s="2">
        <v>7.9043207340452851E-2</v>
      </c>
      <c r="P378" s="2">
        <v>9.3090423066011979E-2</v>
      </c>
      <c r="Q378" s="2">
        <v>6.0180723255630212E-3</v>
      </c>
      <c r="R378" s="2">
        <v>8.0321716972642666E-3</v>
      </c>
    </row>
    <row r="379" spans="1:18" x14ac:dyDescent="0.3">
      <c r="A379" s="7">
        <v>405</v>
      </c>
      <c r="B379" s="7">
        <v>261</v>
      </c>
      <c r="C379" s="7">
        <v>0</v>
      </c>
      <c r="D379" s="7">
        <v>0</v>
      </c>
      <c r="E379" s="20" t="str">
        <f t="shared" si="5"/>
        <v>00</v>
      </c>
      <c r="F379" s="21">
        <v>0.41208825418352701</v>
      </c>
      <c r="G379" s="4">
        <v>0.109</v>
      </c>
      <c r="H379" s="4">
        <v>9.3306288032454401E-2</v>
      </c>
      <c r="I379" s="4">
        <v>1.6E-2</v>
      </c>
      <c r="J379" s="4">
        <v>1.0999999999999999E-2</v>
      </c>
      <c r="K379" s="5">
        <v>100</v>
      </c>
      <c r="L379" s="5">
        <v>100</v>
      </c>
      <c r="M379" s="5">
        <v>100</v>
      </c>
      <c r="N379" s="5">
        <v>100</v>
      </c>
      <c r="O379" s="2">
        <v>0.11541085151132773</v>
      </c>
      <c r="P379" s="2">
        <v>9.7950579429121359E-2</v>
      </c>
      <c r="Q379" s="2">
        <v>1.6129381929883644E-2</v>
      </c>
      <c r="R379" s="2">
        <v>1.1060947359424948E-2</v>
      </c>
    </row>
    <row r="380" spans="1:18" x14ac:dyDescent="0.3">
      <c r="A380" s="7">
        <v>929</v>
      </c>
      <c r="B380" s="7">
        <v>251</v>
      </c>
      <c r="C380" s="7">
        <v>0</v>
      </c>
      <c r="D380" s="7">
        <v>0</v>
      </c>
      <c r="E380" s="20" t="str">
        <f t="shared" si="5"/>
        <v>00</v>
      </c>
      <c r="F380" s="21">
        <v>0.41468139693842698</v>
      </c>
      <c r="G380" s="4">
        <v>0.13100000000000001</v>
      </c>
      <c r="H380" s="4">
        <v>0.125252525252525</v>
      </c>
      <c r="I380" s="4">
        <v>1.0999999999999999E-2</v>
      </c>
      <c r="J380" s="4">
        <v>8.9999999999999993E-3</v>
      </c>
      <c r="K380" s="5">
        <v>100</v>
      </c>
      <c r="L380" s="5">
        <v>100</v>
      </c>
      <c r="M380" s="5">
        <v>100</v>
      </c>
      <c r="N380" s="5">
        <v>100</v>
      </c>
      <c r="O380" s="2">
        <v>0.14041215371674501</v>
      </c>
      <c r="P380" s="2">
        <v>0.13382003456620012</v>
      </c>
      <c r="Q380" s="2">
        <v>1.1060947359424948E-2</v>
      </c>
      <c r="R380" s="2">
        <v>9.0407446521490707E-3</v>
      </c>
    </row>
    <row r="381" spans="1:18" x14ac:dyDescent="0.3">
      <c r="A381" s="7">
        <v>930</v>
      </c>
      <c r="B381" s="7">
        <v>231</v>
      </c>
      <c r="C381" s="7">
        <v>0</v>
      </c>
      <c r="D381" s="7">
        <v>0</v>
      </c>
      <c r="E381" s="20" t="str">
        <f t="shared" si="5"/>
        <v>00</v>
      </c>
      <c r="F381" s="21">
        <v>0.41584445082221799</v>
      </c>
      <c r="G381" s="4">
        <v>0.10299999999999999</v>
      </c>
      <c r="H381" s="4">
        <v>0.108433734939759</v>
      </c>
      <c r="I381" s="4">
        <v>1.2999999999999999E-2</v>
      </c>
      <c r="J381" s="4">
        <v>1.4E-2</v>
      </c>
      <c r="K381" s="5">
        <v>100</v>
      </c>
      <c r="L381" s="5">
        <v>100</v>
      </c>
      <c r="M381" s="5">
        <v>100</v>
      </c>
      <c r="N381" s="5">
        <v>100</v>
      </c>
      <c r="O381" s="2">
        <v>0.10869941692334091</v>
      </c>
      <c r="P381" s="2">
        <v>0.11477551459242818</v>
      </c>
      <c r="Q381" s="2">
        <v>1.3085239548655481E-2</v>
      </c>
      <c r="R381" s="2">
        <v>1.4098924379501648E-2</v>
      </c>
    </row>
    <row r="382" spans="1:18" x14ac:dyDescent="0.3">
      <c r="A382" s="7">
        <v>843</v>
      </c>
      <c r="B382" s="7">
        <v>298</v>
      </c>
      <c r="C382" s="7">
        <v>0</v>
      </c>
      <c r="D382" s="7">
        <v>0</v>
      </c>
      <c r="E382" s="20" t="str">
        <f t="shared" si="5"/>
        <v>00</v>
      </c>
      <c r="F382" s="21">
        <v>0.41781918140554802</v>
      </c>
      <c r="G382" s="4">
        <v>0.27800000000000002</v>
      </c>
      <c r="H382" s="4">
        <v>0.28256513026052099</v>
      </c>
      <c r="I382" s="4">
        <v>8.0000000000000002E-3</v>
      </c>
      <c r="J382" s="4">
        <v>1.4E-2</v>
      </c>
      <c r="K382" s="5">
        <v>100</v>
      </c>
      <c r="L382" s="5">
        <v>100</v>
      </c>
      <c r="M382" s="5">
        <v>100</v>
      </c>
      <c r="N382" s="5">
        <v>100</v>
      </c>
      <c r="O382" s="2">
        <v>0.32573014008931084</v>
      </c>
      <c r="P382" s="2">
        <v>0.3320731093508183</v>
      </c>
      <c r="Q382" s="2">
        <v>8.0321716972642666E-3</v>
      </c>
      <c r="R382" s="2">
        <v>1.4098924379501648E-2</v>
      </c>
    </row>
    <row r="383" spans="1:18" x14ac:dyDescent="0.3">
      <c r="A383" s="7">
        <v>176</v>
      </c>
      <c r="B383" s="7">
        <v>223</v>
      </c>
      <c r="C383" s="7">
        <v>0</v>
      </c>
      <c r="D383" s="7">
        <v>0</v>
      </c>
      <c r="E383" s="20" t="str">
        <f t="shared" si="5"/>
        <v>00</v>
      </c>
      <c r="F383" s="21">
        <v>0.42349877294899202</v>
      </c>
      <c r="G383" s="4">
        <v>0.23699999999999999</v>
      </c>
      <c r="H383" s="4">
        <v>0.230769230769231</v>
      </c>
      <c r="I383" s="4">
        <v>1.4E-2</v>
      </c>
      <c r="J383" s="4">
        <v>1.4E-2</v>
      </c>
      <c r="K383" s="5">
        <v>100</v>
      </c>
      <c r="L383" s="5">
        <v>100</v>
      </c>
      <c r="M383" s="5">
        <v>100</v>
      </c>
      <c r="N383" s="5">
        <v>100</v>
      </c>
      <c r="O383" s="2">
        <v>0.27049724769768002</v>
      </c>
      <c r="P383" s="2">
        <v>0.26236426446749145</v>
      </c>
      <c r="Q383" s="2">
        <v>1.4098924379501648E-2</v>
      </c>
      <c r="R383" s="2">
        <v>1.4098924379501648E-2</v>
      </c>
    </row>
    <row r="384" spans="1:18" x14ac:dyDescent="0.3">
      <c r="A384" s="7">
        <v>413</v>
      </c>
      <c r="B384" s="7">
        <v>236</v>
      </c>
      <c r="C384" s="7">
        <v>0</v>
      </c>
      <c r="D384" s="7">
        <v>0</v>
      </c>
      <c r="E384" s="20" t="str">
        <f t="shared" si="5"/>
        <v>00</v>
      </c>
      <c r="F384" s="21">
        <v>0.42372202080208898</v>
      </c>
      <c r="G384" s="4">
        <v>0.157</v>
      </c>
      <c r="H384" s="4">
        <v>0.135353535353535</v>
      </c>
      <c r="I384" s="4">
        <v>1.4999999999999999E-2</v>
      </c>
      <c r="J384" s="4">
        <v>8.9999999999999993E-3</v>
      </c>
      <c r="K384" s="5">
        <v>100</v>
      </c>
      <c r="L384" s="5">
        <v>100</v>
      </c>
      <c r="M384" s="5">
        <v>100</v>
      </c>
      <c r="N384" s="5">
        <v>100</v>
      </c>
      <c r="O384" s="2">
        <v>0.17078832098028163</v>
      </c>
      <c r="P384" s="2">
        <v>0.14543456698689311</v>
      </c>
      <c r="Q384" s="2">
        <v>1.5113637810048184E-2</v>
      </c>
      <c r="R384" s="2">
        <v>9.0407446521490707E-3</v>
      </c>
    </row>
    <row r="385" spans="1:18" x14ac:dyDescent="0.3">
      <c r="A385" s="7">
        <v>193</v>
      </c>
      <c r="B385" s="7">
        <v>255</v>
      </c>
      <c r="C385" s="7">
        <v>0</v>
      </c>
      <c r="D385" s="7">
        <v>0</v>
      </c>
      <c r="E385" s="20" t="str">
        <f t="shared" si="5"/>
        <v>00</v>
      </c>
      <c r="F385" s="21">
        <v>0.42396004654212699</v>
      </c>
      <c r="G385" s="4">
        <v>0.23300000000000001</v>
      </c>
      <c r="H385" s="4">
        <v>0.21106557377049201</v>
      </c>
      <c r="I385" s="4">
        <v>1.0999999999999999E-2</v>
      </c>
      <c r="J385" s="4">
        <v>1.4E-2</v>
      </c>
      <c r="K385" s="5">
        <v>100</v>
      </c>
      <c r="L385" s="5">
        <v>100</v>
      </c>
      <c r="M385" s="5">
        <v>100</v>
      </c>
      <c r="N385" s="5">
        <v>100</v>
      </c>
      <c r="O385" s="2">
        <v>0.26526847761488087</v>
      </c>
      <c r="P385" s="2">
        <v>0.23707207156536328</v>
      </c>
      <c r="Q385" s="2">
        <v>1.1060947359424948E-2</v>
      </c>
      <c r="R385" s="2">
        <v>1.4098924379501648E-2</v>
      </c>
    </row>
    <row r="386" spans="1:18" x14ac:dyDescent="0.3">
      <c r="A386" s="7">
        <v>877</v>
      </c>
      <c r="B386" s="7">
        <v>237</v>
      </c>
      <c r="C386" s="7">
        <v>0</v>
      </c>
      <c r="D386" s="7">
        <v>0</v>
      </c>
      <c r="E386" s="20" t="str">
        <f t="shared" ref="E386:E449" si="6">_xlfn.CONCAT(C386,D386)</f>
        <v>00</v>
      </c>
      <c r="F386" s="21">
        <v>0.42559913846673297</v>
      </c>
      <c r="G386" s="4">
        <v>0.157</v>
      </c>
      <c r="H386" s="4">
        <v>0.154929577464789</v>
      </c>
      <c r="I386" s="4">
        <v>1.4999999999999999E-2</v>
      </c>
      <c r="J386" s="4">
        <v>7.0000000000000001E-3</v>
      </c>
      <c r="K386" s="5">
        <v>100</v>
      </c>
      <c r="L386" s="5">
        <v>100</v>
      </c>
      <c r="M386" s="5">
        <v>100</v>
      </c>
      <c r="N386" s="5">
        <v>100</v>
      </c>
      <c r="O386" s="2">
        <v>0.17078832098028163</v>
      </c>
      <c r="P386" s="2">
        <v>0.16833531481921502</v>
      </c>
      <c r="Q386" s="2">
        <v>1.5113637810048184E-2</v>
      </c>
      <c r="R386" s="2">
        <v>7.0246149369644663E-3</v>
      </c>
    </row>
    <row r="387" spans="1:18" x14ac:dyDescent="0.3">
      <c r="A387" s="7">
        <v>834</v>
      </c>
      <c r="B387" s="7">
        <v>252</v>
      </c>
      <c r="C387" s="7">
        <v>0</v>
      </c>
      <c r="D387" s="7">
        <v>0</v>
      </c>
      <c r="E387" s="20" t="str">
        <f t="shared" si="6"/>
        <v>00</v>
      </c>
      <c r="F387" s="21">
        <v>0.42592357025091998</v>
      </c>
      <c r="G387" s="4">
        <v>0.13400000000000001</v>
      </c>
      <c r="H387" s="4">
        <v>0.10838445807770999</v>
      </c>
      <c r="I387" s="4">
        <v>1.7000000000000001E-2</v>
      </c>
      <c r="J387" s="4">
        <v>1.6E-2</v>
      </c>
      <c r="K387" s="5">
        <v>100</v>
      </c>
      <c r="L387" s="5">
        <v>100</v>
      </c>
      <c r="M387" s="5">
        <v>100</v>
      </c>
      <c r="N387" s="5">
        <v>100</v>
      </c>
      <c r="O387" s="2">
        <v>0.14387037041970191</v>
      </c>
      <c r="P387" s="2">
        <v>0.11472024612583817</v>
      </c>
      <c r="Q387" s="2">
        <v>1.7146158834970514E-2</v>
      </c>
      <c r="R387" s="2">
        <v>1.6129381929883644E-2</v>
      </c>
    </row>
    <row r="388" spans="1:18" x14ac:dyDescent="0.3">
      <c r="A388" s="7">
        <v>757</v>
      </c>
      <c r="B388" s="7">
        <v>226</v>
      </c>
      <c r="C388" s="7">
        <v>0</v>
      </c>
      <c r="D388" s="7">
        <v>0</v>
      </c>
      <c r="E388" s="20" t="str">
        <f t="shared" si="6"/>
        <v>00</v>
      </c>
      <c r="F388" s="21">
        <v>0.42639594768719902</v>
      </c>
      <c r="G388" s="4">
        <v>0.114</v>
      </c>
      <c r="H388" s="4">
        <v>8.4536082474226795E-2</v>
      </c>
      <c r="I388" s="4">
        <v>1.0999999999999999E-2</v>
      </c>
      <c r="J388" s="4">
        <v>1.4999999999999999E-2</v>
      </c>
      <c r="K388" s="5">
        <v>100</v>
      </c>
      <c r="L388" s="5">
        <v>100</v>
      </c>
      <c r="M388" s="5">
        <v>100</v>
      </c>
      <c r="N388" s="5">
        <v>100</v>
      </c>
      <c r="O388" s="2">
        <v>0.1210383283770561</v>
      </c>
      <c r="P388" s="2">
        <v>8.8324328505258481E-2</v>
      </c>
      <c r="Q388" s="2">
        <v>1.1060947359424948E-2</v>
      </c>
      <c r="R388" s="2">
        <v>1.5113637810048184E-2</v>
      </c>
    </row>
    <row r="389" spans="1:18" x14ac:dyDescent="0.3">
      <c r="A389" s="7">
        <v>610</v>
      </c>
      <c r="B389" s="7">
        <v>241</v>
      </c>
      <c r="C389" s="7">
        <v>0</v>
      </c>
      <c r="D389" s="7">
        <v>0</v>
      </c>
      <c r="E389" s="20" t="str">
        <f t="shared" si="6"/>
        <v>00</v>
      </c>
      <c r="F389" s="21">
        <v>0.42779467191966403</v>
      </c>
      <c r="G389" s="4">
        <v>0.36899999999999999</v>
      </c>
      <c r="H389" s="4">
        <v>0.27293577981651401</v>
      </c>
      <c r="I389" s="4">
        <v>1.7999999999999999E-2</v>
      </c>
      <c r="J389" s="4">
        <v>1.4999999999999999E-2</v>
      </c>
      <c r="K389" s="5">
        <v>100</v>
      </c>
      <c r="L389" s="5">
        <v>100</v>
      </c>
      <c r="M389" s="5">
        <v>100</v>
      </c>
      <c r="N389" s="5">
        <v>100</v>
      </c>
      <c r="O389" s="2">
        <v>0.46044941644092391</v>
      </c>
      <c r="P389" s="2">
        <v>0.318740469471754</v>
      </c>
      <c r="Q389" s="2">
        <v>1.816397062767118E-2</v>
      </c>
      <c r="R389" s="2">
        <v>1.5113637810048184E-2</v>
      </c>
    </row>
    <row r="390" spans="1:18" x14ac:dyDescent="0.3">
      <c r="A390" s="7">
        <v>449</v>
      </c>
      <c r="B390" s="7">
        <v>225</v>
      </c>
      <c r="C390" s="7">
        <v>0</v>
      </c>
      <c r="D390" s="7">
        <v>0</v>
      </c>
      <c r="E390" s="20" t="str">
        <f t="shared" si="6"/>
        <v>00</v>
      </c>
      <c r="F390" s="21">
        <v>0.42920555404774102</v>
      </c>
      <c r="G390" s="4">
        <v>0.14699999999999999</v>
      </c>
      <c r="H390" s="4">
        <v>0.101871101871102</v>
      </c>
      <c r="I390" s="4">
        <v>1.7000000000000001E-2</v>
      </c>
      <c r="J390" s="4">
        <v>1.6E-2</v>
      </c>
      <c r="K390" s="5">
        <v>100</v>
      </c>
      <c r="L390" s="5">
        <v>100</v>
      </c>
      <c r="M390" s="5">
        <v>100</v>
      </c>
      <c r="N390" s="5">
        <v>100</v>
      </c>
      <c r="O390" s="2">
        <v>0.15899573149045795</v>
      </c>
      <c r="P390" s="2">
        <v>0.10744168186165107</v>
      </c>
      <c r="Q390" s="2">
        <v>1.7146158834970514E-2</v>
      </c>
      <c r="R390" s="2">
        <v>1.6129381929883644E-2</v>
      </c>
    </row>
    <row r="391" spans="1:18" x14ac:dyDescent="0.3">
      <c r="A391" s="7">
        <v>974</v>
      </c>
      <c r="B391" s="7">
        <v>256</v>
      </c>
      <c r="C391" s="7">
        <v>0</v>
      </c>
      <c r="D391" s="7">
        <v>0</v>
      </c>
      <c r="E391" s="20" t="str">
        <f t="shared" si="6"/>
        <v>00</v>
      </c>
      <c r="F391" s="21">
        <v>0.42987279184391303</v>
      </c>
      <c r="G391" s="4">
        <v>0.106</v>
      </c>
      <c r="H391" s="4">
        <v>9.0180360721442906E-2</v>
      </c>
      <c r="I391" s="4">
        <v>1.4E-2</v>
      </c>
      <c r="J391" s="4">
        <v>1.7999999999999999E-2</v>
      </c>
      <c r="K391" s="5">
        <v>100</v>
      </c>
      <c r="L391" s="5">
        <v>100</v>
      </c>
      <c r="M391" s="5">
        <v>100</v>
      </c>
      <c r="N391" s="5">
        <v>100</v>
      </c>
      <c r="O391" s="2">
        <v>0.11204950380862289</v>
      </c>
      <c r="P391" s="2">
        <v>9.4508897710170653E-2</v>
      </c>
      <c r="Q391" s="2">
        <v>1.4098924379501648E-2</v>
      </c>
      <c r="R391" s="2">
        <v>1.816397062767118E-2</v>
      </c>
    </row>
    <row r="392" spans="1:18" x14ac:dyDescent="0.3">
      <c r="A392" s="7">
        <v>186</v>
      </c>
      <c r="B392" s="7">
        <v>239</v>
      </c>
      <c r="C392" s="7">
        <v>0</v>
      </c>
      <c r="D392" s="7">
        <v>0</v>
      </c>
      <c r="E392" s="20" t="str">
        <f t="shared" si="6"/>
        <v>00</v>
      </c>
      <c r="F392" s="21">
        <v>0.43079424482690798</v>
      </c>
      <c r="G392" s="4">
        <v>8.1000000000000003E-2</v>
      </c>
      <c r="H392" s="4">
        <v>5.3169734151329202E-2</v>
      </c>
      <c r="I392" s="4">
        <v>1.4999999999999999E-2</v>
      </c>
      <c r="J392" s="4">
        <v>8.0000000000000002E-3</v>
      </c>
      <c r="K392" s="5">
        <v>100</v>
      </c>
      <c r="L392" s="5">
        <v>100</v>
      </c>
      <c r="M392" s="5">
        <v>100</v>
      </c>
      <c r="N392" s="5">
        <v>100</v>
      </c>
      <c r="O392" s="2">
        <v>8.4469156626449965E-2</v>
      </c>
      <c r="P392" s="2">
        <v>5.4635435388637903E-2</v>
      </c>
      <c r="Q392" s="2">
        <v>1.5113637810048184E-2</v>
      </c>
      <c r="R392" s="2">
        <v>8.0321716972642666E-3</v>
      </c>
    </row>
    <row r="393" spans="1:18" x14ac:dyDescent="0.3">
      <c r="A393" s="7">
        <v>967</v>
      </c>
      <c r="B393" s="7">
        <v>237</v>
      </c>
      <c r="C393" s="7">
        <v>0</v>
      </c>
      <c r="D393" s="7">
        <v>0</v>
      </c>
      <c r="E393" s="20" t="str">
        <f t="shared" si="6"/>
        <v>00</v>
      </c>
      <c r="F393" s="21">
        <v>0.437300139257078</v>
      </c>
      <c r="G393" s="4">
        <v>0.22500000000000001</v>
      </c>
      <c r="H393" s="4">
        <v>0.230769230769231</v>
      </c>
      <c r="I393" s="4">
        <v>1.2999999999999999E-2</v>
      </c>
      <c r="J393" s="4">
        <v>1.4E-2</v>
      </c>
      <c r="K393" s="5">
        <v>100</v>
      </c>
      <c r="L393" s="5">
        <v>100</v>
      </c>
      <c r="M393" s="5">
        <v>100</v>
      </c>
      <c r="N393" s="5">
        <v>100</v>
      </c>
      <c r="O393" s="2">
        <v>0.25489224962879004</v>
      </c>
      <c r="P393" s="2">
        <v>0.26236426446749145</v>
      </c>
      <c r="Q393" s="2">
        <v>1.3085239548655481E-2</v>
      </c>
      <c r="R393" s="2">
        <v>1.4098924379501648E-2</v>
      </c>
    </row>
    <row r="394" spans="1:18" x14ac:dyDescent="0.3">
      <c r="A394" s="7">
        <v>871</v>
      </c>
      <c r="B394" s="7">
        <v>222</v>
      </c>
      <c r="C394" s="7">
        <v>0</v>
      </c>
      <c r="D394" s="7">
        <v>0</v>
      </c>
      <c r="E394" s="20" t="str">
        <f t="shared" si="6"/>
        <v>00</v>
      </c>
      <c r="F394" s="21">
        <v>0.43813037868044902</v>
      </c>
      <c r="G394" s="4">
        <v>0.193</v>
      </c>
      <c r="H394" s="4">
        <v>0.2</v>
      </c>
      <c r="I394" s="4">
        <v>1.2999999999999999E-2</v>
      </c>
      <c r="J394" s="4">
        <v>1.9E-2</v>
      </c>
      <c r="K394" s="5">
        <v>100</v>
      </c>
      <c r="L394" s="5">
        <v>100</v>
      </c>
      <c r="M394" s="5">
        <v>100</v>
      </c>
      <c r="N394" s="5">
        <v>100</v>
      </c>
      <c r="O394" s="2">
        <v>0.21443161071218833</v>
      </c>
      <c r="P394" s="2">
        <v>0.22314355131420971</v>
      </c>
      <c r="Q394" s="2">
        <v>1.3085239548655481E-2</v>
      </c>
      <c r="R394" s="2">
        <v>1.9182819416773987E-2</v>
      </c>
    </row>
    <row r="395" spans="1:18" x14ac:dyDescent="0.3">
      <c r="A395" s="7">
        <v>914</v>
      </c>
      <c r="B395" s="7">
        <v>229</v>
      </c>
      <c r="C395" s="7">
        <v>0</v>
      </c>
      <c r="D395" s="7">
        <v>0</v>
      </c>
      <c r="E395" s="20" t="str">
        <f t="shared" si="6"/>
        <v>00</v>
      </c>
      <c r="F395" s="21">
        <v>0.43869000273818598</v>
      </c>
      <c r="G395" s="4">
        <v>0.29699999999999999</v>
      </c>
      <c r="H395" s="4">
        <v>0.286868686868687</v>
      </c>
      <c r="I395" s="4">
        <v>5.1999999999999998E-2</v>
      </c>
      <c r="J395" s="4">
        <v>4.5999999999999999E-2</v>
      </c>
      <c r="K395" s="5">
        <v>100</v>
      </c>
      <c r="L395" s="5">
        <v>100</v>
      </c>
      <c r="M395" s="5">
        <v>100</v>
      </c>
      <c r="N395" s="5">
        <v>100</v>
      </c>
      <c r="O395" s="2">
        <v>0.35239838717147204</v>
      </c>
      <c r="P395" s="2">
        <v>0.33808970563539364</v>
      </c>
      <c r="Q395" s="2">
        <v>5.3400776727115296E-2</v>
      </c>
      <c r="R395" s="2">
        <v>4.7091607533850569E-2</v>
      </c>
    </row>
    <row r="396" spans="1:18" x14ac:dyDescent="0.3">
      <c r="A396" s="7">
        <v>523</v>
      </c>
      <c r="B396" s="7">
        <v>225</v>
      </c>
      <c r="C396" s="7">
        <v>0</v>
      </c>
      <c r="D396" s="7">
        <v>0</v>
      </c>
      <c r="E396" s="20" t="str">
        <f t="shared" si="6"/>
        <v>00</v>
      </c>
      <c r="F396" s="21">
        <v>0.43961341251031</v>
      </c>
      <c r="G396" s="4">
        <v>0.158</v>
      </c>
      <c r="H396" s="4">
        <v>0.16969696969697001</v>
      </c>
      <c r="I396" s="4">
        <v>8.9999999999999993E-3</v>
      </c>
      <c r="J396" s="4">
        <v>1.2E-2</v>
      </c>
      <c r="K396" s="5">
        <v>100</v>
      </c>
      <c r="L396" s="5">
        <v>100</v>
      </c>
      <c r="M396" s="5">
        <v>100</v>
      </c>
      <c r="N396" s="5">
        <v>100</v>
      </c>
      <c r="O396" s="2">
        <v>0.17197526473981037</v>
      </c>
      <c r="P396" s="2">
        <v>0.18596454807245608</v>
      </c>
      <c r="Q396" s="2">
        <v>9.0407446521490707E-3</v>
      </c>
      <c r="R396" s="2">
        <v>1.2072581234269249E-2</v>
      </c>
    </row>
    <row r="397" spans="1:18" x14ac:dyDescent="0.3">
      <c r="A397" s="7">
        <v>420</v>
      </c>
      <c r="B397" s="7">
        <v>231</v>
      </c>
      <c r="C397" s="7">
        <v>0</v>
      </c>
      <c r="D397" s="7">
        <v>0</v>
      </c>
      <c r="E397" s="20" t="str">
        <f t="shared" si="6"/>
        <v>00</v>
      </c>
      <c r="F397" s="21">
        <v>0.44186746550418599</v>
      </c>
      <c r="G397" s="4">
        <v>4.7E-2</v>
      </c>
      <c r="H397" s="4">
        <v>4.4176706827309203E-2</v>
      </c>
      <c r="I397" s="4">
        <v>1.7999999999999999E-2</v>
      </c>
      <c r="J397" s="4">
        <v>1.2E-2</v>
      </c>
      <c r="K397" s="5">
        <v>100</v>
      </c>
      <c r="L397" s="5">
        <v>100</v>
      </c>
      <c r="M397" s="5">
        <v>100</v>
      </c>
      <c r="N397" s="5">
        <v>100</v>
      </c>
      <c r="O397" s="2">
        <v>4.8140375327934984E-2</v>
      </c>
      <c r="P397" s="2">
        <v>4.5182222793232911E-2</v>
      </c>
      <c r="Q397" s="2">
        <v>1.816397062767118E-2</v>
      </c>
      <c r="R397" s="2">
        <v>1.2072581234269249E-2</v>
      </c>
    </row>
    <row r="398" spans="1:18" x14ac:dyDescent="0.3">
      <c r="A398" s="7">
        <v>629</v>
      </c>
      <c r="B398" s="7">
        <v>246</v>
      </c>
      <c r="C398" s="7">
        <v>0</v>
      </c>
      <c r="D398" s="7">
        <v>0</v>
      </c>
      <c r="E398" s="20" t="str">
        <f t="shared" si="6"/>
        <v>00</v>
      </c>
      <c r="F398" s="21">
        <v>0.44215589443864201</v>
      </c>
      <c r="G398" s="4">
        <v>0.217</v>
      </c>
      <c r="H398" s="4">
        <v>0.20486815415821499</v>
      </c>
      <c r="I398" s="4">
        <v>1.4E-2</v>
      </c>
      <c r="J398" s="4">
        <v>1.9E-2</v>
      </c>
      <c r="K398" s="5">
        <v>100</v>
      </c>
      <c r="L398" s="5">
        <v>100</v>
      </c>
      <c r="M398" s="5">
        <v>100</v>
      </c>
      <c r="N398" s="5">
        <v>100</v>
      </c>
      <c r="O398" s="2">
        <v>0.24462258299133391</v>
      </c>
      <c r="P398" s="2">
        <v>0.22924733425222757</v>
      </c>
      <c r="Q398" s="2">
        <v>1.4098924379501648E-2</v>
      </c>
      <c r="R398" s="2">
        <v>1.9182819416773987E-2</v>
      </c>
    </row>
    <row r="399" spans="1:18" x14ac:dyDescent="0.3">
      <c r="A399" s="7">
        <v>425</v>
      </c>
      <c r="B399" s="7">
        <v>229</v>
      </c>
      <c r="C399" s="7">
        <v>0</v>
      </c>
      <c r="D399" s="7">
        <v>0</v>
      </c>
      <c r="E399" s="20" t="str">
        <f t="shared" si="6"/>
        <v>00</v>
      </c>
      <c r="F399" s="21">
        <v>0.44371334101354498</v>
      </c>
      <c r="G399" s="4">
        <v>0.48199999999999998</v>
      </c>
      <c r="H399" s="4">
        <v>0.44469026548672602</v>
      </c>
      <c r="I399" s="4">
        <v>8.9999999999999993E-3</v>
      </c>
      <c r="J399" s="4">
        <v>1.6E-2</v>
      </c>
      <c r="K399" s="5">
        <v>100</v>
      </c>
      <c r="L399" s="5">
        <v>100</v>
      </c>
      <c r="M399" s="5">
        <v>100</v>
      </c>
      <c r="N399" s="5">
        <v>100</v>
      </c>
      <c r="O399" s="2">
        <v>0.65778003672265395</v>
      </c>
      <c r="P399" s="2">
        <v>0.5882292407004478</v>
      </c>
      <c r="Q399" s="2">
        <v>9.0407446521490707E-3</v>
      </c>
      <c r="R399" s="2">
        <v>1.6129381929883644E-2</v>
      </c>
    </row>
    <row r="400" spans="1:18" x14ac:dyDescent="0.3">
      <c r="A400" s="7">
        <v>673</v>
      </c>
      <c r="B400" s="7">
        <v>231</v>
      </c>
      <c r="C400" s="7">
        <v>0</v>
      </c>
      <c r="D400" s="7">
        <v>0</v>
      </c>
      <c r="E400" s="20" t="str">
        <f t="shared" si="6"/>
        <v>00</v>
      </c>
      <c r="F400" s="21">
        <v>0.44417769976338201</v>
      </c>
      <c r="G400" s="4">
        <v>0.13500000000000001</v>
      </c>
      <c r="H400" s="4">
        <v>0.13078470824949701</v>
      </c>
      <c r="I400" s="4">
        <v>0.08</v>
      </c>
      <c r="J400" s="4">
        <v>6.2E-2</v>
      </c>
      <c r="K400" s="5">
        <v>100</v>
      </c>
      <c r="L400" s="5">
        <v>100</v>
      </c>
      <c r="M400" s="5">
        <v>100</v>
      </c>
      <c r="N400" s="5">
        <v>100</v>
      </c>
      <c r="O400" s="2">
        <v>0.14502577205025774</v>
      </c>
      <c r="P400" s="2">
        <v>0.1401644378525185</v>
      </c>
      <c r="Q400" s="2">
        <v>8.3381608939051013E-2</v>
      </c>
      <c r="R400" s="2">
        <v>6.4005329975912434E-2</v>
      </c>
    </row>
    <row r="401" spans="1:18" x14ac:dyDescent="0.3">
      <c r="A401" s="7">
        <v>580</v>
      </c>
      <c r="B401" s="7">
        <v>222</v>
      </c>
      <c r="C401" s="7">
        <v>0</v>
      </c>
      <c r="D401" s="7">
        <v>0</v>
      </c>
      <c r="E401" s="20" t="str">
        <f t="shared" si="6"/>
        <v>00</v>
      </c>
      <c r="F401" s="21">
        <v>0.44444596162125999</v>
      </c>
      <c r="G401" s="4">
        <v>0.217</v>
      </c>
      <c r="H401" s="4">
        <v>0.20703933747412001</v>
      </c>
      <c r="I401" s="4">
        <v>1.2999999999999999E-2</v>
      </c>
      <c r="J401" s="4">
        <v>2.3E-2</v>
      </c>
      <c r="K401" s="5">
        <v>100</v>
      </c>
      <c r="L401" s="5">
        <v>100</v>
      </c>
      <c r="M401" s="5">
        <v>100</v>
      </c>
      <c r="N401" s="5">
        <v>100</v>
      </c>
      <c r="O401" s="2">
        <v>0.24462258299133391</v>
      </c>
      <c r="P401" s="2">
        <v>0.23198166447192653</v>
      </c>
      <c r="Q401" s="2">
        <v>1.3085239548655481E-2</v>
      </c>
      <c r="R401" s="2">
        <v>2.3268626939354331E-2</v>
      </c>
    </row>
    <row r="402" spans="1:18" x14ac:dyDescent="0.3">
      <c r="A402" s="7">
        <v>567</v>
      </c>
      <c r="B402" s="7">
        <v>235</v>
      </c>
      <c r="C402" s="7">
        <v>0</v>
      </c>
      <c r="D402" s="7">
        <v>0</v>
      </c>
      <c r="E402" s="20" t="str">
        <f t="shared" si="6"/>
        <v>00</v>
      </c>
      <c r="F402" s="21">
        <v>0.44519320565547599</v>
      </c>
      <c r="G402" s="4">
        <v>0.08</v>
      </c>
      <c r="H402" s="4">
        <v>8.4415584415584402E-2</v>
      </c>
      <c r="I402" s="4">
        <v>1.2999999999999999E-2</v>
      </c>
      <c r="J402" s="4">
        <v>1.4E-2</v>
      </c>
      <c r="K402" s="5">
        <v>100</v>
      </c>
      <c r="L402" s="5">
        <v>100</v>
      </c>
      <c r="M402" s="5">
        <v>100</v>
      </c>
      <c r="N402" s="5">
        <v>100</v>
      </c>
      <c r="O402" s="2">
        <v>8.3381608939051013E-2</v>
      </c>
      <c r="P402" s="2">
        <v>8.8192712035460849E-2</v>
      </c>
      <c r="Q402" s="2">
        <v>1.3085239548655481E-2</v>
      </c>
      <c r="R402" s="2">
        <v>1.4098924379501648E-2</v>
      </c>
    </row>
    <row r="403" spans="1:18" x14ac:dyDescent="0.3">
      <c r="A403" s="7">
        <v>528</v>
      </c>
      <c r="B403" s="7">
        <v>233</v>
      </c>
      <c r="C403" s="7">
        <v>0</v>
      </c>
      <c r="D403" s="7">
        <v>0</v>
      </c>
      <c r="E403" s="20" t="str">
        <f t="shared" si="6"/>
        <v>00</v>
      </c>
      <c r="F403" s="21">
        <v>0.44839380872338602</v>
      </c>
      <c r="G403" s="4">
        <v>0.125</v>
      </c>
      <c r="H403" s="4">
        <v>0.100208768267223</v>
      </c>
      <c r="I403" s="4">
        <v>0.01</v>
      </c>
      <c r="J403" s="4">
        <v>1.6E-2</v>
      </c>
      <c r="K403" s="5">
        <v>100</v>
      </c>
      <c r="L403" s="5">
        <v>100</v>
      </c>
      <c r="M403" s="5">
        <v>100</v>
      </c>
      <c r="N403" s="5">
        <v>100</v>
      </c>
      <c r="O403" s="2">
        <v>0.13353139262452263</v>
      </c>
      <c r="P403" s="2">
        <v>0.10559250730716704</v>
      </c>
      <c r="Q403" s="2">
        <v>1.0050335853501451E-2</v>
      </c>
      <c r="R403" s="2">
        <v>1.6129381929883644E-2</v>
      </c>
    </row>
    <row r="404" spans="1:18" x14ac:dyDescent="0.3">
      <c r="A404" s="7">
        <v>17</v>
      </c>
      <c r="B404" s="7">
        <v>201</v>
      </c>
      <c r="C404" s="7">
        <v>0</v>
      </c>
      <c r="D404" s="7">
        <v>0</v>
      </c>
      <c r="E404" s="20" t="str">
        <f t="shared" si="6"/>
        <v>00</v>
      </c>
      <c r="F404" s="21">
        <v>0.45173424724470401</v>
      </c>
      <c r="G404" s="4">
        <v>0.48699999999999999</v>
      </c>
      <c r="H404" s="4">
        <v>0.46947368421052599</v>
      </c>
      <c r="I404" s="4">
        <v>1.7000000000000001E-2</v>
      </c>
      <c r="J404" s="4">
        <v>1.4999999999999999E-2</v>
      </c>
      <c r="K404" s="5">
        <v>100</v>
      </c>
      <c r="L404" s="5">
        <v>100</v>
      </c>
      <c r="M404" s="5">
        <v>100</v>
      </c>
      <c r="N404" s="5">
        <v>100</v>
      </c>
      <c r="O404" s="2">
        <v>0.66747943381136754</v>
      </c>
      <c r="P404" s="2">
        <v>0.63388571652321735</v>
      </c>
      <c r="Q404" s="2">
        <v>1.7146158834970514E-2</v>
      </c>
      <c r="R404" s="2">
        <v>1.5113637810048184E-2</v>
      </c>
    </row>
    <row r="405" spans="1:18" x14ac:dyDescent="0.3">
      <c r="A405" s="7">
        <v>961</v>
      </c>
      <c r="B405" s="7">
        <v>234</v>
      </c>
      <c r="C405" s="7">
        <v>0</v>
      </c>
      <c r="D405" s="7">
        <v>0</v>
      </c>
      <c r="E405" s="20" t="str">
        <f t="shared" si="6"/>
        <v>00</v>
      </c>
      <c r="F405" s="21">
        <v>0.452223041974676</v>
      </c>
      <c r="G405" s="4">
        <v>0.152</v>
      </c>
      <c r="H405" s="4">
        <v>0.15120967741935501</v>
      </c>
      <c r="I405" s="4">
        <v>1.4E-2</v>
      </c>
      <c r="J405" s="4">
        <v>1.2999999999999999E-2</v>
      </c>
      <c r="K405" s="5">
        <v>100</v>
      </c>
      <c r="L405" s="5">
        <v>100</v>
      </c>
      <c r="M405" s="5">
        <v>100</v>
      </c>
      <c r="N405" s="5">
        <v>100</v>
      </c>
      <c r="O405" s="2">
        <v>0.16487464319023401</v>
      </c>
      <c r="P405" s="2">
        <v>0.16394309304254623</v>
      </c>
      <c r="Q405" s="2">
        <v>1.4098924379501648E-2</v>
      </c>
      <c r="R405" s="2">
        <v>1.3085239548655481E-2</v>
      </c>
    </row>
    <row r="406" spans="1:18" x14ac:dyDescent="0.3">
      <c r="A406" s="7">
        <v>46</v>
      </c>
      <c r="B406" s="7">
        <v>225</v>
      </c>
      <c r="C406" s="7">
        <v>0</v>
      </c>
      <c r="D406" s="7">
        <v>0</v>
      </c>
      <c r="E406" s="20" t="str">
        <f t="shared" si="6"/>
        <v>00</v>
      </c>
      <c r="F406" s="21">
        <v>0.45324675620216898</v>
      </c>
      <c r="G406" s="4">
        <v>0.128</v>
      </c>
      <c r="H406" s="4">
        <v>0.12449799196787099</v>
      </c>
      <c r="I406" s="4">
        <v>1.4999999999999999E-2</v>
      </c>
      <c r="J406" s="4">
        <v>0.02</v>
      </c>
      <c r="K406" s="5">
        <v>100</v>
      </c>
      <c r="L406" s="5">
        <v>100</v>
      </c>
      <c r="M406" s="5">
        <v>100</v>
      </c>
      <c r="N406" s="5">
        <v>100</v>
      </c>
      <c r="O406" s="2">
        <v>0.13696585507315742</v>
      </c>
      <c r="P406" s="2">
        <v>0.13295783367561809</v>
      </c>
      <c r="Q406" s="2">
        <v>1.5113637810048184E-2</v>
      </c>
      <c r="R406" s="2">
        <v>2.0202707317519466E-2</v>
      </c>
    </row>
    <row r="407" spans="1:18" x14ac:dyDescent="0.3">
      <c r="A407" s="7">
        <v>250</v>
      </c>
      <c r="B407" s="7">
        <v>219</v>
      </c>
      <c r="C407" s="7">
        <v>0</v>
      </c>
      <c r="D407" s="7">
        <v>0</v>
      </c>
      <c r="E407" s="20" t="str">
        <f t="shared" si="6"/>
        <v>00</v>
      </c>
      <c r="F407" s="21">
        <v>0.453427050591998</v>
      </c>
      <c r="G407" s="4">
        <v>0.13300000000000001</v>
      </c>
      <c r="H407" s="4">
        <v>0.116935483870968</v>
      </c>
      <c r="I407" s="4">
        <v>8.9999999999999993E-3</v>
      </c>
      <c r="J407" s="4">
        <v>8.0000000000000002E-3</v>
      </c>
      <c r="K407" s="5">
        <v>100</v>
      </c>
      <c r="L407" s="5">
        <v>100</v>
      </c>
      <c r="M407" s="5">
        <v>100</v>
      </c>
      <c r="N407" s="5">
        <v>100</v>
      </c>
      <c r="O407" s="2">
        <v>0.1427163022015952</v>
      </c>
      <c r="P407" s="2">
        <v>0.12435701634848162</v>
      </c>
      <c r="Q407" s="2">
        <v>9.0407446521490707E-3</v>
      </c>
      <c r="R407" s="2">
        <v>8.0321716972642666E-3</v>
      </c>
    </row>
    <row r="408" spans="1:18" x14ac:dyDescent="0.3">
      <c r="A408" s="7">
        <v>496</v>
      </c>
      <c r="B408" s="7">
        <v>230</v>
      </c>
      <c r="C408" s="7">
        <v>0</v>
      </c>
      <c r="D408" s="7">
        <v>0</v>
      </c>
      <c r="E408" s="20" t="str">
        <f t="shared" si="6"/>
        <v>00</v>
      </c>
      <c r="F408" s="21">
        <v>0.45629888489523301</v>
      </c>
      <c r="G408" s="4">
        <v>0.16400000000000001</v>
      </c>
      <c r="H408" s="4">
        <v>0.16465863453815299</v>
      </c>
      <c r="I408" s="4">
        <v>2.5999999999999999E-2</v>
      </c>
      <c r="J408" s="4">
        <v>1.6E-2</v>
      </c>
      <c r="K408" s="5">
        <v>100</v>
      </c>
      <c r="L408" s="5">
        <v>100</v>
      </c>
      <c r="M408" s="5">
        <v>100</v>
      </c>
      <c r="N408" s="5">
        <v>100</v>
      </c>
      <c r="O408" s="2">
        <v>0.17912666589743548</v>
      </c>
      <c r="P408" s="2">
        <v>0.17991481676339011</v>
      </c>
      <c r="Q408" s="2">
        <v>2.6343975339601977E-2</v>
      </c>
      <c r="R408" s="2">
        <v>1.6129381929883644E-2</v>
      </c>
    </row>
    <row r="409" spans="1:18" x14ac:dyDescent="0.3">
      <c r="A409" s="7">
        <v>579</v>
      </c>
      <c r="B409" s="7">
        <v>228</v>
      </c>
      <c r="C409" s="7">
        <v>0</v>
      </c>
      <c r="D409" s="7">
        <v>0</v>
      </c>
      <c r="E409" s="20" t="str">
        <f t="shared" si="6"/>
        <v>00</v>
      </c>
      <c r="F409" s="21">
        <v>0.45637311966292499</v>
      </c>
      <c r="G409" s="4">
        <v>0.10199999999999999</v>
      </c>
      <c r="H409" s="4">
        <v>9.6192384769539105E-2</v>
      </c>
      <c r="I409" s="4">
        <v>8.9999999999999993E-3</v>
      </c>
      <c r="J409" s="4">
        <v>1.2999999999999999E-2</v>
      </c>
      <c r="K409" s="5">
        <v>100</v>
      </c>
      <c r="L409" s="5">
        <v>100</v>
      </c>
      <c r="M409" s="5">
        <v>100</v>
      </c>
      <c r="N409" s="5">
        <v>100</v>
      </c>
      <c r="O409" s="2">
        <v>0.10758521067993743</v>
      </c>
      <c r="P409" s="2">
        <v>0.10113875624884031</v>
      </c>
      <c r="Q409" s="2">
        <v>9.0407446521490707E-3</v>
      </c>
      <c r="R409" s="2">
        <v>1.3085239548655481E-2</v>
      </c>
    </row>
    <row r="410" spans="1:18" x14ac:dyDescent="0.3">
      <c r="A410" s="7">
        <v>53</v>
      </c>
      <c r="B410" s="7">
        <v>219</v>
      </c>
      <c r="C410" s="7">
        <v>0</v>
      </c>
      <c r="D410" s="7">
        <v>0</v>
      </c>
      <c r="E410" s="20" t="str">
        <f t="shared" si="6"/>
        <v>00</v>
      </c>
      <c r="F410" s="21">
        <v>0.45872386338005</v>
      </c>
      <c r="G410" s="4">
        <v>0.154</v>
      </c>
      <c r="H410" s="4">
        <v>0.13645621181262699</v>
      </c>
      <c r="I410" s="4">
        <v>1.2E-2</v>
      </c>
      <c r="J410" s="4">
        <v>1.4999999999999999E-2</v>
      </c>
      <c r="K410" s="5">
        <v>100</v>
      </c>
      <c r="L410" s="5">
        <v>100</v>
      </c>
      <c r="M410" s="5">
        <v>100</v>
      </c>
      <c r="N410" s="5">
        <v>100</v>
      </c>
      <c r="O410" s="2">
        <v>0.16723591937591381</v>
      </c>
      <c r="P410" s="2">
        <v>0.14671067256256248</v>
      </c>
      <c r="Q410" s="2">
        <v>1.2072581234269249E-2</v>
      </c>
      <c r="R410" s="2">
        <v>1.5113637810048184E-2</v>
      </c>
    </row>
    <row r="411" spans="1:18" x14ac:dyDescent="0.3">
      <c r="A411" s="7">
        <v>254</v>
      </c>
      <c r="B411" s="7">
        <v>212</v>
      </c>
      <c r="C411" s="7">
        <v>0</v>
      </c>
      <c r="D411" s="7">
        <v>0</v>
      </c>
      <c r="E411" s="20" t="str">
        <f t="shared" si="6"/>
        <v>00</v>
      </c>
      <c r="F411" s="21">
        <v>0.46108085719935599</v>
      </c>
      <c r="G411" s="4">
        <v>6.9000000000000006E-2</v>
      </c>
      <c r="H411" s="4">
        <v>7.63052208835341E-2</v>
      </c>
      <c r="I411" s="4">
        <v>8.9999999999999993E-3</v>
      </c>
      <c r="J411" s="4">
        <v>1.2E-2</v>
      </c>
      <c r="K411" s="5">
        <v>100</v>
      </c>
      <c r="L411" s="5">
        <v>100</v>
      </c>
      <c r="M411" s="5">
        <v>100</v>
      </c>
      <c r="N411" s="5">
        <v>100</v>
      </c>
      <c r="O411" s="2">
        <v>7.1496001705069923E-2</v>
      </c>
      <c r="P411" s="2">
        <v>7.9373587541512192E-2</v>
      </c>
      <c r="Q411" s="2">
        <v>9.0407446521490707E-3</v>
      </c>
      <c r="R411" s="2">
        <v>1.2072581234269249E-2</v>
      </c>
    </row>
    <row r="412" spans="1:18" x14ac:dyDescent="0.3">
      <c r="A412" s="7">
        <v>243</v>
      </c>
      <c r="B412" s="7">
        <v>220</v>
      </c>
      <c r="C412" s="7">
        <v>0</v>
      </c>
      <c r="D412" s="7">
        <v>0</v>
      </c>
      <c r="E412" s="20" t="str">
        <f t="shared" si="6"/>
        <v>00</v>
      </c>
      <c r="F412" s="21">
        <v>0.46291432193905802</v>
      </c>
      <c r="G412" s="4">
        <v>0.41</v>
      </c>
      <c r="H412" s="4">
        <v>0.36058700209643602</v>
      </c>
      <c r="I412" s="4">
        <v>6.0000000000000001E-3</v>
      </c>
      <c r="J412" s="4">
        <v>1.2E-2</v>
      </c>
      <c r="K412" s="5">
        <v>100</v>
      </c>
      <c r="L412" s="5">
        <v>100</v>
      </c>
      <c r="M412" s="5">
        <v>100</v>
      </c>
      <c r="N412" s="5">
        <v>100</v>
      </c>
      <c r="O412" s="2">
        <v>0.52763274208237176</v>
      </c>
      <c r="P412" s="2">
        <v>0.44720471428092951</v>
      </c>
      <c r="Q412" s="2">
        <v>6.0180723255630212E-3</v>
      </c>
      <c r="R412" s="2">
        <v>1.2072581234269249E-2</v>
      </c>
    </row>
    <row r="413" spans="1:18" x14ac:dyDescent="0.3">
      <c r="A413" s="7">
        <v>613</v>
      </c>
      <c r="B413" s="7">
        <v>223</v>
      </c>
      <c r="C413" s="7">
        <v>0</v>
      </c>
      <c r="D413" s="7">
        <v>0</v>
      </c>
      <c r="E413" s="20" t="str">
        <f t="shared" si="6"/>
        <v>00</v>
      </c>
      <c r="F413" s="21">
        <v>0.46450964312019299</v>
      </c>
      <c r="G413" s="4">
        <v>0.25700000000000001</v>
      </c>
      <c r="H413" s="4">
        <v>0.24285714285714299</v>
      </c>
      <c r="I413" s="4">
        <v>1.0999999999999999E-2</v>
      </c>
      <c r="J413" s="4">
        <v>6.0000000000000001E-3</v>
      </c>
      <c r="K413" s="5">
        <v>100</v>
      </c>
      <c r="L413" s="5">
        <v>100</v>
      </c>
      <c r="M413" s="5">
        <v>100</v>
      </c>
      <c r="N413" s="5">
        <v>100</v>
      </c>
      <c r="O413" s="2">
        <v>0.29705923426437791</v>
      </c>
      <c r="P413" s="2">
        <v>0.27820332849723733</v>
      </c>
      <c r="Q413" s="2">
        <v>1.1060947359424948E-2</v>
      </c>
      <c r="R413" s="2">
        <v>6.0180723255630212E-3</v>
      </c>
    </row>
    <row r="414" spans="1:18" x14ac:dyDescent="0.3">
      <c r="A414" s="7">
        <v>59</v>
      </c>
      <c r="B414" s="7">
        <v>212</v>
      </c>
      <c r="C414" s="7">
        <v>0</v>
      </c>
      <c r="D414" s="7">
        <v>0</v>
      </c>
      <c r="E414" s="20" t="str">
        <f t="shared" si="6"/>
        <v>00</v>
      </c>
      <c r="F414" s="21">
        <v>0.46454201433745701</v>
      </c>
      <c r="G414" s="4">
        <v>0.218</v>
      </c>
      <c r="H414" s="4">
        <v>0.20944558521560599</v>
      </c>
      <c r="I414" s="4">
        <v>1.9E-2</v>
      </c>
      <c r="J414" s="4">
        <v>0.01</v>
      </c>
      <c r="K414" s="5">
        <v>100</v>
      </c>
      <c r="L414" s="5">
        <v>100</v>
      </c>
      <c r="M414" s="5">
        <v>100</v>
      </c>
      <c r="N414" s="5">
        <v>100</v>
      </c>
      <c r="O414" s="2">
        <v>0.24590053843682594</v>
      </c>
      <c r="P414" s="2">
        <v>0.23502078879480584</v>
      </c>
      <c r="Q414" s="2">
        <v>1.9182819416773987E-2</v>
      </c>
      <c r="R414" s="2">
        <v>1.0050335853501451E-2</v>
      </c>
    </row>
    <row r="415" spans="1:18" x14ac:dyDescent="0.3">
      <c r="A415" s="7">
        <v>244</v>
      </c>
      <c r="B415" s="7">
        <v>230</v>
      </c>
      <c r="C415" s="7">
        <v>0</v>
      </c>
      <c r="D415" s="7">
        <v>0</v>
      </c>
      <c r="E415" s="20" t="str">
        <f t="shared" si="6"/>
        <v>00</v>
      </c>
      <c r="F415" s="21">
        <v>0.46523763453046202</v>
      </c>
      <c r="G415" s="4">
        <v>0.187</v>
      </c>
      <c r="H415" s="4">
        <v>0.16977225672877799</v>
      </c>
      <c r="I415" s="4">
        <v>2.3E-2</v>
      </c>
      <c r="J415" s="4">
        <v>2.3E-2</v>
      </c>
      <c r="K415" s="5">
        <v>100</v>
      </c>
      <c r="L415" s="5">
        <v>100</v>
      </c>
      <c r="M415" s="5">
        <v>100</v>
      </c>
      <c r="N415" s="5">
        <v>100</v>
      </c>
      <c r="O415" s="2">
        <v>0.20702416943432653</v>
      </c>
      <c r="P415" s="2">
        <v>0.18605522634600299</v>
      </c>
      <c r="Q415" s="2">
        <v>2.3268626939354331E-2</v>
      </c>
      <c r="R415" s="2">
        <v>2.3268626939354331E-2</v>
      </c>
    </row>
    <row r="416" spans="1:18" x14ac:dyDescent="0.3">
      <c r="A416" s="7">
        <v>170</v>
      </c>
      <c r="B416" s="7">
        <v>222</v>
      </c>
      <c r="C416" s="7">
        <v>0</v>
      </c>
      <c r="D416" s="7">
        <v>0</v>
      </c>
      <c r="E416" s="20" t="str">
        <f t="shared" si="6"/>
        <v>00</v>
      </c>
      <c r="F416" s="21">
        <v>0.47180283643432802</v>
      </c>
      <c r="G416" s="4">
        <v>0.124</v>
      </c>
      <c r="H416" s="4">
        <v>0.108433734939759</v>
      </c>
      <c r="I416" s="4">
        <v>1.7999999999999999E-2</v>
      </c>
      <c r="J416" s="4">
        <v>1.2999999999999999E-2</v>
      </c>
      <c r="K416" s="5">
        <v>100</v>
      </c>
      <c r="L416" s="5">
        <v>100</v>
      </c>
      <c r="M416" s="5">
        <v>100</v>
      </c>
      <c r="N416" s="5">
        <v>100</v>
      </c>
      <c r="O416" s="2">
        <v>0.13238918804574562</v>
      </c>
      <c r="P416" s="2">
        <v>0.11477551459242818</v>
      </c>
      <c r="Q416" s="2">
        <v>1.816397062767118E-2</v>
      </c>
      <c r="R416" s="2">
        <v>1.3085239548655481E-2</v>
      </c>
    </row>
    <row r="417" spans="1:18" x14ac:dyDescent="0.3">
      <c r="A417" s="7">
        <v>41</v>
      </c>
      <c r="B417" s="7">
        <v>209</v>
      </c>
      <c r="C417" s="7">
        <v>0</v>
      </c>
      <c r="D417" s="7">
        <v>0</v>
      </c>
      <c r="E417" s="20" t="str">
        <f t="shared" si="6"/>
        <v>00</v>
      </c>
      <c r="F417" s="21">
        <v>0.47180815748466298</v>
      </c>
      <c r="G417" s="4">
        <v>0.20399999999999999</v>
      </c>
      <c r="H417" s="4">
        <v>0.208502024291498</v>
      </c>
      <c r="I417" s="4">
        <v>1.4E-2</v>
      </c>
      <c r="J417" s="4">
        <v>1.4999999999999999E-2</v>
      </c>
      <c r="K417" s="5">
        <v>100</v>
      </c>
      <c r="L417" s="5">
        <v>100</v>
      </c>
      <c r="M417" s="5">
        <v>100</v>
      </c>
      <c r="N417" s="5">
        <v>100</v>
      </c>
      <c r="O417" s="2">
        <v>0.22815609313775398</v>
      </c>
      <c r="P417" s="2">
        <v>0.23382795720255675</v>
      </c>
      <c r="Q417" s="2">
        <v>1.4098924379501648E-2</v>
      </c>
      <c r="R417" s="2">
        <v>1.5113637810048184E-2</v>
      </c>
    </row>
    <row r="418" spans="1:18" x14ac:dyDescent="0.3">
      <c r="A418" s="7">
        <v>265</v>
      </c>
      <c r="B418" s="7">
        <v>280</v>
      </c>
      <c r="C418" s="7">
        <v>0</v>
      </c>
      <c r="D418" s="7">
        <v>0</v>
      </c>
      <c r="E418" s="20" t="str">
        <f t="shared" si="6"/>
        <v>00</v>
      </c>
      <c r="F418" s="21">
        <v>0.47211443516544099</v>
      </c>
      <c r="G418" s="4">
        <v>0.222</v>
      </c>
      <c r="H418" s="4">
        <v>0.22222222222222199</v>
      </c>
      <c r="I418" s="4">
        <v>2.9000000000000001E-2</v>
      </c>
      <c r="J418" s="4">
        <v>2.5000000000000001E-2</v>
      </c>
      <c r="K418" s="5">
        <v>100</v>
      </c>
      <c r="L418" s="5">
        <v>100</v>
      </c>
      <c r="M418" s="5">
        <v>100</v>
      </c>
      <c r="N418" s="5">
        <v>100</v>
      </c>
      <c r="O418" s="2">
        <v>0.25102875480374542</v>
      </c>
      <c r="P418" s="2">
        <v>0.25131442828090578</v>
      </c>
      <c r="Q418" s="2">
        <v>2.9428810690812168E-2</v>
      </c>
      <c r="R418" s="2">
        <v>2.5317807984289897E-2</v>
      </c>
    </row>
    <row r="419" spans="1:18" x14ac:dyDescent="0.3">
      <c r="A419" s="7">
        <v>819</v>
      </c>
      <c r="B419" s="7">
        <v>230</v>
      </c>
      <c r="C419" s="7">
        <v>0</v>
      </c>
      <c r="D419" s="7">
        <v>0</v>
      </c>
      <c r="E419" s="20" t="str">
        <f t="shared" si="6"/>
        <v>00</v>
      </c>
      <c r="F419" s="21">
        <v>0.47273199156028101</v>
      </c>
      <c r="G419" s="4">
        <v>9.9000000000000005E-2</v>
      </c>
      <c r="H419" s="4">
        <v>0.10621242484969901</v>
      </c>
      <c r="I419" s="4">
        <v>1.7000000000000001E-2</v>
      </c>
      <c r="J419" s="4">
        <v>1.0999999999999999E-2</v>
      </c>
      <c r="K419" s="5">
        <v>100</v>
      </c>
      <c r="L419" s="5">
        <v>100</v>
      </c>
      <c r="M419" s="5">
        <v>100</v>
      </c>
      <c r="N419" s="5">
        <v>100</v>
      </c>
      <c r="O419" s="2">
        <v>0.10425002137379911</v>
      </c>
      <c r="P419" s="2">
        <v>0.1122871437314541</v>
      </c>
      <c r="Q419" s="2">
        <v>1.7146158834970514E-2</v>
      </c>
      <c r="R419" s="2">
        <v>1.1060947359424948E-2</v>
      </c>
    </row>
    <row r="420" spans="1:18" x14ac:dyDescent="0.3">
      <c r="A420" s="7">
        <v>147</v>
      </c>
      <c r="B420" s="7">
        <v>213</v>
      </c>
      <c r="C420" s="7">
        <v>0</v>
      </c>
      <c r="D420" s="7">
        <v>0</v>
      </c>
      <c r="E420" s="20" t="str">
        <f t="shared" si="6"/>
        <v>00</v>
      </c>
      <c r="F420" s="21">
        <v>0.47512997084658298</v>
      </c>
      <c r="G420" s="4">
        <v>0.41</v>
      </c>
      <c r="H420" s="4">
        <v>0.38311688311688302</v>
      </c>
      <c r="I420" s="4">
        <v>7.0000000000000001E-3</v>
      </c>
      <c r="J420" s="4">
        <v>1.4E-2</v>
      </c>
      <c r="K420" s="5">
        <v>100</v>
      </c>
      <c r="L420" s="5">
        <v>100</v>
      </c>
      <c r="M420" s="5">
        <v>100</v>
      </c>
      <c r="N420" s="5">
        <v>100</v>
      </c>
      <c r="O420" s="2">
        <v>0.52763274208237176</v>
      </c>
      <c r="P420" s="2">
        <v>0.48307571081308809</v>
      </c>
      <c r="Q420" s="2">
        <v>7.0246149369644663E-3</v>
      </c>
      <c r="R420" s="2">
        <v>1.4098924379501648E-2</v>
      </c>
    </row>
    <row r="421" spans="1:18" x14ac:dyDescent="0.3">
      <c r="A421" s="7">
        <v>140</v>
      </c>
      <c r="B421" s="7">
        <v>209</v>
      </c>
      <c r="C421" s="7">
        <v>0</v>
      </c>
      <c r="D421" s="7">
        <v>0</v>
      </c>
      <c r="E421" s="20" t="str">
        <f t="shared" si="6"/>
        <v>00</v>
      </c>
      <c r="F421" s="21">
        <v>0.47655328670936498</v>
      </c>
      <c r="G421" s="4">
        <v>0.11600000000000001</v>
      </c>
      <c r="H421" s="4">
        <v>7.5313807531380797E-2</v>
      </c>
      <c r="I421" s="4">
        <v>1.4999999999999999E-2</v>
      </c>
      <c r="J421" s="4">
        <v>2.1999999999999999E-2</v>
      </c>
      <c r="K421" s="5">
        <v>100</v>
      </c>
      <c r="L421" s="5">
        <v>100</v>
      </c>
      <c r="M421" s="5">
        <v>100</v>
      </c>
      <c r="N421" s="5">
        <v>100</v>
      </c>
      <c r="O421" s="2">
        <v>0.1232982163444936</v>
      </c>
      <c r="P421" s="2">
        <v>7.830085041375795E-2</v>
      </c>
      <c r="Q421" s="2">
        <v>1.5113637810048184E-2</v>
      </c>
      <c r="R421" s="2">
        <v>2.2245608947319737E-2</v>
      </c>
    </row>
    <row r="422" spans="1:18" x14ac:dyDescent="0.3">
      <c r="A422" s="7">
        <v>28</v>
      </c>
      <c r="B422" s="7">
        <v>241</v>
      </c>
      <c r="C422" s="7">
        <v>0</v>
      </c>
      <c r="D422" s="7">
        <v>0</v>
      </c>
      <c r="E422" s="20" t="str">
        <f t="shared" si="6"/>
        <v>00</v>
      </c>
      <c r="F422" s="21">
        <v>0.47692072169746003</v>
      </c>
      <c r="G422" s="4">
        <v>0.26100000000000001</v>
      </c>
      <c r="H422" s="4">
        <v>0.24948875255623701</v>
      </c>
      <c r="I422" s="4">
        <v>2.3E-2</v>
      </c>
      <c r="J422" s="4">
        <v>1.9E-2</v>
      </c>
      <c r="K422" s="5">
        <v>100</v>
      </c>
      <c r="L422" s="5">
        <v>100</v>
      </c>
      <c r="M422" s="5">
        <v>100</v>
      </c>
      <c r="N422" s="5">
        <v>100</v>
      </c>
      <c r="O422" s="2">
        <v>0.30245735803393531</v>
      </c>
      <c r="P422" s="2">
        <v>0.28700064142030152</v>
      </c>
      <c r="Q422" s="2">
        <v>2.3268626939354331E-2</v>
      </c>
      <c r="R422" s="2">
        <v>1.9182819416773987E-2</v>
      </c>
    </row>
    <row r="423" spans="1:18" x14ac:dyDescent="0.3">
      <c r="A423" s="7">
        <v>847</v>
      </c>
      <c r="B423" s="7">
        <v>227</v>
      </c>
      <c r="C423" s="7">
        <v>0</v>
      </c>
      <c r="D423" s="7">
        <v>0</v>
      </c>
      <c r="E423" s="20" t="str">
        <f t="shared" si="6"/>
        <v>00</v>
      </c>
      <c r="F423" s="21">
        <v>0.47744112056948801</v>
      </c>
      <c r="G423" s="4">
        <v>0.26200000000000001</v>
      </c>
      <c r="H423" s="4">
        <v>0.23566878980891701</v>
      </c>
      <c r="I423" s="4">
        <v>2.5999999999999999E-2</v>
      </c>
      <c r="J423" s="4">
        <v>3.2000000000000001E-2</v>
      </c>
      <c r="K423" s="5">
        <v>100</v>
      </c>
      <c r="L423" s="5">
        <v>100</v>
      </c>
      <c r="M423" s="5">
        <v>100</v>
      </c>
      <c r="N423" s="5">
        <v>100</v>
      </c>
      <c r="O423" s="2">
        <v>0.30381145438166457</v>
      </c>
      <c r="P423" s="2">
        <v>0.26875406256626183</v>
      </c>
      <c r="Q423" s="2">
        <v>2.6343975339601977E-2</v>
      </c>
      <c r="R423" s="2">
        <v>3.2523191705560062E-2</v>
      </c>
    </row>
    <row r="424" spans="1:18" x14ac:dyDescent="0.3">
      <c r="A424" s="7">
        <v>960</v>
      </c>
      <c r="B424" s="7">
        <v>221</v>
      </c>
      <c r="C424" s="7">
        <v>0</v>
      </c>
      <c r="D424" s="7">
        <v>0</v>
      </c>
      <c r="E424" s="20" t="str">
        <f t="shared" si="6"/>
        <v>00</v>
      </c>
      <c r="F424" s="21">
        <v>0.47806920856889901</v>
      </c>
      <c r="G424" s="4">
        <v>0.17799999999999999</v>
      </c>
      <c r="H424" s="4">
        <v>0.15226337448559699</v>
      </c>
      <c r="I424" s="4">
        <v>1.7999999999999999E-2</v>
      </c>
      <c r="J424" s="4">
        <v>1.2E-2</v>
      </c>
      <c r="K424" s="5">
        <v>100</v>
      </c>
      <c r="L424" s="5">
        <v>100</v>
      </c>
      <c r="M424" s="5">
        <v>100</v>
      </c>
      <c r="N424" s="5">
        <v>100</v>
      </c>
      <c r="O424" s="2">
        <v>0.19601488392595706</v>
      </c>
      <c r="P424" s="2">
        <v>0.16518527455096774</v>
      </c>
      <c r="Q424" s="2">
        <v>1.816397062767118E-2</v>
      </c>
      <c r="R424" s="2">
        <v>1.2072581234269249E-2</v>
      </c>
    </row>
    <row r="425" spans="1:18" x14ac:dyDescent="0.3">
      <c r="A425" s="7">
        <v>919</v>
      </c>
      <c r="B425" s="7">
        <v>211</v>
      </c>
      <c r="C425" s="7">
        <v>0</v>
      </c>
      <c r="D425" s="7">
        <v>0</v>
      </c>
      <c r="E425" s="20" t="str">
        <f t="shared" si="6"/>
        <v>00</v>
      </c>
      <c r="F425" s="21">
        <v>0.48024048404624903</v>
      </c>
      <c r="G425" s="4">
        <v>0.22600000000000001</v>
      </c>
      <c r="H425" s="4">
        <v>0.20204081632653101</v>
      </c>
      <c r="I425" s="4">
        <v>0.02</v>
      </c>
      <c r="J425" s="4">
        <v>2.1999999999999999E-2</v>
      </c>
      <c r="K425" s="5">
        <v>100</v>
      </c>
      <c r="L425" s="5">
        <v>100</v>
      </c>
      <c r="M425" s="5">
        <v>100</v>
      </c>
      <c r="N425" s="5">
        <v>100</v>
      </c>
      <c r="O425" s="2">
        <v>0.25618340539240991</v>
      </c>
      <c r="P425" s="2">
        <v>0.22569783111930705</v>
      </c>
      <c r="Q425" s="2">
        <v>2.0202707317519466E-2</v>
      </c>
      <c r="R425" s="2">
        <v>2.2245608947319737E-2</v>
      </c>
    </row>
    <row r="426" spans="1:18" x14ac:dyDescent="0.3">
      <c r="A426" s="7">
        <v>584</v>
      </c>
      <c r="B426" s="7">
        <v>222</v>
      </c>
      <c r="C426" s="7">
        <v>0</v>
      </c>
      <c r="D426" s="7">
        <v>0</v>
      </c>
      <c r="E426" s="20" t="str">
        <f t="shared" si="6"/>
        <v>00</v>
      </c>
      <c r="F426" s="21">
        <v>0.480488092494677</v>
      </c>
      <c r="G426" s="4">
        <v>0.11899999999999999</v>
      </c>
      <c r="H426" s="4">
        <v>0.116935483870968</v>
      </c>
      <c r="I426" s="4">
        <v>0.42599999999999999</v>
      </c>
      <c r="J426" s="4">
        <v>0.40899999999999997</v>
      </c>
      <c r="K426" s="5">
        <v>100</v>
      </c>
      <c r="L426" s="5">
        <v>100</v>
      </c>
      <c r="M426" s="5">
        <v>100</v>
      </c>
      <c r="N426" s="5">
        <v>100</v>
      </c>
      <c r="O426" s="2">
        <v>0.12669765304595754</v>
      </c>
      <c r="P426" s="2">
        <v>0.12435701634848162</v>
      </c>
      <c r="Q426" s="2">
        <v>0.55512588266257057</v>
      </c>
      <c r="R426" s="2">
        <v>0.52593926157603887</v>
      </c>
    </row>
    <row r="427" spans="1:18" x14ac:dyDescent="0.3">
      <c r="A427" s="7">
        <v>456</v>
      </c>
      <c r="B427" s="7">
        <v>218</v>
      </c>
      <c r="C427" s="7">
        <v>0</v>
      </c>
      <c r="D427" s="7">
        <v>0</v>
      </c>
      <c r="E427" s="20" t="str">
        <f t="shared" si="6"/>
        <v>00</v>
      </c>
      <c r="F427" s="21">
        <v>0.48072711438126098</v>
      </c>
      <c r="G427" s="4">
        <v>0.46600000000000003</v>
      </c>
      <c r="H427" s="4">
        <v>0.30809399477806798</v>
      </c>
      <c r="I427" s="4">
        <v>2.3E-2</v>
      </c>
      <c r="J427" s="4">
        <v>2.9000000000000001E-2</v>
      </c>
      <c r="K427" s="5">
        <v>100</v>
      </c>
      <c r="L427" s="5">
        <v>100</v>
      </c>
      <c r="M427" s="5">
        <v>100</v>
      </c>
      <c r="N427" s="5">
        <v>100</v>
      </c>
      <c r="O427" s="2">
        <v>0.62735944002194211</v>
      </c>
      <c r="P427" s="2">
        <v>0.36830516319442391</v>
      </c>
      <c r="Q427" s="2">
        <v>2.3268626939354331E-2</v>
      </c>
      <c r="R427" s="2">
        <v>2.9428810690812168E-2</v>
      </c>
    </row>
    <row r="428" spans="1:18" x14ac:dyDescent="0.3">
      <c r="A428" s="7">
        <v>240</v>
      </c>
      <c r="B428" s="7">
        <v>208</v>
      </c>
      <c r="C428" s="7">
        <v>0</v>
      </c>
      <c r="D428" s="7">
        <v>0</v>
      </c>
      <c r="E428" s="20" t="str">
        <f t="shared" si="6"/>
        <v>00</v>
      </c>
      <c r="F428" s="21">
        <v>0.481225403481708</v>
      </c>
      <c r="G428" s="4">
        <v>8.4000000000000005E-2</v>
      </c>
      <c r="H428" s="4">
        <v>8.0160320641282604E-2</v>
      </c>
      <c r="I428" s="4">
        <v>1.2E-2</v>
      </c>
      <c r="J428" s="4">
        <v>1.6E-2</v>
      </c>
      <c r="K428" s="5">
        <v>100</v>
      </c>
      <c r="L428" s="5">
        <v>100</v>
      </c>
      <c r="M428" s="5">
        <v>100</v>
      </c>
      <c r="N428" s="5">
        <v>100</v>
      </c>
      <c r="O428" s="2">
        <v>8.7738914308006746E-2</v>
      </c>
      <c r="P428" s="2">
        <v>8.3555885690973594E-2</v>
      </c>
      <c r="Q428" s="2">
        <v>1.2072581234269249E-2</v>
      </c>
      <c r="R428" s="2">
        <v>1.6129381929883644E-2</v>
      </c>
    </row>
    <row r="429" spans="1:18" x14ac:dyDescent="0.3">
      <c r="A429" s="7">
        <v>531</v>
      </c>
      <c r="B429" s="7">
        <v>221</v>
      </c>
      <c r="C429" s="7">
        <v>0</v>
      </c>
      <c r="D429" s="7">
        <v>0</v>
      </c>
      <c r="E429" s="20" t="str">
        <f t="shared" si="6"/>
        <v>00</v>
      </c>
      <c r="F429" s="21">
        <v>0.48489769020198398</v>
      </c>
      <c r="G429" s="4">
        <v>0.13800000000000001</v>
      </c>
      <c r="H429" s="4">
        <v>0.125252525252525</v>
      </c>
      <c r="I429" s="4">
        <v>2.1999999999999999E-2</v>
      </c>
      <c r="J429" s="4">
        <v>1.4999999999999999E-2</v>
      </c>
      <c r="K429" s="5">
        <v>100</v>
      </c>
      <c r="L429" s="5">
        <v>100</v>
      </c>
      <c r="M429" s="5">
        <v>100</v>
      </c>
      <c r="N429" s="5">
        <v>100</v>
      </c>
      <c r="O429" s="2">
        <v>0.14850000831844395</v>
      </c>
      <c r="P429" s="2">
        <v>0.13382003456620012</v>
      </c>
      <c r="Q429" s="2">
        <v>2.2245608947319737E-2</v>
      </c>
      <c r="R429" s="2">
        <v>1.5113637810048184E-2</v>
      </c>
    </row>
    <row r="430" spans="1:18" x14ac:dyDescent="0.3">
      <c r="A430" s="7">
        <v>752</v>
      </c>
      <c r="B430" s="7">
        <v>207</v>
      </c>
      <c r="C430" s="7">
        <v>0</v>
      </c>
      <c r="D430" s="7">
        <v>0</v>
      </c>
      <c r="E430" s="20" t="str">
        <f t="shared" si="6"/>
        <v>00</v>
      </c>
      <c r="F430" s="21">
        <v>0.48753121528564902</v>
      </c>
      <c r="G430" s="4">
        <v>0.125</v>
      </c>
      <c r="H430" s="4">
        <v>9.8765432098765399E-2</v>
      </c>
      <c r="I430" s="4">
        <v>5.0000000000000001E-3</v>
      </c>
      <c r="J430" s="4">
        <v>1.0999999999999999E-2</v>
      </c>
      <c r="K430" s="5">
        <v>100</v>
      </c>
      <c r="L430" s="5">
        <v>100</v>
      </c>
      <c r="M430" s="5">
        <v>100</v>
      </c>
      <c r="N430" s="5">
        <v>100</v>
      </c>
      <c r="O430" s="2">
        <v>0.13353139262452263</v>
      </c>
      <c r="P430" s="2">
        <v>0.10398971352404764</v>
      </c>
      <c r="Q430" s="2">
        <v>5.0125418235442863E-3</v>
      </c>
      <c r="R430" s="2">
        <v>1.1060947359424948E-2</v>
      </c>
    </row>
    <row r="431" spans="1:18" x14ac:dyDescent="0.3">
      <c r="A431" s="7">
        <v>391</v>
      </c>
      <c r="B431" s="7">
        <v>199</v>
      </c>
      <c r="C431" s="7">
        <v>0</v>
      </c>
      <c r="D431" s="7">
        <v>0</v>
      </c>
      <c r="E431" s="20" t="str">
        <f t="shared" si="6"/>
        <v>00</v>
      </c>
      <c r="F431" s="21">
        <v>0.49385239715644602</v>
      </c>
      <c r="G431" s="4">
        <v>0.17699999999999999</v>
      </c>
      <c r="H431" s="4">
        <v>0.165322580645161</v>
      </c>
      <c r="I431" s="4">
        <v>1.6E-2</v>
      </c>
      <c r="J431" s="4">
        <v>1.7000000000000001E-2</v>
      </c>
      <c r="K431" s="5">
        <v>100</v>
      </c>
      <c r="L431" s="5">
        <v>100</v>
      </c>
      <c r="M431" s="5">
        <v>100</v>
      </c>
      <c r="N431" s="5">
        <v>100</v>
      </c>
      <c r="O431" s="2">
        <v>0.19479907830506729</v>
      </c>
      <c r="P431" s="2">
        <v>0.18070995289961278</v>
      </c>
      <c r="Q431" s="2">
        <v>1.6129381929883644E-2</v>
      </c>
      <c r="R431" s="2">
        <v>1.7146158834970514E-2</v>
      </c>
    </row>
    <row r="432" spans="1:18" x14ac:dyDescent="0.3">
      <c r="A432" s="7">
        <v>851</v>
      </c>
      <c r="B432" s="7">
        <v>214</v>
      </c>
      <c r="C432" s="7">
        <v>0</v>
      </c>
      <c r="D432" s="7">
        <v>0</v>
      </c>
      <c r="E432" s="20" t="str">
        <f t="shared" si="6"/>
        <v>00</v>
      </c>
      <c r="F432" s="21">
        <v>0.496645572080396</v>
      </c>
      <c r="G432" s="4">
        <v>0.13100000000000001</v>
      </c>
      <c r="H432" s="4">
        <v>0.140845070422535</v>
      </c>
      <c r="I432" s="4">
        <v>1.7999999999999999E-2</v>
      </c>
      <c r="J432" s="4">
        <v>0.02</v>
      </c>
      <c r="K432" s="5">
        <v>100</v>
      </c>
      <c r="L432" s="5">
        <v>100</v>
      </c>
      <c r="M432" s="5">
        <v>100</v>
      </c>
      <c r="N432" s="5">
        <v>100</v>
      </c>
      <c r="O432" s="2">
        <v>0.14041215371674501</v>
      </c>
      <c r="P432" s="2">
        <v>0.15180601286800396</v>
      </c>
      <c r="Q432" s="2">
        <v>1.816397062767118E-2</v>
      </c>
      <c r="R432" s="2">
        <v>2.0202707317519466E-2</v>
      </c>
    </row>
    <row r="433" spans="1:18" x14ac:dyDescent="0.3">
      <c r="A433" s="7">
        <v>716</v>
      </c>
      <c r="B433" s="7">
        <v>212</v>
      </c>
      <c r="C433" s="7">
        <v>0</v>
      </c>
      <c r="D433" s="7">
        <v>0</v>
      </c>
      <c r="E433" s="20" t="str">
        <f t="shared" si="6"/>
        <v>00</v>
      </c>
      <c r="F433" s="21">
        <v>0.49826344103431502</v>
      </c>
      <c r="G433" s="4">
        <v>0.245</v>
      </c>
      <c r="H433" s="4">
        <v>0.211382113821138</v>
      </c>
      <c r="I433" s="4">
        <v>2.7E-2</v>
      </c>
      <c r="J433" s="4">
        <v>2.5999999999999999E-2</v>
      </c>
      <c r="K433" s="5">
        <v>100</v>
      </c>
      <c r="L433" s="5">
        <v>100</v>
      </c>
      <c r="M433" s="5">
        <v>100</v>
      </c>
      <c r="N433" s="5">
        <v>100</v>
      </c>
      <c r="O433" s="2">
        <v>0.28103752973311236</v>
      </c>
      <c r="P433" s="2">
        <v>0.23747337686903444</v>
      </c>
      <c r="Q433" s="2">
        <v>2.7371196796132015E-2</v>
      </c>
      <c r="R433" s="2">
        <v>2.6343975339601977E-2</v>
      </c>
    </row>
    <row r="434" spans="1:18" x14ac:dyDescent="0.3">
      <c r="A434" s="7">
        <v>433</v>
      </c>
      <c r="B434" s="7">
        <v>220</v>
      </c>
      <c r="C434" s="7">
        <v>0</v>
      </c>
      <c r="D434" s="7">
        <v>0</v>
      </c>
      <c r="E434" s="20" t="str">
        <f t="shared" si="6"/>
        <v>00</v>
      </c>
      <c r="F434" s="21">
        <v>0.50079734121241504</v>
      </c>
      <c r="G434" s="4">
        <v>6.0999999999999999E-2</v>
      </c>
      <c r="H434" s="4">
        <v>6.0120240480961901E-2</v>
      </c>
      <c r="I434" s="4">
        <v>2.3E-2</v>
      </c>
      <c r="J434" s="4">
        <v>2.7E-2</v>
      </c>
      <c r="K434" s="5">
        <v>100</v>
      </c>
      <c r="L434" s="5">
        <v>100</v>
      </c>
      <c r="M434" s="5">
        <v>100</v>
      </c>
      <c r="N434" s="5">
        <v>100</v>
      </c>
      <c r="O434" s="2">
        <v>6.2939799773874081E-2</v>
      </c>
      <c r="P434" s="2">
        <v>6.2003327305239248E-2</v>
      </c>
      <c r="Q434" s="2">
        <v>2.3268626939354331E-2</v>
      </c>
      <c r="R434" s="2">
        <v>2.7371196796132015E-2</v>
      </c>
    </row>
    <row r="435" spans="1:18" x14ac:dyDescent="0.3">
      <c r="A435" s="7">
        <v>259</v>
      </c>
      <c r="B435" s="7">
        <v>210</v>
      </c>
      <c r="C435" s="7">
        <v>0</v>
      </c>
      <c r="D435" s="7">
        <v>0</v>
      </c>
      <c r="E435" s="20" t="str">
        <f t="shared" si="6"/>
        <v>00</v>
      </c>
      <c r="F435" s="21">
        <v>0.50207001303649701</v>
      </c>
      <c r="G435" s="4">
        <v>0.40500000000000003</v>
      </c>
      <c r="H435" s="4">
        <v>0.36422413793103398</v>
      </c>
      <c r="I435" s="4">
        <v>1.4E-2</v>
      </c>
      <c r="J435" s="4">
        <v>0.02</v>
      </c>
      <c r="K435" s="5">
        <v>100</v>
      </c>
      <c r="L435" s="5">
        <v>100</v>
      </c>
      <c r="M435" s="5">
        <v>100</v>
      </c>
      <c r="N435" s="5">
        <v>100</v>
      </c>
      <c r="O435" s="2">
        <v>0.51919387343650736</v>
      </c>
      <c r="P435" s="2">
        <v>0.45290919588643475</v>
      </c>
      <c r="Q435" s="2">
        <v>1.4098924379501648E-2</v>
      </c>
      <c r="R435" s="2">
        <v>2.0202707317519466E-2</v>
      </c>
    </row>
    <row r="436" spans="1:18" x14ac:dyDescent="0.3">
      <c r="A436" s="7">
        <v>279</v>
      </c>
      <c r="B436" s="7">
        <v>224</v>
      </c>
      <c r="C436" s="7">
        <v>0</v>
      </c>
      <c r="D436" s="7">
        <v>0</v>
      </c>
      <c r="E436" s="20" t="str">
        <f t="shared" si="6"/>
        <v>00</v>
      </c>
      <c r="F436" s="21">
        <v>0.50524626205593504</v>
      </c>
      <c r="G436" s="4">
        <v>0.107</v>
      </c>
      <c r="H436" s="4">
        <v>9.4377510040160595E-2</v>
      </c>
      <c r="I436" s="4">
        <v>1.4999999999999999E-2</v>
      </c>
      <c r="J436" s="4">
        <v>2.1000000000000001E-2</v>
      </c>
      <c r="K436" s="5">
        <v>100</v>
      </c>
      <c r="L436" s="5">
        <v>100</v>
      </c>
      <c r="M436" s="5">
        <v>100</v>
      </c>
      <c r="N436" s="5">
        <v>100</v>
      </c>
      <c r="O436" s="2">
        <v>0.11316869810563798</v>
      </c>
      <c r="P436" s="2">
        <v>9.9132737521974518E-2</v>
      </c>
      <c r="Q436" s="2">
        <v>1.5113637810048184E-2</v>
      </c>
      <c r="R436" s="2">
        <v>2.1223636451626688E-2</v>
      </c>
    </row>
    <row r="437" spans="1:18" x14ac:dyDescent="0.3">
      <c r="A437" s="7">
        <v>836</v>
      </c>
      <c r="B437" s="7">
        <v>202</v>
      </c>
      <c r="C437" s="7">
        <v>0</v>
      </c>
      <c r="D437" s="7">
        <v>0</v>
      </c>
      <c r="E437" s="20" t="str">
        <f t="shared" si="6"/>
        <v>00</v>
      </c>
      <c r="F437" s="21">
        <v>0.50547909853150896</v>
      </c>
      <c r="G437" s="4">
        <v>0.191</v>
      </c>
      <c r="H437" s="4">
        <v>0.16008316008316001</v>
      </c>
      <c r="I437" s="4">
        <v>1.0999999999999999E-2</v>
      </c>
      <c r="J437" s="4">
        <v>2.5999999999999999E-2</v>
      </c>
      <c r="K437" s="5">
        <v>100</v>
      </c>
      <c r="L437" s="5">
        <v>100</v>
      </c>
      <c r="M437" s="5">
        <v>100</v>
      </c>
      <c r="N437" s="5">
        <v>100</v>
      </c>
      <c r="O437" s="2">
        <v>0.21195636192364545</v>
      </c>
      <c r="P437" s="2">
        <v>0.17445239214461106</v>
      </c>
      <c r="Q437" s="2">
        <v>1.1060947359424948E-2</v>
      </c>
      <c r="R437" s="2">
        <v>2.6343975339601977E-2</v>
      </c>
    </row>
    <row r="438" spans="1:18" x14ac:dyDescent="0.3">
      <c r="A438" s="7">
        <v>861</v>
      </c>
      <c r="B438" s="7">
        <v>203</v>
      </c>
      <c r="C438" s="7">
        <v>0</v>
      </c>
      <c r="D438" s="7">
        <v>0</v>
      </c>
      <c r="E438" s="20" t="str">
        <f t="shared" si="6"/>
        <v>00</v>
      </c>
      <c r="F438" s="21">
        <v>0.50706118729163396</v>
      </c>
      <c r="G438" s="4">
        <v>0.29799999999999999</v>
      </c>
      <c r="H438" s="4">
        <v>0.27439024390243899</v>
      </c>
      <c r="I438" s="4">
        <v>1.2E-2</v>
      </c>
      <c r="J438" s="4">
        <v>1.4999999999999999E-2</v>
      </c>
      <c r="K438" s="5">
        <v>100</v>
      </c>
      <c r="L438" s="5">
        <v>100</v>
      </c>
      <c r="M438" s="5">
        <v>100</v>
      </c>
      <c r="N438" s="5">
        <v>100</v>
      </c>
      <c r="O438" s="2">
        <v>0.353821874956326</v>
      </c>
      <c r="P438" s="2">
        <v>0.32074293471266907</v>
      </c>
      <c r="Q438" s="2">
        <v>1.2072581234269249E-2</v>
      </c>
      <c r="R438" s="2">
        <v>1.5113637810048184E-2</v>
      </c>
    </row>
    <row r="439" spans="1:18" x14ac:dyDescent="0.3">
      <c r="A439" s="7">
        <v>442</v>
      </c>
      <c r="B439" s="7">
        <v>219</v>
      </c>
      <c r="C439" s="7">
        <v>0</v>
      </c>
      <c r="D439" s="7">
        <v>0</v>
      </c>
      <c r="E439" s="20" t="str">
        <f t="shared" si="6"/>
        <v>00</v>
      </c>
      <c r="F439" s="21">
        <v>0.50787396909920202</v>
      </c>
      <c r="G439" s="4">
        <v>0.14699999999999999</v>
      </c>
      <c r="H439" s="4">
        <v>0.16032064128256501</v>
      </c>
      <c r="I439" s="4">
        <v>1.7999999999999999E-2</v>
      </c>
      <c r="J439" s="4">
        <v>1.7000000000000001E-2</v>
      </c>
      <c r="K439" s="5">
        <v>100</v>
      </c>
      <c r="L439" s="5">
        <v>100</v>
      </c>
      <c r="M439" s="5">
        <v>100</v>
      </c>
      <c r="N439" s="5">
        <v>100</v>
      </c>
      <c r="O439" s="2">
        <v>0.15899573149045795</v>
      </c>
      <c r="P439" s="2">
        <v>0.17473517582938086</v>
      </c>
      <c r="Q439" s="2">
        <v>1.816397062767118E-2</v>
      </c>
      <c r="R439" s="2">
        <v>1.7146158834970514E-2</v>
      </c>
    </row>
    <row r="440" spans="1:18" x14ac:dyDescent="0.3">
      <c r="A440" s="7">
        <v>426</v>
      </c>
      <c r="B440" s="7">
        <v>204</v>
      </c>
      <c r="C440" s="7">
        <v>0</v>
      </c>
      <c r="D440" s="7">
        <v>0</v>
      </c>
      <c r="E440" s="20" t="str">
        <f t="shared" si="6"/>
        <v>00</v>
      </c>
      <c r="F440" s="21">
        <v>0.50931777971677294</v>
      </c>
      <c r="G440" s="4">
        <v>0.123</v>
      </c>
      <c r="H440" s="4">
        <v>0.116935483870968</v>
      </c>
      <c r="I440" s="4">
        <v>1.9E-2</v>
      </c>
      <c r="J440" s="4">
        <v>0.02</v>
      </c>
      <c r="K440" s="5">
        <v>100</v>
      </c>
      <c r="L440" s="5">
        <v>100</v>
      </c>
      <c r="M440" s="5">
        <v>100</v>
      </c>
      <c r="N440" s="5">
        <v>100</v>
      </c>
      <c r="O440" s="2">
        <v>0.13124828660995402</v>
      </c>
      <c r="P440" s="2">
        <v>0.12435701634848162</v>
      </c>
      <c r="Q440" s="2">
        <v>1.9182819416773987E-2</v>
      </c>
      <c r="R440" s="2">
        <v>2.0202707317519466E-2</v>
      </c>
    </row>
    <row r="441" spans="1:18" x14ac:dyDescent="0.3">
      <c r="A441" s="7">
        <v>85</v>
      </c>
      <c r="B441" s="7">
        <v>217</v>
      </c>
      <c r="C441" s="7">
        <v>0</v>
      </c>
      <c r="D441" s="7">
        <v>0</v>
      </c>
      <c r="E441" s="20" t="str">
        <f t="shared" si="6"/>
        <v>00</v>
      </c>
      <c r="F441" s="21">
        <v>0.50938965281371595</v>
      </c>
      <c r="G441" s="4">
        <v>0.17599999999999999</v>
      </c>
      <c r="H441" s="4">
        <v>0.12448132780083</v>
      </c>
      <c r="I441" s="4">
        <v>1.7000000000000001E-2</v>
      </c>
      <c r="J441" s="4">
        <v>1.2999999999999999E-2</v>
      </c>
      <c r="K441" s="5">
        <v>100</v>
      </c>
      <c r="L441" s="5">
        <v>100</v>
      </c>
      <c r="M441" s="5">
        <v>100</v>
      </c>
      <c r="N441" s="5">
        <v>100</v>
      </c>
      <c r="O441" s="2">
        <v>0.19358474907266526</v>
      </c>
      <c r="P441" s="2">
        <v>0.13293880001458863</v>
      </c>
      <c r="Q441" s="2">
        <v>1.7146158834970514E-2</v>
      </c>
      <c r="R441" s="2">
        <v>1.3085239548655481E-2</v>
      </c>
    </row>
    <row r="442" spans="1:18" x14ac:dyDescent="0.3">
      <c r="A442" s="7">
        <v>7</v>
      </c>
      <c r="B442" s="7">
        <v>210</v>
      </c>
      <c r="C442" s="7">
        <v>0</v>
      </c>
      <c r="D442" s="7">
        <v>0</v>
      </c>
      <c r="E442" s="20" t="str">
        <f t="shared" si="6"/>
        <v>00</v>
      </c>
      <c r="F442" s="21">
        <v>0.51162112571302598</v>
      </c>
      <c r="G442" s="4">
        <v>7.2999999999999995E-2</v>
      </c>
      <c r="H442" s="4">
        <v>7.8629032258064502E-2</v>
      </c>
      <c r="I442" s="4">
        <v>1.4999999999999999E-2</v>
      </c>
      <c r="J442" s="4">
        <v>0.01</v>
      </c>
      <c r="K442" s="5">
        <v>100</v>
      </c>
      <c r="L442" s="5">
        <v>100</v>
      </c>
      <c r="M442" s="5">
        <v>100</v>
      </c>
      <c r="N442" s="5">
        <v>100</v>
      </c>
      <c r="O442" s="2">
        <v>7.5801713416281849E-2</v>
      </c>
      <c r="P442" s="2">
        <v>8.1892535830722771E-2</v>
      </c>
      <c r="Q442" s="2">
        <v>1.5113637810048184E-2</v>
      </c>
      <c r="R442" s="2">
        <v>1.0050335853501451E-2</v>
      </c>
    </row>
    <row r="443" spans="1:18" x14ac:dyDescent="0.3">
      <c r="A443" s="7">
        <v>276</v>
      </c>
      <c r="B443" s="7">
        <v>224</v>
      </c>
      <c r="C443" s="7">
        <v>0</v>
      </c>
      <c r="D443" s="7">
        <v>0</v>
      </c>
      <c r="E443" s="20" t="str">
        <f t="shared" si="6"/>
        <v>00</v>
      </c>
      <c r="F443" s="21">
        <v>0.51209044462157105</v>
      </c>
      <c r="G443" s="4">
        <v>0.26400000000000001</v>
      </c>
      <c r="H443" s="4">
        <v>0.24696356275303599</v>
      </c>
      <c r="I443" s="4">
        <v>1.9E-2</v>
      </c>
      <c r="J443" s="4">
        <v>0.02</v>
      </c>
      <c r="K443" s="5">
        <v>100</v>
      </c>
      <c r="L443" s="5">
        <v>100</v>
      </c>
      <c r="M443" s="5">
        <v>100</v>
      </c>
      <c r="N443" s="5">
        <v>100</v>
      </c>
      <c r="O443" s="2">
        <v>0.30652516025326082</v>
      </c>
      <c r="P443" s="2">
        <v>0.28364166291477538</v>
      </c>
      <c r="Q443" s="2">
        <v>1.9182819416773987E-2</v>
      </c>
      <c r="R443" s="2">
        <v>2.0202707317519466E-2</v>
      </c>
    </row>
    <row r="444" spans="1:18" x14ac:dyDescent="0.3">
      <c r="A444" s="7">
        <v>776</v>
      </c>
      <c r="B444" s="7">
        <v>213</v>
      </c>
      <c r="C444" s="7">
        <v>0</v>
      </c>
      <c r="D444" s="7">
        <v>0</v>
      </c>
      <c r="E444" s="20" t="str">
        <f t="shared" si="6"/>
        <v>00</v>
      </c>
      <c r="F444" s="21">
        <v>0.513394686035889</v>
      </c>
      <c r="G444" s="4">
        <v>0.219</v>
      </c>
      <c r="H444" s="4">
        <v>0.21212121212121199</v>
      </c>
      <c r="I444" s="4">
        <v>1.4999999999999999E-2</v>
      </c>
      <c r="J444" s="4">
        <v>0.01</v>
      </c>
      <c r="K444" s="5">
        <v>100</v>
      </c>
      <c r="L444" s="5">
        <v>100</v>
      </c>
      <c r="M444" s="5">
        <v>100</v>
      </c>
      <c r="N444" s="5">
        <v>100</v>
      </c>
      <c r="O444" s="2">
        <v>0.24718012914245105</v>
      </c>
      <c r="P444" s="2">
        <v>0.23841102344499795</v>
      </c>
      <c r="Q444" s="2">
        <v>1.5113637810048184E-2</v>
      </c>
      <c r="R444" s="2">
        <v>1.0050335853501451E-2</v>
      </c>
    </row>
    <row r="445" spans="1:18" x14ac:dyDescent="0.3">
      <c r="A445" s="7">
        <v>738</v>
      </c>
      <c r="B445" s="7">
        <v>226</v>
      </c>
      <c r="C445" s="7">
        <v>0</v>
      </c>
      <c r="D445" s="7">
        <v>0</v>
      </c>
      <c r="E445" s="20" t="str">
        <f t="shared" si="6"/>
        <v>00</v>
      </c>
      <c r="F445" s="21">
        <v>0.51376406894314097</v>
      </c>
      <c r="G445" s="4">
        <v>0.505</v>
      </c>
      <c r="H445" s="4">
        <v>0.45610278372591001</v>
      </c>
      <c r="I445" s="4">
        <v>1.0999999999999999E-2</v>
      </c>
      <c r="J445" s="4">
        <v>1.4999999999999999E-2</v>
      </c>
      <c r="K445" s="5">
        <v>0</v>
      </c>
      <c r="L445" s="5">
        <v>100</v>
      </c>
      <c r="M445" s="5">
        <v>100</v>
      </c>
      <c r="N445" s="5">
        <v>100</v>
      </c>
      <c r="O445" s="2">
        <v>0.70319751641344674</v>
      </c>
      <c r="P445" s="2">
        <v>0.60899499065036056</v>
      </c>
      <c r="Q445" s="2">
        <v>1.1060947359424948E-2</v>
      </c>
      <c r="R445" s="2">
        <v>1.5113637810048184E-2</v>
      </c>
    </row>
    <row r="446" spans="1:18" x14ac:dyDescent="0.3">
      <c r="A446" s="7">
        <v>770</v>
      </c>
      <c r="B446" s="7">
        <v>203</v>
      </c>
      <c r="C446" s="7">
        <v>0</v>
      </c>
      <c r="D446" s="7">
        <v>0</v>
      </c>
      <c r="E446" s="20" t="str">
        <f t="shared" si="6"/>
        <v>00</v>
      </c>
      <c r="F446" s="21">
        <v>0.518345409988756</v>
      </c>
      <c r="G446" s="4">
        <v>0.35199999999999998</v>
      </c>
      <c r="H446" s="4">
        <v>0.312883435582822</v>
      </c>
      <c r="I446" s="4">
        <v>1.4999999999999999E-2</v>
      </c>
      <c r="J446" s="4">
        <v>1.4E-2</v>
      </c>
      <c r="K446" s="5">
        <v>100</v>
      </c>
      <c r="L446" s="5">
        <v>100</v>
      </c>
      <c r="M446" s="5">
        <v>100</v>
      </c>
      <c r="N446" s="5">
        <v>100</v>
      </c>
      <c r="O446" s="2">
        <v>0.43386458262986233</v>
      </c>
      <c r="P446" s="2">
        <v>0.37525132951166773</v>
      </c>
      <c r="Q446" s="2">
        <v>1.5113637810048184E-2</v>
      </c>
      <c r="R446" s="2">
        <v>1.4098924379501648E-2</v>
      </c>
    </row>
    <row r="447" spans="1:18" x14ac:dyDescent="0.3">
      <c r="A447" s="7">
        <v>73</v>
      </c>
      <c r="B447" s="7">
        <v>207</v>
      </c>
      <c r="C447" s="7">
        <v>0</v>
      </c>
      <c r="D447" s="7">
        <v>0</v>
      </c>
      <c r="E447" s="20" t="str">
        <f t="shared" si="6"/>
        <v>00</v>
      </c>
      <c r="F447" s="21">
        <v>0.51883392976263898</v>
      </c>
      <c r="G447" s="4">
        <v>0.23499999999999999</v>
      </c>
      <c r="H447" s="4">
        <v>0.20123203285420899</v>
      </c>
      <c r="I447" s="4">
        <v>1.0999999999999999E-2</v>
      </c>
      <c r="J447" s="4">
        <v>1.4999999999999999E-2</v>
      </c>
      <c r="K447" s="5">
        <v>100</v>
      </c>
      <c r="L447" s="5">
        <v>100</v>
      </c>
      <c r="M447" s="5">
        <v>100</v>
      </c>
      <c r="N447" s="5">
        <v>100</v>
      </c>
      <c r="O447" s="2">
        <v>0.26787944515560119</v>
      </c>
      <c r="P447" s="2">
        <v>0.22468477946414292</v>
      </c>
      <c r="Q447" s="2">
        <v>1.1060947359424948E-2</v>
      </c>
      <c r="R447" s="2">
        <v>1.5113637810048184E-2</v>
      </c>
    </row>
    <row r="448" spans="1:18" x14ac:dyDescent="0.3">
      <c r="A448" s="7">
        <v>479</v>
      </c>
      <c r="B448" s="7">
        <v>191</v>
      </c>
      <c r="C448" s="7">
        <v>0</v>
      </c>
      <c r="D448" s="7">
        <v>0</v>
      </c>
      <c r="E448" s="20" t="str">
        <f t="shared" si="6"/>
        <v>00</v>
      </c>
      <c r="F448" s="21">
        <v>0.51951416648079396</v>
      </c>
      <c r="G448" s="4">
        <v>0.219</v>
      </c>
      <c r="H448" s="4">
        <v>0.22131147540983601</v>
      </c>
      <c r="I448" s="4">
        <v>3.7999999999999999E-2</v>
      </c>
      <c r="J448" s="4">
        <v>2.8000000000000001E-2</v>
      </c>
      <c r="K448" s="5">
        <v>100</v>
      </c>
      <c r="L448" s="5">
        <v>100</v>
      </c>
      <c r="M448" s="5">
        <v>100</v>
      </c>
      <c r="N448" s="5">
        <v>100</v>
      </c>
      <c r="O448" s="2">
        <v>0.24718012914245105</v>
      </c>
      <c r="P448" s="2">
        <v>0.2501441531327156</v>
      </c>
      <c r="Q448" s="2">
        <v>3.8740828316430595E-2</v>
      </c>
      <c r="R448" s="2">
        <v>2.8399474521698002E-2</v>
      </c>
    </row>
    <row r="449" spans="1:18" x14ac:dyDescent="0.3">
      <c r="A449" s="7">
        <v>791</v>
      </c>
      <c r="B449" s="7">
        <v>196</v>
      </c>
      <c r="C449" s="7">
        <v>0</v>
      </c>
      <c r="D449" s="7">
        <v>0</v>
      </c>
      <c r="E449" s="20" t="str">
        <f t="shared" si="6"/>
        <v>00</v>
      </c>
      <c r="F449" s="21">
        <v>0.521734780299417</v>
      </c>
      <c r="G449" s="4">
        <v>7.5999999999999998E-2</v>
      </c>
      <c r="H449" s="4">
        <v>6.6666666666666693E-2</v>
      </c>
      <c r="I449" s="4">
        <v>0.01</v>
      </c>
      <c r="J449" s="4">
        <v>1.2E-2</v>
      </c>
      <c r="K449" s="5">
        <v>100</v>
      </c>
      <c r="L449" s="5">
        <v>100</v>
      </c>
      <c r="M449" s="5">
        <v>100</v>
      </c>
      <c r="N449" s="5">
        <v>100</v>
      </c>
      <c r="O449" s="2">
        <v>7.9043207340452851E-2</v>
      </c>
      <c r="P449" s="2">
        <v>6.8992871486951435E-2</v>
      </c>
      <c r="Q449" s="2">
        <v>1.0050335853501451E-2</v>
      </c>
      <c r="R449" s="2">
        <v>1.2072581234269249E-2</v>
      </c>
    </row>
    <row r="450" spans="1:18" x14ac:dyDescent="0.3">
      <c r="A450" s="7">
        <v>704</v>
      </c>
      <c r="B450" s="7">
        <v>201</v>
      </c>
      <c r="C450" s="7">
        <v>0</v>
      </c>
      <c r="D450" s="7">
        <v>0</v>
      </c>
      <c r="E450" s="20" t="str">
        <f t="shared" ref="E450:E513" si="7">_xlfn.CONCAT(C450,D450)</f>
        <v>00</v>
      </c>
      <c r="F450" s="21">
        <v>0.52475583626667699</v>
      </c>
      <c r="G450" s="4">
        <v>0.33200000000000002</v>
      </c>
      <c r="H450" s="4">
        <v>0.313025210084034</v>
      </c>
      <c r="I450" s="4">
        <v>1.7000000000000001E-2</v>
      </c>
      <c r="J450" s="4">
        <v>1.4999999999999999E-2</v>
      </c>
      <c r="K450" s="5">
        <v>100</v>
      </c>
      <c r="L450" s="5">
        <v>100</v>
      </c>
      <c r="M450" s="5">
        <v>100</v>
      </c>
      <c r="N450" s="5">
        <v>100</v>
      </c>
      <c r="O450" s="2">
        <v>0.40346710544549141</v>
      </c>
      <c r="P450" s="2">
        <v>0.37545768333416724</v>
      </c>
      <c r="Q450" s="2">
        <v>1.7146158834970514E-2</v>
      </c>
      <c r="R450" s="2">
        <v>1.5113637810048184E-2</v>
      </c>
    </row>
    <row r="451" spans="1:18" x14ac:dyDescent="0.3">
      <c r="A451" s="7">
        <v>252</v>
      </c>
      <c r="B451" s="7">
        <v>217</v>
      </c>
      <c r="C451" s="7">
        <v>0</v>
      </c>
      <c r="D451" s="7">
        <v>0</v>
      </c>
      <c r="E451" s="20" t="str">
        <f t="shared" si="7"/>
        <v>00</v>
      </c>
      <c r="F451" s="21">
        <v>0.52537982813593898</v>
      </c>
      <c r="G451" s="4">
        <v>0.20100000000000001</v>
      </c>
      <c r="H451" s="4">
        <v>0.17113402061855701</v>
      </c>
      <c r="I451" s="4">
        <v>1.0999999999999999E-2</v>
      </c>
      <c r="J451" s="4">
        <v>7.0000000000000001E-3</v>
      </c>
      <c r="K451" s="5">
        <v>100</v>
      </c>
      <c r="L451" s="5">
        <v>100</v>
      </c>
      <c r="M451" s="5">
        <v>100</v>
      </c>
      <c r="N451" s="5">
        <v>100</v>
      </c>
      <c r="O451" s="2">
        <v>0.22439433321586247</v>
      </c>
      <c r="P451" s="2">
        <v>0.18769680231846247</v>
      </c>
      <c r="Q451" s="2">
        <v>1.1060947359424948E-2</v>
      </c>
      <c r="R451" s="2">
        <v>7.0246149369644663E-3</v>
      </c>
    </row>
    <row r="452" spans="1:18" x14ac:dyDescent="0.3">
      <c r="A452" s="7">
        <v>730</v>
      </c>
      <c r="B452" s="7">
        <v>195</v>
      </c>
      <c r="C452" s="7">
        <v>0</v>
      </c>
      <c r="D452" s="7">
        <v>0</v>
      </c>
      <c r="E452" s="20" t="str">
        <f t="shared" si="7"/>
        <v>00</v>
      </c>
      <c r="F452" s="21">
        <v>0.52767859736934897</v>
      </c>
      <c r="G452" s="4">
        <v>0.158</v>
      </c>
      <c r="H452" s="4">
        <v>0.143434343434343</v>
      </c>
      <c r="I452" s="4">
        <v>1.0999999999999999E-2</v>
      </c>
      <c r="J452" s="4">
        <v>1.7999999999999999E-2</v>
      </c>
      <c r="K452" s="5">
        <v>100</v>
      </c>
      <c r="L452" s="5">
        <v>100</v>
      </c>
      <c r="M452" s="5">
        <v>100</v>
      </c>
      <c r="N452" s="5">
        <v>100</v>
      </c>
      <c r="O452" s="2">
        <v>0.17197526473981037</v>
      </c>
      <c r="P452" s="2">
        <v>0.15482430733673205</v>
      </c>
      <c r="Q452" s="2">
        <v>1.1060947359424948E-2</v>
      </c>
      <c r="R452" s="2">
        <v>1.816397062767118E-2</v>
      </c>
    </row>
    <row r="453" spans="1:18" x14ac:dyDescent="0.3">
      <c r="A453" s="7">
        <v>345</v>
      </c>
      <c r="B453" s="7">
        <v>200</v>
      </c>
      <c r="C453" s="7">
        <v>0</v>
      </c>
      <c r="D453" s="7">
        <v>0</v>
      </c>
      <c r="E453" s="20" t="str">
        <f t="shared" si="7"/>
        <v>00</v>
      </c>
      <c r="F453" s="21">
        <v>0.52826992380722304</v>
      </c>
      <c r="G453" s="4">
        <v>0.378</v>
      </c>
      <c r="H453" s="4">
        <v>0.27934272300469498</v>
      </c>
      <c r="I453" s="4">
        <v>1.7999999999999999E-2</v>
      </c>
      <c r="J453" s="4">
        <v>1.4E-2</v>
      </c>
      <c r="K453" s="5">
        <v>100</v>
      </c>
      <c r="L453" s="5">
        <v>100</v>
      </c>
      <c r="M453" s="5">
        <v>100</v>
      </c>
      <c r="N453" s="5">
        <v>100</v>
      </c>
      <c r="O453" s="2">
        <v>0.4748151862429576</v>
      </c>
      <c r="P453" s="2">
        <v>0.32759159868217347</v>
      </c>
      <c r="Q453" s="2">
        <v>1.816397062767118E-2</v>
      </c>
      <c r="R453" s="2">
        <v>1.4098924379501648E-2</v>
      </c>
    </row>
    <row r="454" spans="1:18" x14ac:dyDescent="0.3">
      <c r="A454" s="7">
        <v>434</v>
      </c>
      <c r="B454" s="7">
        <v>190</v>
      </c>
      <c r="C454" s="7">
        <v>0</v>
      </c>
      <c r="D454" s="7">
        <v>0</v>
      </c>
      <c r="E454" s="20" t="str">
        <f t="shared" si="7"/>
        <v>00</v>
      </c>
      <c r="F454" s="21">
        <v>0.53068441354484697</v>
      </c>
      <c r="G454" s="4">
        <v>0.20599999999999999</v>
      </c>
      <c r="H454" s="4">
        <v>0.21995926680244399</v>
      </c>
      <c r="I454" s="4">
        <v>2.3E-2</v>
      </c>
      <c r="J454" s="4">
        <v>0.02</v>
      </c>
      <c r="K454" s="5">
        <v>100</v>
      </c>
      <c r="L454" s="5">
        <v>100</v>
      </c>
      <c r="M454" s="5">
        <v>100</v>
      </c>
      <c r="N454" s="5">
        <v>100</v>
      </c>
      <c r="O454" s="2">
        <v>0.23067181773500128</v>
      </c>
      <c r="P454" s="2">
        <v>0.24840913861387451</v>
      </c>
      <c r="Q454" s="2">
        <v>2.3268626939354331E-2</v>
      </c>
      <c r="R454" s="2">
        <v>2.0202707317519466E-2</v>
      </c>
    </row>
    <row r="455" spans="1:18" x14ac:dyDescent="0.3">
      <c r="A455" s="7">
        <v>908</v>
      </c>
      <c r="B455" s="7">
        <v>180</v>
      </c>
      <c r="C455" s="7">
        <v>0</v>
      </c>
      <c r="D455" s="7">
        <v>0</v>
      </c>
      <c r="E455" s="20" t="str">
        <f t="shared" si="7"/>
        <v>00</v>
      </c>
      <c r="F455" s="21">
        <v>0.53212471108788395</v>
      </c>
      <c r="G455" s="4">
        <v>9.0999999999999998E-2</v>
      </c>
      <c r="H455" s="4">
        <v>7.2727272727272696E-2</v>
      </c>
      <c r="I455" s="4">
        <v>1.9E-2</v>
      </c>
      <c r="J455" s="4">
        <v>1.4999999999999999E-2</v>
      </c>
      <c r="K455" s="5">
        <v>100</v>
      </c>
      <c r="L455" s="5">
        <v>100</v>
      </c>
      <c r="M455" s="5">
        <v>100</v>
      </c>
      <c r="N455" s="5">
        <v>100</v>
      </c>
      <c r="O455" s="2">
        <v>9.5410184804658182E-2</v>
      </c>
      <c r="P455" s="2">
        <v>7.550755250814517E-2</v>
      </c>
      <c r="Q455" s="2">
        <v>1.9182819416773987E-2</v>
      </c>
      <c r="R455" s="2">
        <v>1.5113637810048184E-2</v>
      </c>
    </row>
    <row r="456" spans="1:18" x14ac:dyDescent="0.3">
      <c r="A456" s="7">
        <v>900</v>
      </c>
      <c r="B456" s="7">
        <v>219</v>
      </c>
      <c r="C456" s="7">
        <v>0</v>
      </c>
      <c r="D456" s="7">
        <v>0</v>
      </c>
      <c r="E456" s="20" t="str">
        <f t="shared" si="7"/>
        <v>00</v>
      </c>
      <c r="F456" s="21">
        <v>0.53388099239551601</v>
      </c>
      <c r="G456" s="4">
        <v>0.14000000000000001</v>
      </c>
      <c r="H456" s="4">
        <v>0.12701612903225801</v>
      </c>
      <c r="I456" s="4">
        <v>1.4E-2</v>
      </c>
      <c r="J456" s="4">
        <v>2.1000000000000001E-2</v>
      </c>
      <c r="K456" s="5">
        <v>100</v>
      </c>
      <c r="L456" s="5">
        <v>100</v>
      </c>
      <c r="M456" s="5">
        <v>100</v>
      </c>
      <c r="N456" s="5">
        <v>100</v>
      </c>
      <c r="O456" s="2">
        <v>0.15082288973458366</v>
      </c>
      <c r="P456" s="2">
        <v>0.13583819872243758</v>
      </c>
      <c r="Q456" s="2">
        <v>1.4098924379501648E-2</v>
      </c>
      <c r="R456" s="2">
        <v>2.1223636451626688E-2</v>
      </c>
    </row>
    <row r="457" spans="1:18" x14ac:dyDescent="0.3">
      <c r="A457" s="7">
        <v>263</v>
      </c>
      <c r="B457" s="7">
        <v>197</v>
      </c>
      <c r="C457" s="7">
        <v>0</v>
      </c>
      <c r="D457" s="7">
        <v>0</v>
      </c>
      <c r="E457" s="20" t="str">
        <f t="shared" si="7"/>
        <v>00</v>
      </c>
      <c r="F457" s="21">
        <v>0.53536171626833395</v>
      </c>
      <c r="G457" s="4">
        <v>0.27800000000000002</v>
      </c>
      <c r="H457" s="4">
        <v>0.29898989898989897</v>
      </c>
      <c r="I457" s="4">
        <v>2.3E-2</v>
      </c>
      <c r="J457" s="4">
        <v>0.02</v>
      </c>
      <c r="K457" s="5">
        <v>100</v>
      </c>
      <c r="L457" s="5">
        <v>100</v>
      </c>
      <c r="M457" s="5">
        <v>100</v>
      </c>
      <c r="N457" s="5">
        <v>100</v>
      </c>
      <c r="O457" s="2">
        <v>0.32573014008931084</v>
      </c>
      <c r="P457" s="2">
        <v>0.35523298262183101</v>
      </c>
      <c r="Q457" s="2">
        <v>2.3268626939354331E-2</v>
      </c>
      <c r="R457" s="2">
        <v>2.0202707317519466E-2</v>
      </c>
    </row>
    <row r="458" spans="1:18" x14ac:dyDescent="0.3">
      <c r="A458" s="7">
        <v>784</v>
      </c>
      <c r="B458" s="7">
        <v>191</v>
      </c>
      <c r="C458" s="7">
        <v>0</v>
      </c>
      <c r="D458" s="7">
        <v>0</v>
      </c>
      <c r="E458" s="20" t="str">
        <f t="shared" si="7"/>
        <v>00</v>
      </c>
      <c r="F458" s="21">
        <v>0.53605247081789997</v>
      </c>
      <c r="G458" s="4">
        <v>0.20399999999999999</v>
      </c>
      <c r="H458" s="4">
        <v>0.157676348547718</v>
      </c>
      <c r="I458" s="4">
        <v>8.0000000000000002E-3</v>
      </c>
      <c r="J458" s="4">
        <v>1.7999999999999999E-2</v>
      </c>
      <c r="K458" s="5">
        <v>100</v>
      </c>
      <c r="L458" s="5">
        <v>100</v>
      </c>
      <c r="M458" s="5">
        <v>100</v>
      </c>
      <c r="N458" s="5">
        <v>100</v>
      </c>
      <c r="O458" s="2">
        <v>0.22815609313775398</v>
      </c>
      <c r="P458" s="2">
        <v>0.17159095444886779</v>
      </c>
      <c r="Q458" s="2">
        <v>8.0321716972642666E-3</v>
      </c>
      <c r="R458" s="2">
        <v>1.816397062767118E-2</v>
      </c>
    </row>
    <row r="459" spans="1:18" x14ac:dyDescent="0.3">
      <c r="A459" s="7">
        <v>408</v>
      </c>
      <c r="B459" s="7">
        <v>208</v>
      </c>
      <c r="C459" s="7">
        <v>0</v>
      </c>
      <c r="D459" s="7">
        <v>0</v>
      </c>
      <c r="E459" s="20" t="str">
        <f t="shared" si="7"/>
        <v>00</v>
      </c>
      <c r="F459" s="21">
        <v>0.54055552870303303</v>
      </c>
      <c r="G459" s="4">
        <v>0.14099999999999999</v>
      </c>
      <c r="H459" s="4">
        <v>0.114345114345114</v>
      </c>
      <c r="I459" s="4">
        <v>2.8000000000000001E-2</v>
      </c>
      <c r="J459" s="4">
        <v>3.5999999999999997E-2</v>
      </c>
      <c r="K459" s="5">
        <v>100</v>
      </c>
      <c r="L459" s="5">
        <v>100</v>
      </c>
      <c r="M459" s="5">
        <v>100</v>
      </c>
      <c r="N459" s="5">
        <v>100</v>
      </c>
      <c r="O459" s="2">
        <v>0.15198635699788171</v>
      </c>
      <c r="P459" s="2">
        <v>0.12142792383639033</v>
      </c>
      <c r="Q459" s="2">
        <v>2.8399474521698002E-2</v>
      </c>
      <c r="R459" s="2">
        <v>3.666398437159147E-2</v>
      </c>
    </row>
    <row r="460" spans="1:18" x14ac:dyDescent="0.3">
      <c r="A460" s="7">
        <v>32</v>
      </c>
      <c r="B460" s="7">
        <v>210</v>
      </c>
      <c r="C460" s="7">
        <v>0</v>
      </c>
      <c r="D460" s="7">
        <v>0</v>
      </c>
      <c r="E460" s="20" t="str">
        <f t="shared" si="7"/>
        <v>00</v>
      </c>
      <c r="F460" s="21">
        <v>0.54345370515362201</v>
      </c>
      <c r="G460" s="4">
        <v>7.2999999999999995E-2</v>
      </c>
      <c r="H460" s="4">
        <v>6.6265060240963902E-2</v>
      </c>
      <c r="I460" s="4">
        <v>1.9E-2</v>
      </c>
      <c r="J460" s="4">
        <v>1.9E-2</v>
      </c>
      <c r="K460" s="5">
        <v>100</v>
      </c>
      <c r="L460" s="5">
        <v>100</v>
      </c>
      <c r="M460" s="5">
        <v>100</v>
      </c>
      <c r="N460" s="5">
        <v>100</v>
      </c>
      <c r="O460" s="2">
        <v>7.5801713416281849E-2</v>
      </c>
      <c r="P460" s="2">
        <v>6.8562671437296663E-2</v>
      </c>
      <c r="Q460" s="2">
        <v>1.9182819416773987E-2</v>
      </c>
      <c r="R460" s="2">
        <v>1.9182819416773987E-2</v>
      </c>
    </row>
    <row r="461" spans="1:18" x14ac:dyDescent="0.3">
      <c r="A461" s="7">
        <v>95</v>
      </c>
      <c r="B461" s="7">
        <v>292</v>
      </c>
      <c r="C461" s="7">
        <v>0</v>
      </c>
      <c r="D461" s="7">
        <v>0</v>
      </c>
      <c r="E461" s="20" t="str">
        <f t="shared" si="7"/>
        <v>00</v>
      </c>
      <c r="F461" s="21">
        <v>0.54432502742064104</v>
      </c>
      <c r="G461" s="4">
        <v>0.156</v>
      </c>
      <c r="H461" s="4">
        <v>0.132796780684105</v>
      </c>
      <c r="I461" s="4">
        <v>3.2000000000000001E-2</v>
      </c>
      <c r="J461" s="4">
        <v>1.7000000000000001E-2</v>
      </c>
      <c r="K461" s="5">
        <v>100</v>
      </c>
      <c r="L461" s="5">
        <v>100</v>
      </c>
      <c r="M461" s="5">
        <v>100</v>
      </c>
      <c r="N461" s="5">
        <v>100</v>
      </c>
      <c r="O461" s="2">
        <v>0.16960278438617998</v>
      </c>
      <c r="P461" s="2">
        <v>0.14248193599288142</v>
      </c>
      <c r="Q461" s="2">
        <v>3.2523191705560062E-2</v>
      </c>
      <c r="R461" s="2">
        <v>1.7146158834970514E-2</v>
      </c>
    </row>
    <row r="462" spans="1:18" x14ac:dyDescent="0.3">
      <c r="A462" s="7">
        <v>548</v>
      </c>
      <c r="B462" s="7">
        <v>198</v>
      </c>
      <c r="C462" s="7">
        <v>0</v>
      </c>
      <c r="D462" s="7">
        <v>0</v>
      </c>
      <c r="E462" s="20" t="str">
        <f t="shared" si="7"/>
        <v>00</v>
      </c>
      <c r="F462" s="21">
        <v>0.54612739030593205</v>
      </c>
      <c r="G462" s="4">
        <v>0.38400000000000001</v>
      </c>
      <c r="H462" s="4">
        <v>0.37029288702928898</v>
      </c>
      <c r="I462" s="4">
        <v>1.9E-2</v>
      </c>
      <c r="J462" s="4">
        <v>0.03</v>
      </c>
      <c r="K462" s="5">
        <v>100</v>
      </c>
      <c r="L462" s="5">
        <v>100</v>
      </c>
      <c r="M462" s="5">
        <v>100</v>
      </c>
      <c r="N462" s="5">
        <v>100</v>
      </c>
      <c r="O462" s="2">
        <v>0.48450831544861728</v>
      </c>
      <c r="P462" s="2">
        <v>0.46250046774258069</v>
      </c>
      <c r="Q462" s="2">
        <v>1.9182819416773987E-2</v>
      </c>
      <c r="R462" s="2">
        <v>3.0459207484708574E-2</v>
      </c>
    </row>
    <row r="463" spans="1:18" x14ac:dyDescent="0.3">
      <c r="A463" s="7">
        <v>561</v>
      </c>
      <c r="B463" s="7">
        <v>185</v>
      </c>
      <c r="C463" s="7">
        <v>0</v>
      </c>
      <c r="D463" s="7">
        <v>0</v>
      </c>
      <c r="E463" s="20" t="str">
        <f t="shared" si="7"/>
        <v>00</v>
      </c>
      <c r="F463" s="21">
        <v>0.55477662467982103</v>
      </c>
      <c r="G463" s="4">
        <v>0.54</v>
      </c>
      <c r="H463" s="4">
        <v>0.44174757281553401</v>
      </c>
      <c r="I463" s="4">
        <v>1.4E-2</v>
      </c>
      <c r="J463" s="4">
        <v>2.5000000000000001E-2</v>
      </c>
      <c r="K463" s="5">
        <v>0</v>
      </c>
      <c r="L463" s="5">
        <v>100</v>
      </c>
      <c r="M463" s="5">
        <v>100</v>
      </c>
      <c r="N463" s="5">
        <v>100</v>
      </c>
      <c r="O463" s="2">
        <v>0.7765287894989964</v>
      </c>
      <c r="P463" s="2">
        <v>0.58294404042633108</v>
      </c>
      <c r="Q463" s="2">
        <v>1.4098924379501648E-2</v>
      </c>
      <c r="R463" s="2">
        <v>2.5317807984289897E-2</v>
      </c>
    </row>
    <row r="464" spans="1:18" x14ac:dyDescent="0.3">
      <c r="A464" s="7">
        <v>128</v>
      </c>
      <c r="B464" s="7">
        <v>198</v>
      </c>
      <c r="C464" s="7">
        <v>0</v>
      </c>
      <c r="D464" s="7">
        <v>0</v>
      </c>
      <c r="E464" s="20" t="str">
        <f t="shared" si="7"/>
        <v>00</v>
      </c>
      <c r="F464" s="21">
        <v>0.55515834138765197</v>
      </c>
      <c r="G464" s="4">
        <v>0.128</v>
      </c>
      <c r="H464" s="4">
        <v>9.7308488612836405E-2</v>
      </c>
      <c r="I464" s="4">
        <v>2.1000000000000001E-2</v>
      </c>
      <c r="J464" s="4">
        <v>1.2999999999999999E-2</v>
      </c>
      <c r="K464" s="5">
        <v>100</v>
      </c>
      <c r="L464" s="5">
        <v>100</v>
      </c>
      <c r="M464" s="5">
        <v>100</v>
      </c>
      <c r="N464" s="5">
        <v>100</v>
      </c>
      <c r="O464" s="2">
        <v>0.13696585507315742</v>
      </c>
      <c r="P464" s="2">
        <v>0.10237441030353829</v>
      </c>
      <c r="Q464" s="2">
        <v>2.1223636451626688E-2</v>
      </c>
      <c r="R464" s="2">
        <v>1.3085239548655481E-2</v>
      </c>
    </row>
    <row r="465" spans="1:18" x14ac:dyDescent="0.3">
      <c r="A465" s="7">
        <v>79</v>
      </c>
      <c r="B465" s="7">
        <v>204</v>
      </c>
      <c r="C465" s="7">
        <v>0</v>
      </c>
      <c r="D465" s="7">
        <v>0</v>
      </c>
      <c r="E465" s="20" t="str">
        <f t="shared" si="7"/>
        <v>00</v>
      </c>
      <c r="F465" s="21">
        <v>0.55580437313259201</v>
      </c>
      <c r="G465" s="4">
        <v>0.108</v>
      </c>
      <c r="H465" s="4">
        <v>0.102409638554217</v>
      </c>
      <c r="I465" s="4">
        <v>2.7E-2</v>
      </c>
      <c r="J465" s="4">
        <v>1.9E-2</v>
      </c>
      <c r="K465" s="5">
        <v>100</v>
      </c>
      <c r="L465" s="5">
        <v>100</v>
      </c>
      <c r="M465" s="5">
        <v>100</v>
      </c>
      <c r="N465" s="5">
        <v>100</v>
      </c>
      <c r="O465" s="2">
        <v>0.11428914640212766</v>
      </c>
      <c r="P465" s="2">
        <v>0.10804148241108427</v>
      </c>
      <c r="Q465" s="2">
        <v>2.7371196796132015E-2</v>
      </c>
      <c r="R465" s="2">
        <v>1.9182819416773987E-2</v>
      </c>
    </row>
    <row r="466" spans="1:18" x14ac:dyDescent="0.3">
      <c r="A466" s="7">
        <v>482</v>
      </c>
      <c r="B466" s="7">
        <v>301</v>
      </c>
      <c r="C466" s="7">
        <v>0</v>
      </c>
      <c r="D466" s="7">
        <v>0</v>
      </c>
      <c r="E466" s="20" t="str">
        <f t="shared" si="7"/>
        <v>00</v>
      </c>
      <c r="F466" s="21">
        <v>0.55615901683912505</v>
      </c>
      <c r="G466" s="4">
        <v>9.1999999999999998E-2</v>
      </c>
      <c r="H466" s="4">
        <v>7.48987854251012E-2</v>
      </c>
      <c r="I466" s="4">
        <v>1.2999999999999999E-2</v>
      </c>
      <c r="J466" s="4">
        <v>1.4999999999999999E-2</v>
      </c>
      <c r="K466" s="5">
        <v>100</v>
      </c>
      <c r="L466" s="5">
        <v>100</v>
      </c>
      <c r="M466" s="5">
        <v>100</v>
      </c>
      <c r="N466" s="5">
        <v>100</v>
      </c>
      <c r="O466" s="2">
        <v>9.6510900380843728E-2</v>
      </c>
      <c r="P466" s="2">
        <v>7.7852126293717794E-2</v>
      </c>
      <c r="Q466" s="2">
        <v>1.3085239548655481E-2</v>
      </c>
      <c r="R466" s="2">
        <v>1.5113637810048184E-2</v>
      </c>
    </row>
    <row r="467" spans="1:18" x14ac:dyDescent="0.3">
      <c r="A467" s="7">
        <v>182</v>
      </c>
      <c r="B467" s="7">
        <v>272</v>
      </c>
      <c r="C467" s="7">
        <v>0</v>
      </c>
      <c r="D467" s="7">
        <v>0</v>
      </c>
      <c r="E467" s="20" t="str">
        <f t="shared" si="7"/>
        <v>00</v>
      </c>
      <c r="F467" s="21">
        <v>0.55929049839542999</v>
      </c>
      <c r="G467" s="4">
        <v>0.159</v>
      </c>
      <c r="H467" s="4">
        <v>0.13967611336032401</v>
      </c>
      <c r="I467" s="4">
        <v>1.0999999999999999E-2</v>
      </c>
      <c r="J467" s="4">
        <v>1.4E-2</v>
      </c>
      <c r="K467" s="5">
        <v>100</v>
      </c>
      <c r="L467" s="5">
        <v>100</v>
      </c>
      <c r="M467" s="5">
        <v>100</v>
      </c>
      <c r="N467" s="5">
        <v>100</v>
      </c>
      <c r="O467" s="2">
        <v>0.17316361900918903</v>
      </c>
      <c r="P467" s="2">
        <v>0.15044634826350586</v>
      </c>
      <c r="Q467" s="2">
        <v>1.1060947359424948E-2</v>
      </c>
      <c r="R467" s="2">
        <v>1.4098924379501648E-2</v>
      </c>
    </row>
    <row r="468" spans="1:18" x14ac:dyDescent="0.3">
      <c r="A468" s="7">
        <v>880</v>
      </c>
      <c r="B468" s="7">
        <v>182</v>
      </c>
      <c r="C468" s="7">
        <v>0</v>
      </c>
      <c r="D468" s="7">
        <v>0</v>
      </c>
      <c r="E468" s="20" t="str">
        <f t="shared" si="7"/>
        <v>00</v>
      </c>
      <c r="F468" s="21">
        <v>0.55950177638223098</v>
      </c>
      <c r="G468" s="4">
        <v>0.82</v>
      </c>
      <c r="H468" s="4">
        <v>0.78947368421052599</v>
      </c>
      <c r="I468" s="4">
        <v>5.1999999999999998E-2</v>
      </c>
      <c r="J468" s="4">
        <v>5.7000000000000002E-2</v>
      </c>
      <c r="K468" s="5">
        <v>0</v>
      </c>
      <c r="L468" s="5">
        <v>0</v>
      </c>
      <c r="M468" s="5">
        <v>100</v>
      </c>
      <c r="N468" s="5">
        <v>100</v>
      </c>
      <c r="O468" s="2">
        <v>1.7147984280919264</v>
      </c>
      <c r="P468" s="2">
        <v>1.5581446180465484</v>
      </c>
      <c r="Q468" s="2">
        <v>5.3400776727115296E-2</v>
      </c>
      <c r="R468" s="2">
        <v>5.8688996348679613E-2</v>
      </c>
    </row>
    <row r="469" spans="1:18" x14ac:dyDescent="0.3">
      <c r="A469" s="7">
        <v>762</v>
      </c>
      <c r="B469" s="7">
        <v>190</v>
      </c>
      <c r="C469" s="7">
        <v>0</v>
      </c>
      <c r="D469" s="7">
        <v>0</v>
      </c>
      <c r="E469" s="20" t="str">
        <f t="shared" si="7"/>
        <v>00</v>
      </c>
      <c r="F469" s="21">
        <v>0.56066573340542203</v>
      </c>
      <c r="G469" s="4">
        <v>3.6999999999999998E-2</v>
      </c>
      <c r="H469" s="4">
        <v>5.0100200400801598E-2</v>
      </c>
      <c r="I469" s="4">
        <v>7.0000000000000001E-3</v>
      </c>
      <c r="J469" s="4">
        <v>8.9999999999999993E-3</v>
      </c>
      <c r="K469" s="5">
        <v>100</v>
      </c>
      <c r="L469" s="5">
        <v>100</v>
      </c>
      <c r="M469" s="5">
        <v>100</v>
      </c>
      <c r="N469" s="5">
        <v>100</v>
      </c>
      <c r="O469" s="2">
        <v>3.7701867184011528E-2</v>
      </c>
      <c r="P469" s="2">
        <v>5.1398774056442109E-2</v>
      </c>
      <c r="Q469" s="2">
        <v>7.0246149369644663E-3</v>
      </c>
      <c r="R469" s="2">
        <v>9.0407446521490707E-3</v>
      </c>
    </row>
    <row r="470" spans="1:18" x14ac:dyDescent="0.3">
      <c r="A470" s="7">
        <v>859</v>
      </c>
      <c r="B470" s="7">
        <v>223</v>
      </c>
      <c r="C470" s="7">
        <v>0</v>
      </c>
      <c r="D470" s="7">
        <v>0</v>
      </c>
      <c r="E470" s="20" t="str">
        <f t="shared" si="7"/>
        <v>00</v>
      </c>
      <c r="F470" s="21">
        <v>0.56074237101189095</v>
      </c>
      <c r="G470" s="4">
        <v>0.153</v>
      </c>
      <c r="H470" s="4">
        <v>0.14081632653061199</v>
      </c>
      <c r="I470" s="4">
        <v>1.6E-2</v>
      </c>
      <c r="J470" s="4">
        <v>2.1000000000000001E-2</v>
      </c>
      <c r="K470" s="5">
        <v>100</v>
      </c>
      <c r="L470" s="5">
        <v>100</v>
      </c>
      <c r="M470" s="5">
        <v>100</v>
      </c>
      <c r="N470" s="5">
        <v>100</v>
      </c>
      <c r="O470" s="2">
        <v>0.16605458433008269</v>
      </c>
      <c r="P470" s="2">
        <v>0.15177255742229051</v>
      </c>
      <c r="Q470" s="2">
        <v>1.6129381929883644E-2</v>
      </c>
      <c r="R470" s="2">
        <v>2.1223636451626688E-2</v>
      </c>
    </row>
    <row r="471" spans="1:18" x14ac:dyDescent="0.3">
      <c r="A471" s="7">
        <v>415</v>
      </c>
      <c r="B471" s="7">
        <v>212</v>
      </c>
      <c r="C471" s="7">
        <v>0</v>
      </c>
      <c r="D471" s="7">
        <v>0</v>
      </c>
      <c r="E471" s="20" t="str">
        <f t="shared" si="7"/>
        <v>00</v>
      </c>
      <c r="F471" s="21">
        <v>0.56117294318858402</v>
      </c>
      <c r="G471" s="4">
        <v>0.14799999999999999</v>
      </c>
      <c r="H471" s="4">
        <v>0.119191919191919</v>
      </c>
      <c r="I471" s="4">
        <v>2.1000000000000001E-2</v>
      </c>
      <c r="J471" s="4">
        <v>0.02</v>
      </c>
      <c r="K471" s="5">
        <v>100</v>
      </c>
      <c r="L471" s="5">
        <v>100</v>
      </c>
      <c r="M471" s="5">
        <v>100</v>
      </c>
      <c r="N471" s="5">
        <v>100</v>
      </c>
      <c r="O471" s="2">
        <v>0.16016875215282134</v>
      </c>
      <c r="P471" s="2">
        <v>0.12691551921965571</v>
      </c>
      <c r="Q471" s="2">
        <v>2.1223636451626688E-2</v>
      </c>
      <c r="R471" s="2">
        <v>2.0202707317519466E-2</v>
      </c>
    </row>
    <row r="472" spans="1:18" x14ac:dyDescent="0.3">
      <c r="A472" s="7">
        <v>368</v>
      </c>
      <c r="B472" s="7">
        <v>190</v>
      </c>
      <c r="C472" s="7">
        <v>0</v>
      </c>
      <c r="D472" s="7">
        <v>0</v>
      </c>
      <c r="E472" s="20" t="str">
        <f t="shared" si="7"/>
        <v>00</v>
      </c>
      <c r="F472" s="21">
        <v>0.56193929680080901</v>
      </c>
      <c r="G472" s="4">
        <v>0.28299999999999997</v>
      </c>
      <c r="H472" s="4">
        <v>0.24791666666666701</v>
      </c>
      <c r="I472" s="4">
        <v>1.4E-2</v>
      </c>
      <c r="J472" s="4">
        <v>1.7000000000000001E-2</v>
      </c>
      <c r="K472" s="5">
        <v>100</v>
      </c>
      <c r="L472" s="5">
        <v>100</v>
      </c>
      <c r="M472" s="5">
        <v>100</v>
      </c>
      <c r="N472" s="5">
        <v>100</v>
      </c>
      <c r="O472" s="2">
        <v>0.33267943838251657</v>
      </c>
      <c r="P472" s="2">
        <v>0.28490814556905614</v>
      </c>
      <c r="Q472" s="2">
        <v>1.4098924379501648E-2</v>
      </c>
      <c r="R472" s="2">
        <v>1.7146158834970514E-2</v>
      </c>
    </row>
    <row r="473" spans="1:18" x14ac:dyDescent="0.3">
      <c r="A473" s="7">
        <v>501</v>
      </c>
      <c r="B473" s="7">
        <v>178</v>
      </c>
      <c r="C473" s="7">
        <v>0</v>
      </c>
      <c r="D473" s="7">
        <v>0</v>
      </c>
      <c r="E473" s="20" t="str">
        <f t="shared" si="7"/>
        <v>00</v>
      </c>
      <c r="F473" s="21">
        <v>0.563782457329283</v>
      </c>
      <c r="G473" s="4">
        <v>0.06</v>
      </c>
      <c r="H473" s="4">
        <v>5.8823529411764698E-2</v>
      </c>
      <c r="I473" s="4">
        <v>1.4E-2</v>
      </c>
      <c r="J473" s="4">
        <v>1.7000000000000001E-2</v>
      </c>
      <c r="K473" s="5">
        <v>100</v>
      </c>
      <c r="L473" s="5">
        <v>100</v>
      </c>
      <c r="M473" s="5">
        <v>100</v>
      </c>
      <c r="N473" s="5">
        <v>100</v>
      </c>
      <c r="O473" s="2">
        <v>6.1875403718087529E-2</v>
      </c>
      <c r="P473" s="2">
        <v>6.0624621816434854E-2</v>
      </c>
      <c r="Q473" s="2">
        <v>1.4098924379501648E-2</v>
      </c>
      <c r="R473" s="2">
        <v>1.7146158834970514E-2</v>
      </c>
    </row>
    <row r="474" spans="1:18" x14ac:dyDescent="0.3">
      <c r="A474" s="7">
        <v>452</v>
      </c>
      <c r="B474" s="7">
        <v>184</v>
      </c>
      <c r="C474" s="7">
        <v>0</v>
      </c>
      <c r="D474" s="7">
        <v>0</v>
      </c>
      <c r="E474" s="20" t="str">
        <f t="shared" si="7"/>
        <v>00</v>
      </c>
      <c r="F474" s="21">
        <v>0.566204063112967</v>
      </c>
      <c r="G474" s="4">
        <v>0.67200000000000004</v>
      </c>
      <c r="H474" s="4">
        <v>0.59780219780219801</v>
      </c>
      <c r="I474" s="4">
        <v>1.4E-2</v>
      </c>
      <c r="J474" s="4">
        <v>1.4E-2</v>
      </c>
      <c r="K474" s="5">
        <v>0</v>
      </c>
      <c r="L474" s="5">
        <v>0</v>
      </c>
      <c r="M474" s="5">
        <v>100</v>
      </c>
      <c r="N474" s="5">
        <v>100</v>
      </c>
      <c r="O474" s="2">
        <v>1.1147416705979933</v>
      </c>
      <c r="P474" s="2">
        <v>0.91081126610953</v>
      </c>
      <c r="Q474" s="2">
        <v>1.4098924379501648E-2</v>
      </c>
      <c r="R474" s="2">
        <v>1.4098924379501648E-2</v>
      </c>
    </row>
    <row r="475" spans="1:18" x14ac:dyDescent="0.3">
      <c r="A475" s="7">
        <v>820</v>
      </c>
      <c r="B475" s="7">
        <v>165</v>
      </c>
      <c r="C475" s="7">
        <v>0</v>
      </c>
      <c r="D475" s="7">
        <v>0</v>
      </c>
      <c r="E475" s="20" t="str">
        <f t="shared" si="7"/>
        <v>00</v>
      </c>
      <c r="F475" s="21">
        <v>0.56741483770784595</v>
      </c>
      <c r="G475" s="4">
        <v>0.114</v>
      </c>
      <c r="H475" s="4">
        <v>8.2135523613962994E-2</v>
      </c>
      <c r="I475" s="4">
        <v>2.4E-2</v>
      </c>
      <c r="J475" s="4">
        <v>1.7999999999999999E-2</v>
      </c>
      <c r="K475" s="5">
        <v>100</v>
      </c>
      <c r="L475" s="5">
        <v>100</v>
      </c>
      <c r="M475" s="5">
        <v>100</v>
      </c>
      <c r="N475" s="5">
        <v>100</v>
      </c>
      <c r="O475" s="2">
        <v>0.1210383283770561</v>
      </c>
      <c r="P475" s="2">
        <v>8.570552846902095E-2</v>
      </c>
      <c r="Q475" s="2">
        <v>2.4292692569044587E-2</v>
      </c>
      <c r="R475" s="2">
        <v>1.816397062767118E-2</v>
      </c>
    </row>
    <row r="476" spans="1:18" x14ac:dyDescent="0.3">
      <c r="A476" s="7">
        <v>375</v>
      </c>
      <c r="B476" s="7">
        <v>191</v>
      </c>
      <c r="C476" s="7">
        <v>0</v>
      </c>
      <c r="D476" s="7">
        <v>0</v>
      </c>
      <c r="E476" s="20" t="str">
        <f t="shared" si="7"/>
        <v>00</v>
      </c>
      <c r="F476" s="21">
        <v>0.57226904832036396</v>
      </c>
      <c r="G476" s="4">
        <v>0.19400000000000001</v>
      </c>
      <c r="H476" s="4">
        <v>0.167006109979633</v>
      </c>
      <c r="I476" s="4">
        <v>1.2999999999999999E-2</v>
      </c>
      <c r="J476" s="4">
        <v>2.3E-2</v>
      </c>
      <c r="K476" s="5">
        <v>100</v>
      </c>
      <c r="L476" s="5">
        <v>100</v>
      </c>
      <c r="M476" s="5">
        <v>100</v>
      </c>
      <c r="N476" s="5">
        <v>100</v>
      </c>
      <c r="O476" s="2">
        <v>0.21567153647550871</v>
      </c>
      <c r="P476" s="2">
        <v>0.18272897175171829</v>
      </c>
      <c r="Q476" s="2">
        <v>1.3085239548655481E-2</v>
      </c>
      <c r="R476" s="2">
        <v>2.3268626939354331E-2</v>
      </c>
    </row>
    <row r="477" spans="1:18" x14ac:dyDescent="0.3">
      <c r="A477" s="7">
        <v>269</v>
      </c>
      <c r="B477" s="7">
        <v>194</v>
      </c>
      <c r="C477" s="7">
        <v>0</v>
      </c>
      <c r="D477" s="7">
        <v>0</v>
      </c>
      <c r="E477" s="20" t="str">
        <f t="shared" si="7"/>
        <v>00</v>
      </c>
      <c r="F477" s="21">
        <v>0.57327618276688697</v>
      </c>
      <c r="G477" s="4">
        <v>0.13200000000000001</v>
      </c>
      <c r="H477" s="4">
        <v>0.13360323886639699</v>
      </c>
      <c r="I477" s="4">
        <v>2.3E-2</v>
      </c>
      <c r="J477" s="4">
        <v>1.6E-2</v>
      </c>
      <c r="K477" s="5">
        <v>100</v>
      </c>
      <c r="L477" s="5">
        <v>100</v>
      </c>
      <c r="M477" s="5">
        <v>100</v>
      </c>
      <c r="N477" s="5">
        <v>100</v>
      </c>
      <c r="O477" s="2">
        <v>0.14156356432178688</v>
      </c>
      <c r="P477" s="2">
        <v>0.14341232160612602</v>
      </c>
      <c r="Q477" s="2">
        <v>2.3268626939354331E-2</v>
      </c>
      <c r="R477" s="2">
        <v>1.6129381929883644E-2</v>
      </c>
    </row>
    <row r="478" spans="1:18" x14ac:dyDescent="0.3">
      <c r="A478" s="7">
        <v>666</v>
      </c>
      <c r="B478" s="7">
        <v>181</v>
      </c>
      <c r="C478" s="7">
        <v>0</v>
      </c>
      <c r="D478" s="7">
        <v>0</v>
      </c>
      <c r="E478" s="20" t="str">
        <f t="shared" si="7"/>
        <v>00</v>
      </c>
      <c r="F478" s="21">
        <v>0.57686009679926398</v>
      </c>
      <c r="G478" s="4">
        <v>0.187</v>
      </c>
      <c r="H478" s="4">
        <v>0.135076252723312</v>
      </c>
      <c r="I478" s="4">
        <v>8.9999999999999993E-3</v>
      </c>
      <c r="J478" s="4">
        <v>1.4E-2</v>
      </c>
      <c r="K478" s="5">
        <v>100</v>
      </c>
      <c r="L478" s="5">
        <v>100</v>
      </c>
      <c r="M478" s="5">
        <v>100</v>
      </c>
      <c r="N478" s="5">
        <v>100</v>
      </c>
      <c r="O478" s="2">
        <v>0.20702416943432653</v>
      </c>
      <c r="P478" s="2">
        <v>0.14511392937335529</v>
      </c>
      <c r="Q478" s="2">
        <v>9.0407446521490707E-3</v>
      </c>
      <c r="R478" s="2">
        <v>1.4098924379501648E-2</v>
      </c>
    </row>
    <row r="479" spans="1:18" x14ac:dyDescent="0.3">
      <c r="A479" s="7">
        <v>448</v>
      </c>
      <c r="B479" s="7">
        <v>181</v>
      </c>
      <c r="C479" s="7">
        <v>0</v>
      </c>
      <c r="D479" s="7">
        <v>0</v>
      </c>
      <c r="E479" s="20" t="str">
        <f t="shared" si="7"/>
        <v>00</v>
      </c>
      <c r="F479" s="21">
        <v>0.57785927291274997</v>
      </c>
      <c r="G479" s="4">
        <v>0.19</v>
      </c>
      <c r="H479" s="4">
        <v>0.17255717255717301</v>
      </c>
      <c r="I479" s="4">
        <v>2.1000000000000001E-2</v>
      </c>
      <c r="J479" s="4">
        <v>2.5000000000000001E-2</v>
      </c>
      <c r="K479" s="5">
        <v>100</v>
      </c>
      <c r="L479" s="5">
        <v>100</v>
      </c>
      <c r="M479" s="5">
        <v>100</v>
      </c>
      <c r="N479" s="5">
        <v>100</v>
      </c>
      <c r="O479" s="2">
        <v>0.21072103131565253</v>
      </c>
      <c r="P479" s="2">
        <v>0.18941526482132409</v>
      </c>
      <c r="Q479" s="2">
        <v>2.1223636451626688E-2</v>
      </c>
      <c r="R479" s="2">
        <v>2.5317807984289897E-2</v>
      </c>
    </row>
    <row r="480" spans="1:18" x14ac:dyDescent="0.3">
      <c r="A480" s="7">
        <v>20</v>
      </c>
      <c r="B480" s="7">
        <v>210</v>
      </c>
      <c r="C480" s="7">
        <v>0</v>
      </c>
      <c r="D480" s="7">
        <v>0</v>
      </c>
      <c r="E480" s="20" t="str">
        <f t="shared" si="7"/>
        <v>00</v>
      </c>
      <c r="F480" s="21">
        <v>0.57957445814236397</v>
      </c>
      <c r="G480" s="4">
        <v>0.115</v>
      </c>
      <c r="H480" s="4">
        <v>0.117886178861789</v>
      </c>
      <c r="I480" s="4">
        <v>1.4999999999999999E-2</v>
      </c>
      <c r="J480" s="4">
        <v>0.02</v>
      </c>
      <c r="K480" s="5">
        <v>100</v>
      </c>
      <c r="L480" s="5">
        <v>100</v>
      </c>
      <c r="M480" s="5">
        <v>100</v>
      </c>
      <c r="N480" s="5">
        <v>100</v>
      </c>
      <c r="O480" s="2">
        <v>0.12216763397420753</v>
      </c>
      <c r="P480" s="2">
        <v>0.12543418239190365</v>
      </c>
      <c r="Q480" s="2">
        <v>1.5113637810048184E-2</v>
      </c>
      <c r="R480" s="2">
        <v>2.0202707317519466E-2</v>
      </c>
    </row>
    <row r="481" spans="1:18" x14ac:dyDescent="0.3">
      <c r="A481" s="7">
        <v>156</v>
      </c>
      <c r="B481" s="7">
        <v>189</v>
      </c>
      <c r="C481" s="7">
        <v>0</v>
      </c>
      <c r="D481" s="7">
        <v>0</v>
      </c>
      <c r="E481" s="20" t="str">
        <f t="shared" si="7"/>
        <v>00</v>
      </c>
      <c r="F481" s="21">
        <v>0.58016957555385795</v>
      </c>
      <c r="G481" s="4">
        <v>0.19</v>
      </c>
      <c r="H481" s="4">
        <v>0.14609053497942401</v>
      </c>
      <c r="I481" s="4">
        <v>2.1999999999999999E-2</v>
      </c>
      <c r="J481" s="4">
        <v>2.3E-2</v>
      </c>
      <c r="K481" s="5">
        <v>100</v>
      </c>
      <c r="L481" s="5">
        <v>100</v>
      </c>
      <c r="M481" s="5">
        <v>100</v>
      </c>
      <c r="N481" s="5">
        <v>100</v>
      </c>
      <c r="O481" s="2">
        <v>0.21072103131565253</v>
      </c>
      <c r="P481" s="2">
        <v>0.15793010366979565</v>
      </c>
      <c r="Q481" s="2">
        <v>2.2245608947319737E-2</v>
      </c>
      <c r="R481" s="2">
        <v>2.3268626939354331E-2</v>
      </c>
    </row>
    <row r="482" spans="1:18" x14ac:dyDescent="0.3">
      <c r="A482" s="7">
        <v>544</v>
      </c>
      <c r="B482" s="7">
        <v>175</v>
      </c>
      <c r="C482" s="7">
        <v>0</v>
      </c>
      <c r="D482" s="7">
        <v>0</v>
      </c>
      <c r="E482" s="20" t="str">
        <f t="shared" si="7"/>
        <v>00</v>
      </c>
      <c r="F482" s="21">
        <v>0.58121264409825102</v>
      </c>
      <c r="G482" s="4">
        <v>0.27600000000000002</v>
      </c>
      <c r="H482" s="4">
        <v>0.26977687626774799</v>
      </c>
      <c r="I482" s="4">
        <v>1.6E-2</v>
      </c>
      <c r="J482" s="4">
        <v>1.2999999999999999E-2</v>
      </c>
      <c r="K482" s="5">
        <v>100</v>
      </c>
      <c r="L482" s="5">
        <v>100</v>
      </c>
      <c r="M482" s="5">
        <v>100</v>
      </c>
      <c r="N482" s="5">
        <v>100</v>
      </c>
      <c r="O482" s="2">
        <v>0.32296388659642072</v>
      </c>
      <c r="P482" s="2">
        <v>0.31440514259253366</v>
      </c>
      <c r="Q482" s="2">
        <v>1.6129381929883644E-2</v>
      </c>
      <c r="R482" s="2">
        <v>1.3085239548655481E-2</v>
      </c>
    </row>
    <row r="483" spans="1:18" x14ac:dyDescent="0.3">
      <c r="A483" s="7">
        <v>823</v>
      </c>
      <c r="B483" s="7">
        <v>188</v>
      </c>
      <c r="C483" s="7">
        <v>0</v>
      </c>
      <c r="D483" s="7">
        <v>0</v>
      </c>
      <c r="E483" s="20" t="str">
        <f t="shared" si="7"/>
        <v>00</v>
      </c>
      <c r="F483" s="21">
        <v>0.58343863024083498</v>
      </c>
      <c r="G483" s="4">
        <v>0.32100000000000001</v>
      </c>
      <c r="H483" s="4">
        <v>0.20512820512820501</v>
      </c>
      <c r="I483" s="4">
        <v>1.7000000000000001E-2</v>
      </c>
      <c r="J483" s="4">
        <v>2.4E-2</v>
      </c>
      <c r="K483" s="5">
        <v>100</v>
      </c>
      <c r="L483" s="5">
        <v>100</v>
      </c>
      <c r="M483" s="5">
        <v>100</v>
      </c>
      <c r="N483" s="5">
        <v>100</v>
      </c>
      <c r="O483" s="2">
        <v>0.38713415142344088</v>
      </c>
      <c r="P483" s="2">
        <v>0.22957444164450011</v>
      </c>
      <c r="Q483" s="2">
        <v>1.7146158834970514E-2</v>
      </c>
      <c r="R483" s="2">
        <v>2.4292692569044587E-2</v>
      </c>
    </row>
    <row r="484" spans="1:18" x14ac:dyDescent="0.3">
      <c r="A484" s="7">
        <v>102</v>
      </c>
      <c r="B484" s="7">
        <v>195</v>
      </c>
      <c r="C484" s="7">
        <v>0</v>
      </c>
      <c r="D484" s="7">
        <v>0</v>
      </c>
      <c r="E484" s="20" t="str">
        <f t="shared" si="7"/>
        <v>00</v>
      </c>
      <c r="F484" s="21">
        <v>0.58421521417880196</v>
      </c>
      <c r="G484" s="4">
        <v>0.218</v>
      </c>
      <c r="H484" s="4">
        <v>0.18737270875763701</v>
      </c>
      <c r="I484" s="4">
        <v>1.2E-2</v>
      </c>
      <c r="J484" s="4">
        <v>1.6E-2</v>
      </c>
      <c r="K484" s="5">
        <v>100</v>
      </c>
      <c r="L484" s="5">
        <v>100</v>
      </c>
      <c r="M484" s="5">
        <v>100</v>
      </c>
      <c r="N484" s="5">
        <v>100</v>
      </c>
      <c r="O484" s="2">
        <v>0.24590053843682594</v>
      </c>
      <c r="P484" s="2">
        <v>0.20748271090465656</v>
      </c>
      <c r="Q484" s="2">
        <v>1.2072581234269249E-2</v>
      </c>
      <c r="R484" s="2">
        <v>1.6129381929883644E-2</v>
      </c>
    </row>
    <row r="485" spans="1:18" x14ac:dyDescent="0.3">
      <c r="A485" s="7">
        <v>931</v>
      </c>
      <c r="B485" s="7">
        <v>184</v>
      </c>
      <c r="C485" s="7">
        <v>0</v>
      </c>
      <c r="D485" s="7">
        <v>0</v>
      </c>
      <c r="E485" s="20" t="str">
        <f t="shared" si="7"/>
        <v>00</v>
      </c>
      <c r="F485" s="21">
        <v>0.58946103223900304</v>
      </c>
      <c r="G485" s="4">
        <v>9.9000000000000005E-2</v>
      </c>
      <c r="H485" s="4">
        <v>0.100200400801603</v>
      </c>
      <c r="I485" s="4">
        <v>9.9000000000000005E-2</v>
      </c>
      <c r="J485" s="4">
        <v>0.08</v>
      </c>
      <c r="K485" s="5">
        <v>100</v>
      </c>
      <c r="L485" s="5">
        <v>100</v>
      </c>
      <c r="M485" s="5">
        <v>100</v>
      </c>
      <c r="N485" s="5">
        <v>100</v>
      </c>
      <c r="O485" s="2">
        <v>0.10425002137379911</v>
      </c>
      <c r="P485" s="2">
        <v>0.10558320800926412</v>
      </c>
      <c r="Q485" s="2">
        <v>0.10425002137379911</v>
      </c>
      <c r="R485" s="2">
        <v>8.3381608939051013E-2</v>
      </c>
    </row>
    <row r="486" spans="1:18" x14ac:dyDescent="0.3">
      <c r="A486" s="7">
        <v>200</v>
      </c>
      <c r="B486" s="7">
        <v>177</v>
      </c>
      <c r="C486" s="7">
        <v>0</v>
      </c>
      <c r="D486" s="7">
        <v>0</v>
      </c>
      <c r="E486" s="20" t="str">
        <f t="shared" si="7"/>
        <v>00</v>
      </c>
      <c r="F486" s="21">
        <v>0.59043527413281904</v>
      </c>
      <c r="G486" s="4">
        <v>0.14699999999999999</v>
      </c>
      <c r="H486" s="4">
        <v>0.13480885311871199</v>
      </c>
      <c r="I486" s="4">
        <v>2.5999999999999999E-2</v>
      </c>
      <c r="J486" s="4">
        <v>2.4E-2</v>
      </c>
      <c r="K486" s="5">
        <v>100</v>
      </c>
      <c r="L486" s="5">
        <v>100</v>
      </c>
      <c r="M486" s="5">
        <v>100</v>
      </c>
      <c r="N486" s="5">
        <v>100</v>
      </c>
      <c r="O486" s="2">
        <v>0.15899573149045795</v>
      </c>
      <c r="P486" s="2">
        <v>0.14480481740902024</v>
      </c>
      <c r="Q486" s="2">
        <v>2.6343975339601977E-2</v>
      </c>
      <c r="R486" s="2">
        <v>2.4292692569044587E-2</v>
      </c>
    </row>
    <row r="487" spans="1:18" x14ac:dyDescent="0.3">
      <c r="A487" s="7">
        <v>99</v>
      </c>
      <c r="B487" s="7">
        <v>174</v>
      </c>
      <c r="C487" s="7">
        <v>0</v>
      </c>
      <c r="D487" s="7">
        <v>0</v>
      </c>
      <c r="E487" s="20" t="str">
        <f t="shared" si="7"/>
        <v>00</v>
      </c>
      <c r="F487" s="21">
        <v>0.59279302402217005</v>
      </c>
      <c r="G487" s="4">
        <v>0.32400000000000001</v>
      </c>
      <c r="H487" s="4">
        <v>0.29774127310061599</v>
      </c>
      <c r="I487" s="4">
        <v>1.7000000000000001E-2</v>
      </c>
      <c r="J487" s="4">
        <v>1.9E-2</v>
      </c>
      <c r="K487" s="5">
        <v>100</v>
      </c>
      <c r="L487" s="5">
        <v>100</v>
      </c>
      <c r="M487" s="5">
        <v>100</v>
      </c>
      <c r="N487" s="5">
        <v>100</v>
      </c>
      <c r="O487" s="2">
        <v>0.39156220293917304</v>
      </c>
      <c r="P487" s="2">
        <v>0.35345338601998449</v>
      </c>
      <c r="Q487" s="2">
        <v>1.7146158834970514E-2</v>
      </c>
      <c r="R487" s="2">
        <v>1.9182819416773987E-2</v>
      </c>
    </row>
    <row r="488" spans="1:18" x14ac:dyDescent="0.3">
      <c r="A488" s="7">
        <v>875</v>
      </c>
      <c r="B488" s="7">
        <v>222</v>
      </c>
      <c r="C488" s="7">
        <v>0</v>
      </c>
      <c r="D488" s="7">
        <v>0</v>
      </c>
      <c r="E488" s="20" t="str">
        <f t="shared" si="7"/>
        <v>00</v>
      </c>
      <c r="F488" s="21">
        <v>0.59568496565239504</v>
      </c>
      <c r="G488" s="4">
        <v>0.214</v>
      </c>
      <c r="H488" s="4">
        <v>0.20689655172413801</v>
      </c>
      <c r="I488" s="4">
        <v>3.6999999999999998E-2</v>
      </c>
      <c r="J488" s="4">
        <v>2.8000000000000001E-2</v>
      </c>
      <c r="K488" s="5">
        <v>100</v>
      </c>
      <c r="L488" s="5">
        <v>100</v>
      </c>
      <c r="M488" s="5">
        <v>100</v>
      </c>
      <c r="N488" s="5">
        <v>100</v>
      </c>
      <c r="O488" s="2">
        <v>0.24079848655293046</v>
      </c>
      <c r="P488" s="2">
        <v>0.23180161405732444</v>
      </c>
      <c r="Q488" s="2">
        <v>3.7701867184011528E-2</v>
      </c>
      <c r="R488" s="2">
        <v>2.8399474521698002E-2</v>
      </c>
    </row>
    <row r="489" spans="1:18" x14ac:dyDescent="0.3">
      <c r="A489" s="7">
        <v>922</v>
      </c>
      <c r="B489" s="7">
        <v>183</v>
      </c>
      <c r="C489" s="7">
        <v>0</v>
      </c>
      <c r="D489" s="7">
        <v>0</v>
      </c>
      <c r="E489" s="20" t="str">
        <f t="shared" si="7"/>
        <v>00</v>
      </c>
      <c r="F489" s="21">
        <v>0.59619319113537395</v>
      </c>
      <c r="G489" s="4">
        <v>0.31900000000000001</v>
      </c>
      <c r="H489" s="4">
        <v>0.26059322033898302</v>
      </c>
      <c r="I489" s="4">
        <v>2.5999999999999999E-2</v>
      </c>
      <c r="J489" s="4">
        <v>2.5999999999999999E-2</v>
      </c>
      <c r="K489" s="5">
        <v>100</v>
      </c>
      <c r="L489" s="5">
        <v>100</v>
      </c>
      <c r="M489" s="5">
        <v>100</v>
      </c>
      <c r="N489" s="5">
        <v>100</v>
      </c>
      <c r="O489" s="2">
        <v>0.3841929728326246</v>
      </c>
      <c r="P489" s="2">
        <v>0.30190706338312817</v>
      </c>
      <c r="Q489" s="2">
        <v>2.6343975339601977E-2</v>
      </c>
      <c r="R489" s="2">
        <v>2.6343975339601977E-2</v>
      </c>
    </row>
    <row r="490" spans="1:18" x14ac:dyDescent="0.3">
      <c r="A490" s="7">
        <v>162</v>
      </c>
      <c r="B490" s="7">
        <v>177</v>
      </c>
      <c r="C490" s="7">
        <v>0</v>
      </c>
      <c r="D490" s="7">
        <v>0</v>
      </c>
      <c r="E490" s="20" t="str">
        <f t="shared" si="7"/>
        <v>00</v>
      </c>
      <c r="F490" s="21">
        <v>0.59649999767760697</v>
      </c>
      <c r="G490" s="4">
        <v>0.24</v>
      </c>
      <c r="H490" s="4">
        <v>0.22448979591836701</v>
      </c>
      <c r="I490" s="4">
        <v>3.5999999999999997E-2</v>
      </c>
      <c r="J490" s="4">
        <v>2.1000000000000001E-2</v>
      </c>
      <c r="K490" s="5">
        <v>100</v>
      </c>
      <c r="L490" s="5">
        <v>100</v>
      </c>
      <c r="M490" s="5">
        <v>100</v>
      </c>
      <c r="N490" s="5">
        <v>100</v>
      </c>
      <c r="O490" s="2">
        <v>0.2744368457017603</v>
      </c>
      <c r="P490" s="2">
        <v>0.25423413838424047</v>
      </c>
      <c r="Q490" s="2">
        <v>3.666398437159147E-2</v>
      </c>
      <c r="R490" s="2">
        <v>2.1223636451626688E-2</v>
      </c>
    </row>
    <row r="491" spans="1:18" x14ac:dyDescent="0.3">
      <c r="A491" s="7">
        <v>668</v>
      </c>
      <c r="B491" s="7">
        <v>184</v>
      </c>
      <c r="C491" s="7">
        <v>0</v>
      </c>
      <c r="D491" s="7">
        <v>0</v>
      </c>
      <c r="E491" s="20" t="str">
        <f t="shared" si="7"/>
        <v>00</v>
      </c>
      <c r="F491" s="21">
        <v>0.606716194515031</v>
      </c>
      <c r="G491" s="4">
        <v>0.14099999999999999</v>
      </c>
      <c r="H491" s="4">
        <v>0.142284569138277</v>
      </c>
      <c r="I491" s="4">
        <v>1.4999999999999999E-2</v>
      </c>
      <c r="J491" s="4">
        <v>2.9000000000000001E-2</v>
      </c>
      <c r="K491" s="5">
        <v>100</v>
      </c>
      <c r="L491" s="5">
        <v>100</v>
      </c>
      <c r="M491" s="5">
        <v>100</v>
      </c>
      <c r="N491" s="5">
        <v>100</v>
      </c>
      <c r="O491" s="2">
        <v>0.15198635699788171</v>
      </c>
      <c r="P491" s="2">
        <v>0.15348290016972244</v>
      </c>
      <c r="Q491" s="2">
        <v>1.5113637810048184E-2</v>
      </c>
      <c r="R491" s="2">
        <v>2.9428810690812168E-2</v>
      </c>
    </row>
    <row r="492" spans="1:18" x14ac:dyDescent="0.3">
      <c r="A492" s="7">
        <v>532</v>
      </c>
      <c r="B492" s="7">
        <v>197</v>
      </c>
      <c r="C492" s="7">
        <v>0</v>
      </c>
      <c r="D492" s="7">
        <v>0</v>
      </c>
      <c r="E492" s="20" t="str">
        <f t="shared" si="7"/>
        <v>00</v>
      </c>
      <c r="F492" s="21">
        <v>0.60978353367181304</v>
      </c>
      <c r="G492" s="4">
        <v>0.27900000000000003</v>
      </c>
      <c r="H492" s="4">
        <v>0.21443736730360899</v>
      </c>
      <c r="I492" s="4">
        <v>2.1999999999999999E-2</v>
      </c>
      <c r="J492" s="4">
        <v>3.2000000000000001E-2</v>
      </c>
      <c r="K492" s="5">
        <v>100</v>
      </c>
      <c r="L492" s="5">
        <v>100</v>
      </c>
      <c r="M492" s="5">
        <v>100</v>
      </c>
      <c r="N492" s="5">
        <v>100</v>
      </c>
      <c r="O492" s="2">
        <v>0.327116141697188</v>
      </c>
      <c r="P492" s="2">
        <v>0.24135508837814715</v>
      </c>
      <c r="Q492" s="2">
        <v>2.2245608947319737E-2</v>
      </c>
      <c r="R492" s="2">
        <v>3.2523191705560062E-2</v>
      </c>
    </row>
    <row r="493" spans="1:18" x14ac:dyDescent="0.3">
      <c r="A493" s="7">
        <v>800</v>
      </c>
      <c r="B493" s="7">
        <v>176</v>
      </c>
      <c r="C493" s="7">
        <v>0</v>
      </c>
      <c r="D493" s="7">
        <v>0</v>
      </c>
      <c r="E493" s="20" t="str">
        <f t="shared" si="7"/>
        <v>00</v>
      </c>
      <c r="F493" s="21">
        <v>0.61254150159297804</v>
      </c>
      <c r="G493" s="4">
        <v>0.113</v>
      </c>
      <c r="H493" s="4">
        <v>0.101419878296146</v>
      </c>
      <c r="I493" s="4">
        <v>2.3E-2</v>
      </c>
      <c r="J493" s="4">
        <v>1.7999999999999999E-2</v>
      </c>
      <c r="K493" s="5">
        <v>100</v>
      </c>
      <c r="L493" s="5">
        <v>100</v>
      </c>
      <c r="M493" s="5">
        <v>100</v>
      </c>
      <c r="N493" s="5">
        <v>100</v>
      </c>
      <c r="O493" s="2">
        <v>0.11991029667255755</v>
      </c>
      <c r="P493" s="2">
        <v>0.10693940399755437</v>
      </c>
      <c r="Q493" s="2">
        <v>2.3268626939354331E-2</v>
      </c>
      <c r="R493" s="2">
        <v>1.816397062767118E-2</v>
      </c>
    </row>
    <row r="494" spans="1:18" x14ac:dyDescent="0.3">
      <c r="A494" s="7">
        <v>891</v>
      </c>
      <c r="B494" s="7">
        <v>175</v>
      </c>
      <c r="C494" s="7">
        <v>0</v>
      </c>
      <c r="D494" s="7">
        <v>0</v>
      </c>
      <c r="E494" s="20" t="str">
        <f t="shared" si="7"/>
        <v>00</v>
      </c>
      <c r="F494" s="21">
        <v>0.61555650533589401</v>
      </c>
      <c r="G494" s="4">
        <v>0.10100000000000001</v>
      </c>
      <c r="H494" s="4">
        <v>9.2741935483870996E-2</v>
      </c>
      <c r="I494" s="4">
        <v>2.1999999999999999E-2</v>
      </c>
      <c r="J494" s="4">
        <v>0.02</v>
      </c>
      <c r="K494" s="5">
        <v>100</v>
      </c>
      <c r="L494" s="5">
        <v>100</v>
      </c>
      <c r="M494" s="5">
        <v>100</v>
      </c>
      <c r="N494" s="5">
        <v>100</v>
      </c>
      <c r="O494" s="2">
        <v>0.10647224451051676</v>
      </c>
      <c r="P494" s="2">
        <v>9.7328343960562072E-2</v>
      </c>
      <c r="Q494" s="2">
        <v>2.2245608947319737E-2</v>
      </c>
      <c r="R494" s="2">
        <v>2.0202707317519466E-2</v>
      </c>
    </row>
    <row r="495" spans="1:18" x14ac:dyDescent="0.3">
      <c r="A495" s="7">
        <v>134</v>
      </c>
      <c r="B495" s="7">
        <v>188</v>
      </c>
      <c r="C495" s="7">
        <v>0</v>
      </c>
      <c r="D495" s="7">
        <v>0</v>
      </c>
      <c r="E495" s="20" t="str">
        <f t="shared" si="7"/>
        <v>00</v>
      </c>
      <c r="F495" s="21">
        <v>0.61621608634462699</v>
      </c>
      <c r="G495" s="4">
        <v>0.64700000000000002</v>
      </c>
      <c r="H495" s="4">
        <v>0.59579439252336497</v>
      </c>
      <c r="I495" s="4">
        <v>1.6E-2</v>
      </c>
      <c r="J495" s="4">
        <v>0.03</v>
      </c>
      <c r="K495" s="5">
        <v>0</v>
      </c>
      <c r="L495" s="5">
        <v>0</v>
      </c>
      <c r="M495" s="5">
        <v>100</v>
      </c>
      <c r="N495" s="5">
        <v>100</v>
      </c>
      <c r="O495" s="2">
        <v>1.0412872220488403</v>
      </c>
      <c r="P495" s="2">
        <v>0.90583160108401906</v>
      </c>
      <c r="Q495" s="2">
        <v>1.6129381929883644E-2</v>
      </c>
      <c r="R495" s="2">
        <v>3.0459207484708574E-2</v>
      </c>
    </row>
    <row r="496" spans="1:18" x14ac:dyDescent="0.3">
      <c r="A496" s="7">
        <v>207</v>
      </c>
      <c r="B496" s="7">
        <v>186</v>
      </c>
      <c r="C496" s="7">
        <v>0</v>
      </c>
      <c r="D496" s="7">
        <v>0</v>
      </c>
      <c r="E496" s="20" t="str">
        <f t="shared" si="7"/>
        <v>00</v>
      </c>
      <c r="F496" s="21">
        <v>0.61785632630015996</v>
      </c>
      <c r="G496" s="4">
        <v>0.191</v>
      </c>
      <c r="H496" s="4">
        <v>0.167701863354037</v>
      </c>
      <c r="I496" s="4">
        <v>1.4999999999999999E-2</v>
      </c>
      <c r="J496" s="4">
        <v>2.1999999999999999E-2</v>
      </c>
      <c r="K496" s="5">
        <v>100</v>
      </c>
      <c r="L496" s="5">
        <v>100</v>
      </c>
      <c r="M496" s="5">
        <v>100</v>
      </c>
      <c r="N496" s="5">
        <v>100</v>
      </c>
      <c r="O496" s="2">
        <v>0.21195636192364545</v>
      </c>
      <c r="P496" s="2">
        <v>0.18356456503355134</v>
      </c>
      <c r="Q496" s="2">
        <v>1.5113637810048184E-2</v>
      </c>
      <c r="R496" s="2">
        <v>2.2245608947319737E-2</v>
      </c>
    </row>
    <row r="497" spans="1:18" x14ac:dyDescent="0.3">
      <c r="A497" s="7">
        <v>611</v>
      </c>
      <c r="B497" s="7">
        <v>169</v>
      </c>
      <c r="C497" s="7">
        <v>0</v>
      </c>
      <c r="D497" s="7">
        <v>0</v>
      </c>
      <c r="E497" s="20" t="str">
        <f t="shared" si="7"/>
        <v>00</v>
      </c>
      <c r="F497" s="21">
        <v>0.619738240568665</v>
      </c>
      <c r="G497" s="4">
        <v>0.33300000000000002</v>
      </c>
      <c r="H497" s="4">
        <v>0.31762295081967201</v>
      </c>
      <c r="I497" s="4">
        <v>0.02</v>
      </c>
      <c r="J497" s="4">
        <v>2.7E-2</v>
      </c>
      <c r="K497" s="5">
        <v>100</v>
      </c>
      <c r="L497" s="5">
        <v>100</v>
      </c>
      <c r="M497" s="5">
        <v>100</v>
      </c>
      <c r="N497" s="5">
        <v>100</v>
      </c>
      <c r="O497" s="2">
        <v>0.40496523306651327</v>
      </c>
      <c r="P497" s="2">
        <v>0.38217291587270308</v>
      </c>
      <c r="Q497" s="2">
        <v>2.0202707317519466E-2</v>
      </c>
      <c r="R497" s="2">
        <v>2.7371196796132015E-2</v>
      </c>
    </row>
    <row r="498" spans="1:18" x14ac:dyDescent="0.3">
      <c r="A498" s="7">
        <v>638</v>
      </c>
      <c r="B498" s="7">
        <v>167</v>
      </c>
      <c r="C498" s="7">
        <v>0</v>
      </c>
      <c r="D498" s="7">
        <v>0</v>
      </c>
      <c r="E498" s="20" t="str">
        <f t="shared" si="7"/>
        <v>00</v>
      </c>
      <c r="F498" s="21">
        <v>0.621453562247828</v>
      </c>
      <c r="G498" s="4">
        <v>0.37</v>
      </c>
      <c r="H498" s="4">
        <v>0.358333333333333</v>
      </c>
      <c r="I498" s="4">
        <v>1.4E-2</v>
      </c>
      <c r="J498" s="4">
        <v>2.3E-2</v>
      </c>
      <c r="K498" s="5">
        <v>100</v>
      </c>
      <c r="L498" s="5">
        <v>100</v>
      </c>
      <c r="M498" s="5">
        <v>100</v>
      </c>
      <c r="N498" s="5">
        <v>100</v>
      </c>
      <c r="O498" s="2">
        <v>0.46203545959655867</v>
      </c>
      <c r="P498" s="2">
        <v>0.44368632092836152</v>
      </c>
      <c r="Q498" s="2">
        <v>1.4098924379501648E-2</v>
      </c>
      <c r="R498" s="2">
        <v>2.3268626939354331E-2</v>
      </c>
    </row>
    <row r="499" spans="1:18" x14ac:dyDescent="0.3">
      <c r="A499" s="7">
        <v>422</v>
      </c>
      <c r="B499" s="7">
        <v>166</v>
      </c>
      <c r="C499" s="7">
        <v>0</v>
      </c>
      <c r="D499" s="7">
        <v>0</v>
      </c>
      <c r="E499" s="20" t="str">
        <f t="shared" si="7"/>
        <v>00</v>
      </c>
      <c r="F499" s="21">
        <v>0.62756399223089299</v>
      </c>
      <c r="G499" s="4">
        <v>0.23400000000000001</v>
      </c>
      <c r="H499" s="4">
        <v>0.18699186991869901</v>
      </c>
      <c r="I499" s="4">
        <v>0.03</v>
      </c>
      <c r="J499" s="4">
        <v>2.3E-2</v>
      </c>
      <c r="K499" s="5">
        <v>100</v>
      </c>
      <c r="L499" s="5">
        <v>100</v>
      </c>
      <c r="M499" s="5">
        <v>100</v>
      </c>
      <c r="N499" s="5">
        <v>100</v>
      </c>
      <c r="O499" s="2">
        <v>0.26657310924154576</v>
      </c>
      <c r="P499" s="2">
        <v>0.20701416938432587</v>
      </c>
      <c r="Q499" s="2">
        <v>3.0459207484708574E-2</v>
      </c>
      <c r="R499" s="2">
        <v>2.3268626939354331E-2</v>
      </c>
    </row>
    <row r="500" spans="1:18" x14ac:dyDescent="0.3">
      <c r="A500" s="7">
        <v>57</v>
      </c>
      <c r="B500" s="7">
        <v>151</v>
      </c>
      <c r="C500" s="7">
        <v>0</v>
      </c>
      <c r="D500" s="7">
        <v>0</v>
      </c>
      <c r="E500" s="20" t="str">
        <f t="shared" si="7"/>
        <v>00</v>
      </c>
      <c r="F500" s="21">
        <v>0.62976671753914704</v>
      </c>
      <c r="G500" s="4">
        <v>0.14399999999999999</v>
      </c>
      <c r="H500" s="4">
        <v>0.132264529058116</v>
      </c>
      <c r="I500" s="4">
        <v>0.02</v>
      </c>
      <c r="J500" s="4">
        <v>2.5999999999999999E-2</v>
      </c>
      <c r="K500" s="5">
        <v>100</v>
      </c>
      <c r="L500" s="5">
        <v>100</v>
      </c>
      <c r="M500" s="5">
        <v>100</v>
      </c>
      <c r="N500" s="5">
        <v>100</v>
      </c>
      <c r="O500" s="2">
        <v>0.15548490284039498</v>
      </c>
      <c r="P500" s="2">
        <v>0.14186836774902858</v>
      </c>
      <c r="Q500" s="2">
        <v>2.0202707317519466E-2</v>
      </c>
      <c r="R500" s="2">
        <v>2.6343975339601977E-2</v>
      </c>
    </row>
    <row r="501" spans="1:18" x14ac:dyDescent="0.3">
      <c r="A501" s="7">
        <v>685</v>
      </c>
      <c r="B501" s="7">
        <v>147</v>
      </c>
      <c r="C501" s="7">
        <v>0</v>
      </c>
      <c r="D501" s="7">
        <v>0</v>
      </c>
      <c r="E501" s="20" t="str">
        <f t="shared" si="7"/>
        <v>00</v>
      </c>
      <c r="F501" s="21">
        <v>0.62983152089681504</v>
      </c>
      <c r="G501" s="4">
        <v>0.17599999999999999</v>
      </c>
      <c r="H501" s="4">
        <v>0.176829268292683</v>
      </c>
      <c r="I501" s="4">
        <v>1.4999999999999999E-2</v>
      </c>
      <c r="J501" s="4">
        <v>1.7000000000000001E-2</v>
      </c>
      <c r="K501" s="5">
        <v>100</v>
      </c>
      <c r="L501" s="5">
        <v>100</v>
      </c>
      <c r="M501" s="5">
        <v>100</v>
      </c>
      <c r="N501" s="5">
        <v>100</v>
      </c>
      <c r="O501" s="2">
        <v>0.19358474907266526</v>
      </c>
      <c r="P501" s="2">
        <v>0.19459164938576903</v>
      </c>
      <c r="Q501" s="2">
        <v>1.5113637810048184E-2</v>
      </c>
      <c r="R501" s="2">
        <v>1.7146158834970514E-2</v>
      </c>
    </row>
    <row r="502" spans="1:18" x14ac:dyDescent="0.3">
      <c r="A502" s="7">
        <v>522</v>
      </c>
      <c r="B502" s="7">
        <v>169</v>
      </c>
      <c r="C502" s="7">
        <v>0</v>
      </c>
      <c r="D502" s="7">
        <v>0</v>
      </c>
      <c r="E502" s="20" t="str">
        <f t="shared" si="7"/>
        <v>00</v>
      </c>
      <c r="F502" s="21">
        <v>0.63161650026249005</v>
      </c>
      <c r="G502" s="4">
        <v>0.128</v>
      </c>
      <c r="H502" s="4">
        <v>0.121703853955375</v>
      </c>
      <c r="I502" s="4">
        <v>0.03</v>
      </c>
      <c r="J502" s="4">
        <v>2.1999999999999999E-2</v>
      </c>
      <c r="K502" s="5">
        <v>100</v>
      </c>
      <c r="L502" s="5">
        <v>100</v>
      </c>
      <c r="M502" s="5">
        <v>100</v>
      </c>
      <c r="N502" s="5">
        <v>100</v>
      </c>
      <c r="O502" s="2">
        <v>0.13696585507315742</v>
      </c>
      <c r="P502" s="2">
        <v>0.12977144604019994</v>
      </c>
      <c r="Q502" s="2">
        <v>3.0459207484708574E-2</v>
      </c>
      <c r="R502" s="2">
        <v>2.2245608947319737E-2</v>
      </c>
    </row>
    <row r="503" spans="1:18" x14ac:dyDescent="0.3">
      <c r="A503" s="7">
        <v>869</v>
      </c>
      <c r="B503" s="7">
        <v>161</v>
      </c>
      <c r="C503" s="7">
        <v>0</v>
      </c>
      <c r="D503" s="7">
        <v>0</v>
      </c>
      <c r="E503" s="20" t="str">
        <f t="shared" si="7"/>
        <v>00</v>
      </c>
      <c r="F503" s="21">
        <v>0.63192282599706195</v>
      </c>
      <c r="G503" s="4">
        <v>0.13700000000000001</v>
      </c>
      <c r="H503" s="4">
        <v>0.146881287726358</v>
      </c>
      <c r="I503" s="4">
        <v>3.2000000000000001E-2</v>
      </c>
      <c r="J503" s="4">
        <v>2.1999999999999999E-2</v>
      </c>
      <c r="K503" s="5">
        <v>100</v>
      </c>
      <c r="L503" s="5">
        <v>100</v>
      </c>
      <c r="M503" s="5">
        <v>100</v>
      </c>
      <c r="N503" s="5">
        <v>100</v>
      </c>
      <c r="O503" s="2">
        <v>0.14734058789870913</v>
      </c>
      <c r="P503" s="2">
        <v>0.15885657086467078</v>
      </c>
      <c r="Q503" s="2">
        <v>3.2523191705560062E-2</v>
      </c>
      <c r="R503" s="2">
        <v>2.2245608947319737E-2</v>
      </c>
    </row>
    <row r="504" spans="1:18" x14ac:dyDescent="0.3">
      <c r="A504" s="7">
        <v>747</v>
      </c>
      <c r="B504" s="7">
        <v>169</v>
      </c>
      <c r="C504" s="7">
        <v>0</v>
      </c>
      <c r="D504" s="7">
        <v>0</v>
      </c>
      <c r="E504" s="20" t="str">
        <f t="shared" si="7"/>
        <v>00</v>
      </c>
      <c r="F504" s="21">
        <v>0.63831567583852999</v>
      </c>
      <c r="G504" s="4">
        <v>9.2999999999999999E-2</v>
      </c>
      <c r="H504" s="4">
        <v>9.8393574297188799E-2</v>
      </c>
      <c r="I504" s="4">
        <v>1.4E-2</v>
      </c>
      <c r="J504" s="4">
        <v>1.6E-2</v>
      </c>
      <c r="K504" s="5">
        <v>100</v>
      </c>
      <c r="L504" s="5">
        <v>100</v>
      </c>
      <c r="M504" s="5">
        <v>100</v>
      </c>
      <c r="N504" s="5">
        <v>100</v>
      </c>
      <c r="O504" s="2">
        <v>9.7612828867000415E-2</v>
      </c>
      <c r="P504" s="2">
        <v>0.10357718928239863</v>
      </c>
      <c r="Q504" s="2">
        <v>1.4098924379501648E-2</v>
      </c>
      <c r="R504" s="2">
        <v>1.6129381929883644E-2</v>
      </c>
    </row>
    <row r="505" spans="1:18" x14ac:dyDescent="0.3">
      <c r="A505" s="7">
        <v>546</v>
      </c>
      <c r="B505" s="7">
        <v>175</v>
      </c>
      <c r="C505" s="7">
        <v>0</v>
      </c>
      <c r="D505" s="7">
        <v>0</v>
      </c>
      <c r="E505" s="20" t="str">
        <f t="shared" si="7"/>
        <v>00</v>
      </c>
      <c r="F505" s="21">
        <v>0.63971276091743801</v>
      </c>
      <c r="G505" s="4">
        <v>0.122</v>
      </c>
      <c r="H505" s="4">
        <v>0.123481781376518</v>
      </c>
      <c r="I505" s="4">
        <v>2.1000000000000001E-2</v>
      </c>
      <c r="J505" s="4">
        <v>2.1000000000000001E-2</v>
      </c>
      <c r="K505" s="5">
        <v>100</v>
      </c>
      <c r="L505" s="5">
        <v>100</v>
      </c>
      <c r="M505" s="5">
        <v>100</v>
      </c>
      <c r="N505" s="5">
        <v>100</v>
      </c>
      <c r="O505" s="2">
        <v>0.13010868534702039</v>
      </c>
      <c r="P505" s="2">
        <v>0.13179778918543242</v>
      </c>
      <c r="Q505" s="2">
        <v>2.1223636451626688E-2</v>
      </c>
      <c r="R505" s="2">
        <v>2.1223636451626688E-2</v>
      </c>
    </row>
    <row r="506" spans="1:18" x14ac:dyDescent="0.3">
      <c r="A506" s="7">
        <v>166</v>
      </c>
      <c r="B506" s="7">
        <v>146</v>
      </c>
      <c r="C506" s="7">
        <v>0</v>
      </c>
      <c r="D506" s="7">
        <v>0</v>
      </c>
      <c r="E506" s="20" t="str">
        <f t="shared" si="7"/>
        <v>00</v>
      </c>
      <c r="F506" s="21">
        <v>0.64112615238539095</v>
      </c>
      <c r="G506" s="4">
        <v>0.13300000000000001</v>
      </c>
      <c r="H506" s="4">
        <v>0.142284569138277</v>
      </c>
      <c r="I506" s="4">
        <v>1.7999999999999999E-2</v>
      </c>
      <c r="J506" s="4">
        <v>1.4E-2</v>
      </c>
      <c r="K506" s="5">
        <v>100</v>
      </c>
      <c r="L506" s="5">
        <v>100</v>
      </c>
      <c r="M506" s="5">
        <v>100</v>
      </c>
      <c r="N506" s="5">
        <v>100</v>
      </c>
      <c r="O506" s="2">
        <v>0.1427163022015952</v>
      </c>
      <c r="P506" s="2">
        <v>0.15348290016972244</v>
      </c>
      <c r="Q506" s="2">
        <v>1.816397062767118E-2</v>
      </c>
      <c r="R506" s="2">
        <v>1.4098924379501648E-2</v>
      </c>
    </row>
    <row r="507" spans="1:18" x14ac:dyDescent="0.3">
      <c r="A507" s="7">
        <v>635</v>
      </c>
      <c r="B507" s="7">
        <v>169</v>
      </c>
      <c r="C507" s="7">
        <v>0</v>
      </c>
      <c r="D507" s="7">
        <v>0</v>
      </c>
      <c r="E507" s="20" t="str">
        <f t="shared" si="7"/>
        <v>00</v>
      </c>
      <c r="F507" s="21">
        <v>0.64147707481800498</v>
      </c>
      <c r="G507" s="4">
        <v>0.20300000000000001</v>
      </c>
      <c r="H507" s="4">
        <v>0.19354838709677399</v>
      </c>
      <c r="I507" s="4">
        <v>1.7999999999999999E-2</v>
      </c>
      <c r="J507" s="4">
        <v>2.4E-2</v>
      </c>
      <c r="K507" s="5">
        <v>100</v>
      </c>
      <c r="L507" s="5">
        <v>100</v>
      </c>
      <c r="M507" s="5">
        <v>100</v>
      </c>
      <c r="N507" s="5">
        <v>100</v>
      </c>
      <c r="O507" s="2">
        <v>0.2269006001919221</v>
      </c>
      <c r="P507" s="2">
        <v>0.21511137961694529</v>
      </c>
      <c r="Q507" s="2">
        <v>1.816397062767118E-2</v>
      </c>
      <c r="R507" s="2">
        <v>2.4292692569044587E-2</v>
      </c>
    </row>
    <row r="508" spans="1:18" x14ac:dyDescent="0.3">
      <c r="A508" s="7">
        <v>383</v>
      </c>
      <c r="B508" s="7">
        <v>166</v>
      </c>
      <c r="C508" s="7">
        <v>0</v>
      </c>
      <c r="D508" s="7">
        <v>0</v>
      </c>
      <c r="E508" s="20" t="str">
        <f t="shared" si="7"/>
        <v>00</v>
      </c>
      <c r="F508" s="21">
        <v>0.64534011281622505</v>
      </c>
      <c r="G508" s="4">
        <v>0.17699999999999999</v>
      </c>
      <c r="H508" s="4">
        <v>0.164609053497942</v>
      </c>
      <c r="I508" s="4">
        <v>2.8000000000000001E-2</v>
      </c>
      <c r="J508" s="4">
        <v>3.4000000000000002E-2</v>
      </c>
      <c r="K508" s="5">
        <v>100</v>
      </c>
      <c r="L508" s="5">
        <v>100</v>
      </c>
      <c r="M508" s="5">
        <v>100</v>
      </c>
      <c r="N508" s="5">
        <v>100</v>
      </c>
      <c r="O508" s="2">
        <v>0.19479907830506729</v>
      </c>
      <c r="P508" s="2">
        <v>0.17985546429876062</v>
      </c>
      <c r="Q508" s="2">
        <v>2.8399474521698002E-2</v>
      </c>
      <c r="R508" s="2">
        <v>3.459144476961909E-2</v>
      </c>
    </row>
    <row r="509" spans="1:18" x14ac:dyDescent="0.3">
      <c r="A509" s="7">
        <v>253</v>
      </c>
      <c r="B509" s="7">
        <v>148</v>
      </c>
      <c r="C509" s="7">
        <v>0</v>
      </c>
      <c r="D509" s="7">
        <v>0</v>
      </c>
      <c r="E509" s="20" t="str">
        <f t="shared" si="7"/>
        <v>00</v>
      </c>
      <c r="F509" s="21">
        <v>0.64667569154957405</v>
      </c>
      <c r="G509" s="4">
        <v>0.14499999999999999</v>
      </c>
      <c r="H509" s="4">
        <v>0.143434343434343</v>
      </c>
      <c r="I509" s="4">
        <v>1.7000000000000001E-2</v>
      </c>
      <c r="J509" s="4">
        <v>1.7000000000000001E-2</v>
      </c>
      <c r="K509" s="5">
        <v>100</v>
      </c>
      <c r="L509" s="5">
        <v>100</v>
      </c>
      <c r="M509" s="5">
        <v>100</v>
      </c>
      <c r="N509" s="5">
        <v>100</v>
      </c>
      <c r="O509" s="2">
        <v>0.15665381004537685</v>
      </c>
      <c r="P509" s="2">
        <v>0.15482430733673205</v>
      </c>
      <c r="Q509" s="2">
        <v>1.7146158834970514E-2</v>
      </c>
      <c r="R509" s="2">
        <v>1.7146158834970514E-2</v>
      </c>
    </row>
    <row r="510" spans="1:18" x14ac:dyDescent="0.3">
      <c r="A510" s="7">
        <v>926</v>
      </c>
      <c r="B510" s="7">
        <v>155</v>
      </c>
      <c r="C510" s="7">
        <v>0</v>
      </c>
      <c r="D510" s="7">
        <v>0</v>
      </c>
      <c r="E510" s="20" t="str">
        <f t="shared" si="7"/>
        <v>00</v>
      </c>
      <c r="F510" s="21">
        <v>0.64897476621564898</v>
      </c>
      <c r="G510" s="4">
        <v>0.112</v>
      </c>
      <c r="H510" s="4">
        <v>9.4758064516129004E-2</v>
      </c>
      <c r="I510" s="4">
        <v>3.1E-2</v>
      </c>
      <c r="J510" s="4">
        <v>2.1000000000000001E-2</v>
      </c>
      <c r="K510" s="5">
        <v>100</v>
      </c>
      <c r="L510" s="5">
        <v>100</v>
      </c>
      <c r="M510" s="5">
        <v>100</v>
      </c>
      <c r="N510" s="5">
        <v>100</v>
      </c>
      <c r="O510" s="2">
        <v>0.11878353598996698</v>
      </c>
      <c r="P510" s="2">
        <v>9.9553038982673162E-2</v>
      </c>
      <c r="Q510" s="2">
        <v>3.1490667091370848E-2</v>
      </c>
      <c r="R510" s="2">
        <v>2.1223636451626688E-2</v>
      </c>
    </row>
    <row r="511" spans="1:18" x14ac:dyDescent="0.3">
      <c r="A511" s="7">
        <v>937</v>
      </c>
      <c r="B511" s="7">
        <v>146</v>
      </c>
      <c r="C511" s="7">
        <v>0</v>
      </c>
      <c r="D511" s="7">
        <v>0</v>
      </c>
      <c r="E511" s="20" t="str">
        <f t="shared" si="7"/>
        <v>00</v>
      </c>
      <c r="F511" s="21">
        <v>0.64960265263772998</v>
      </c>
      <c r="G511" s="4">
        <v>0.16900000000000001</v>
      </c>
      <c r="H511" s="4">
        <v>0.150406504065041</v>
      </c>
      <c r="I511" s="4">
        <v>2.5000000000000001E-2</v>
      </c>
      <c r="J511" s="4">
        <v>2.5999999999999999E-2</v>
      </c>
      <c r="K511" s="5">
        <v>100</v>
      </c>
      <c r="L511" s="5">
        <v>100</v>
      </c>
      <c r="M511" s="5">
        <v>100</v>
      </c>
      <c r="N511" s="5">
        <v>100</v>
      </c>
      <c r="O511" s="2">
        <v>0.18512548412668892</v>
      </c>
      <c r="P511" s="2">
        <v>0.16299728396755217</v>
      </c>
      <c r="Q511" s="2">
        <v>2.5317807984289897E-2</v>
      </c>
      <c r="R511" s="2">
        <v>2.6343975339601977E-2</v>
      </c>
    </row>
    <row r="512" spans="1:18" x14ac:dyDescent="0.3">
      <c r="A512" s="7">
        <v>475</v>
      </c>
      <c r="B512" s="7">
        <v>175</v>
      </c>
      <c r="C512" s="7">
        <v>0</v>
      </c>
      <c r="D512" s="7">
        <v>0</v>
      </c>
      <c r="E512" s="20" t="str">
        <f t="shared" si="7"/>
        <v>00</v>
      </c>
      <c r="F512" s="21">
        <v>0.65050014485465302</v>
      </c>
      <c r="G512" s="4">
        <v>0.13800000000000001</v>
      </c>
      <c r="H512" s="4">
        <v>0.13654618473895599</v>
      </c>
      <c r="I512" s="4">
        <v>7.3999999999999996E-2</v>
      </c>
      <c r="J512" s="4">
        <v>5.2999999999999999E-2</v>
      </c>
      <c r="K512" s="5">
        <v>100</v>
      </c>
      <c r="L512" s="5">
        <v>100</v>
      </c>
      <c r="M512" s="5">
        <v>100</v>
      </c>
      <c r="N512" s="5">
        <v>100</v>
      </c>
      <c r="O512" s="2">
        <v>0.14850000831844395</v>
      </c>
      <c r="P512" s="2">
        <v>0.14681486833704499</v>
      </c>
      <c r="Q512" s="2">
        <v>7.6881044335957618E-2</v>
      </c>
      <c r="R512" s="2">
        <v>5.4456185796058855E-2</v>
      </c>
    </row>
    <row r="513" spans="1:18" x14ac:dyDescent="0.3">
      <c r="A513" s="7">
        <v>119</v>
      </c>
      <c r="B513" s="7">
        <v>133</v>
      </c>
      <c r="C513" s="7">
        <v>0</v>
      </c>
      <c r="D513" s="7">
        <v>0</v>
      </c>
      <c r="E513" s="20" t="str">
        <f t="shared" si="7"/>
        <v>00</v>
      </c>
      <c r="F513" s="21">
        <v>0.65071939516786104</v>
      </c>
      <c r="G513" s="4">
        <v>0.16700000000000001</v>
      </c>
      <c r="H513" s="4">
        <v>0.14401622718052701</v>
      </c>
      <c r="I513" s="4">
        <v>2.1000000000000001E-2</v>
      </c>
      <c r="J513" s="4">
        <v>2.5000000000000001E-2</v>
      </c>
      <c r="K513" s="5">
        <v>100</v>
      </c>
      <c r="L513" s="5">
        <v>100</v>
      </c>
      <c r="M513" s="5">
        <v>100</v>
      </c>
      <c r="N513" s="5">
        <v>100</v>
      </c>
      <c r="O513" s="2">
        <v>0.18272163681529441</v>
      </c>
      <c r="P513" s="2">
        <v>0.15550386000667782</v>
      </c>
      <c r="Q513" s="2">
        <v>2.1223636451626688E-2</v>
      </c>
      <c r="R513" s="2">
        <v>2.5317807984289897E-2</v>
      </c>
    </row>
    <row r="514" spans="1:18" x14ac:dyDescent="0.3">
      <c r="A514" s="7">
        <v>121</v>
      </c>
      <c r="B514" s="7">
        <v>169</v>
      </c>
      <c r="C514" s="7">
        <v>0</v>
      </c>
      <c r="D514" s="7">
        <v>0</v>
      </c>
      <c r="E514" s="20" t="str">
        <f t="shared" ref="E514:E577" si="8">_xlfn.CONCAT(C514,D514)</f>
        <v>00</v>
      </c>
      <c r="F514" s="21">
        <v>0.65079566244487697</v>
      </c>
      <c r="G514" s="4">
        <v>0.189</v>
      </c>
      <c r="H514" s="4">
        <v>0.17938144329896899</v>
      </c>
      <c r="I514" s="4">
        <v>2.1999999999999999E-2</v>
      </c>
      <c r="J514" s="4">
        <v>2.5000000000000001E-2</v>
      </c>
      <c r="K514" s="5">
        <v>100</v>
      </c>
      <c r="L514" s="5">
        <v>100</v>
      </c>
      <c r="M514" s="5">
        <v>100</v>
      </c>
      <c r="N514" s="5">
        <v>100</v>
      </c>
      <c r="O514" s="2">
        <v>0.20948722486672419</v>
      </c>
      <c r="P514" s="2">
        <v>0.19769688565304538</v>
      </c>
      <c r="Q514" s="2">
        <v>2.2245608947319737E-2</v>
      </c>
      <c r="R514" s="2">
        <v>2.5317807984289897E-2</v>
      </c>
    </row>
    <row r="515" spans="1:18" x14ac:dyDescent="0.3">
      <c r="A515" s="7">
        <v>113</v>
      </c>
      <c r="B515" s="7">
        <v>156</v>
      </c>
      <c r="C515" s="7">
        <v>0</v>
      </c>
      <c r="D515" s="7">
        <v>0</v>
      </c>
      <c r="E515" s="20" t="str">
        <f t="shared" si="8"/>
        <v>00</v>
      </c>
      <c r="F515" s="21">
        <v>0.65147339306078</v>
      </c>
      <c r="G515" s="4">
        <v>0.437</v>
      </c>
      <c r="H515" s="4">
        <v>0.40127388535031799</v>
      </c>
      <c r="I515" s="4">
        <v>3.2000000000000001E-2</v>
      </c>
      <c r="J515" s="4">
        <v>3.6999999999999998E-2</v>
      </c>
      <c r="K515" s="5">
        <v>100</v>
      </c>
      <c r="L515" s="5">
        <v>100</v>
      </c>
      <c r="M515" s="5">
        <v>100</v>
      </c>
      <c r="N515" s="5">
        <v>100</v>
      </c>
      <c r="O515" s="2">
        <v>0.57447565084244678</v>
      </c>
      <c r="P515" s="2">
        <v>0.51295102307830331</v>
      </c>
      <c r="Q515" s="2">
        <v>3.2523191705560062E-2</v>
      </c>
      <c r="R515" s="2">
        <v>3.7701867184011528E-2</v>
      </c>
    </row>
    <row r="516" spans="1:18" x14ac:dyDescent="0.3">
      <c r="A516" s="7">
        <v>887</v>
      </c>
      <c r="B516" s="7">
        <v>171</v>
      </c>
      <c r="C516" s="7">
        <v>0</v>
      </c>
      <c r="D516" s="7">
        <v>0</v>
      </c>
      <c r="E516" s="20" t="str">
        <f t="shared" si="8"/>
        <v>00</v>
      </c>
      <c r="F516" s="21">
        <v>0.65563957638208503</v>
      </c>
      <c r="G516" s="4">
        <v>0.16500000000000001</v>
      </c>
      <c r="H516" s="4">
        <v>0.15746421267893701</v>
      </c>
      <c r="I516" s="4">
        <v>1.7000000000000001E-2</v>
      </c>
      <c r="J516" s="4">
        <v>3.2000000000000001E-2</v>
      </c>
      <c r="K516" s="5">
        <v>100</v>
      </c>
      <c r="L516" s="5">
        <v>100</v>
      </c>
      <c r="M516" s="5">
        <v>100</v>
      </c>
      <c r="N516" s="5">
        <v>100</v>
      </c>
      <c r="O516" s="2">
        <v>0.18032355413128162</v>
      </c>
      <c r="P516" s="2">
        <v>0.17133914012534604</v>
      </c>
      <c r="Q516" s="2">
        <v>1.7146158834970514E-2</v>
      </c>
      <c r="R516" s="2">
        <v>3.2523191705560062E-2</v>
      </c>
    </row>
    <row r="517" spans="1:18" x14ac:dyDescent="0.3">
      <c r="A517" s="7">
        <v>236</v>
      </c>
      <c r="B517" s="7">
        <v>150</v>
      </c>
      <c r="C517" s="7">
        <v>0</v>
      </c>
      <c r="D517" s="7">
        <v>0</v>
      </c>
      <c r="E517" s="20" t="str">
        <f t="shared" si="8"/>
        <v>00</v>
      </c>
      <c r="F517" s="21">
        <v>0.65962015756780601</v>
      </c>
      <c r="G517" s="4">
        <v>0.109</v>
      </c>
      <c r="H517" s="4">
        <v>0.10101010101010099</v>
      </c>
      <c r="I517" s="4">
        <v>2.7E-2</v>
      </c>
      <c r="J517" s="4">
        <v>2.5999999999999999E-2</v>
      </c>
      <c r="K517" s="5">
        <v>100</v>
      </c>
      <c r="L517" s="5">
        <v>100</v>
      </c>
      <c r="M517" s="5">
        <v>100</v>
      </c>
      <c r="N517" s="5">
        <v>100</v>
      </c>
      <c r="O517" s="2">
        <v>0.11541085151132773</v>
      </c>
      <c r="P517" s="2">
        <v>0.10648348040245006</v>
      </c>
      <c r="Q517" s="2">
        <v>2.7371196796132015E-2</v>
      </c>
      <c r="R517" s="2">
        <v>2.6343975339601977E-2</v>
      </c>
    </row>
    <row r="518" spans="1:18" x14ac:dyDescent="0.3">
      <c r="A518" s="7">
        <v>379</v>
      </c>
      <c r="B518" s="7">
        <v>159</v>
      </c>
      <c r="C518" s="7">
        <v>0</v>
      </c>
      <c r="D518" s="7">
        <v>0</v>
      </c>
      <c r="E518" s="20" t="str">
        <f t="shared" si="8"/>
        <v>00</v>
      </c>
      <c r="F518" s="21">
        <v>0.66046022975563501</v>
      </c>
      <c r="G518" s="4">
        <v>0.28799999999999998</v>
      </c>
      <c r="H518" s="4">
        <v>0.27346938775510199</v>
      </c>
      <c r="I518" s="4">
        <v>2.9000000000000001E-2</v>
      </c>
      <c r="J518" s="4">
        <v>3.3000000000000002E-2</v>
      </c>
      <c r="K518" s="5">
        <v>100</v>
      </c>
      <c r="L518" s="5">
        <v>100</v>
      </c>
      <c r="M518" s="5">
        <v>100</v>
      </c>
      <c r="N518" s="5">
        <v>100</v>
      </c>
      <c r="O518" s="2">
        <v>0.33967736757016131</v>
      </c>
      <c r="P518" s="2">
        <v>0.31947466025264176</v>
      </c>
      <c r="Q518" s="2">
        <v>2.9428810690812168E-2</v>
      </c>
      <c r="R518" s="2">
        <v>3.3556783528842754E-2</v>
      </c>
    </row>
    <row r="519" spans="1:18" x14ac:dyDescent="0.3">
      <c r="A519" s="7">
        <v>287</v>
      </c>
      <c r="B519" s="7">
        <v>174</v>
      </c>
      <c r="C519" s="7">
        <v>0</v>
      </c>
      <c r="D519" s="7">
        <v>0</v>
      </c>
      <c r="E519" s="20" t="str">
        <f t="shared" si="8"/>
        <v>00</v>
      </c>
      <c r="F519" s="21">
        <v>0.66074191032930796</v>
      </c>
      <c r="G519" s="4">
        <v>0.09</v>
      </c>
      <c r="H519" s="4">
        <v>0.108433734939759</v>
      </c>
      <c r="I519" s="4">
        <v>1.6E-2</v>
      </c>
      <c r="J519" s="4">
        <v>0.02</v>
      </c>
      <c r="K519" s="5">
        <v>100</v>
      </c>
      <c r="L519" s="5">
        <v>100</v>
      </c>
      <c r="M519" s="5">
        <v>100</v>
      </c>
      <c r="N519" s="5">
        <v>100</v>
      </c>
      <c r="O519" s="2">
        <v>9.431067947124129E-2</v>
      </c>
      <c r="P519" s="2">
        <v>0.11477551459242818</v>
      </c>
      <c r="Q519" s="2">
        <v>1.6129381929883644E-2</v>
      </c>
      <c r="R519" s="2">
        <v>2.0202707317519466E-2</v>
      </c>
    </row>
    <row r="520" spans="1:18" x14ac:dyDescent="0.3">
      <c r="A520" s="7">
        <v>258</v>
      </c>
      <c r="B520" s="7">
        <v>167</v>
      </c>
      <c r="C520" s="7">
        <v>0</v>
      </c>
      <c r="D520" s="7">
        <v>0</v>
      </c>
      <c r="E520" s="20" t="str">
        <f t="shared" si="8"/>
        <v>00</v>
      </c>
      <c r="F520" s="21">
        <v>0.66087320706400798</v>
      </c>
      <c r="G520" s="4">
        <v>0.108</v>
      </c>
      <c r="H520" s="4">
        <v>0.106425702811245</v>
      </c>
      <c r="I520" s="4">
        <v>0.01</v>
      </c>
      <c r="J520" s="4">
        <v>1.2E-2</v>
      </c>
      <c r="K520" s="5">
        <v>100</v>
      </c>
      <c r="L520" s="5">
        <v>100</v>
      </c>
      <c r="M520" s="5">
        <v>100</v>
      </c>
      <c r="N520" s="5">
        <v>100</v>
      </c>
      <c r="O520" s="2">
        <v>0.11428914640212766</v>
      </c>
      <c r="P520" s="2">
        <v>0.1125257948584127</v>
      </c>
      <c r="Q520" s="2">
        <v>1.0050335853501451E-2</v>
      </c>
      <c r="R520" s="2">
        <v>1.2072581234269249E-2</v>
      </c>
    </row>
    <row r="521" spans="1:18" x14ac:dyDescent="0.3">
      <c r="A521" s="7">
        <v>324</v>
      </c>
      <c r="B521" s="7">
        <v>138</v>
      </c>
      <c r="C521" s="7">
        <v>0</v>
      </c>
      <c r="D521" s="7">
        <v>0</v>
      </c>
      <c r="E521" s="20" t="str">
        <f t="shared" si="8"/>
        <v>00</v>
      </c>
      <c r="F521" s="21">
        <v>0.66189304299197105</v>
      </c>
      <c r="G521" s="4">
        <v>0.33100000000000002</v>
      </c>
      <c r="H521" s="4">
        <v>0.30612244897959201</v>
      </c>
      <c r="I521" s="4">
        <v>2.7E-2</v>
      </c>
      <c r="J521" s="4">
        <v>1.9E-2</v>
      </c>
      <c r="K521" s="5">
        <v>100</v>
      </c>
      <c r="L521" s="5">
        <v>100</v>
      </c>
      <c r="M521" s="5">
        <v>100</v>
      </c>
      <c r="N521" s="5">
        <v>100</v>
      </c>
      <c r="O521" s="2">
        <v>0.40197121885390852</v>
      </c>
      <c r="P521" s="2">
        <v>0.3654597734944654</v>
      </c>
      <c r="Q521" s="2">
        <v>2.7371196796132015E-2</v>
      </c>
      <c r="R521" s="2">
        <v>1.9182819416773987E-2</v>
      </c>
    </row>
    <row r="522" spans="1:18" x14ac:dyDescent="0.3">
      <c r="A522" s="7">
        <v>973</v>
      </c>
      <c r="B522" s="7">
        <v>166</v>
      </c>
      <c r="C522" s="7">
        <v>0</v>
      </c>
      <c r="D522" s="7">
        <v>0</v>
      </c>
      <c r="E522" s="20" t="str">
        <f t="shared" si="8"/>
        <v>00</v>
      </c>
      <c r="F522" s="21">
        <v>0.66764882361979405</v>
      </c>
      <c r="G522" s="4">
        <v>0.34399999999999997</v>
      </c>
      <c r="H522" s="4">
        <v>0.12598425196850399</v>
      </c>
      <c r="I522" s="4">
        <v>1.7000000000000001E-2</v>
      </c>
      <c r="J522" s="4">
        <v>2.3E-2</v>
      </c>
      <c r="K522" s="5">
        <v>100</v>
      </c>
      <c r="L522" s="5">
        <v>100</v>
      </c>
      <c r="M522" s="5">
        <v>100</v>
      </c>
      <c r="N522" s="5">
        <v>100</v>
      </c>
      <c r="O522" s="2">
        <v>0.42159449003804794</v>
      </c>
      <c r="P522" s="2">
        <v>0.13465688514625712</v>
      </c>
      <c r="Q522" s="2">
        <v>1.7146158834970514E-2</v>
      </c>
      <c r="R522" s="2">
        <v>2.3268626939354331E-2</v>
      </c>
    </row>
    <row r="523" spans="1:18" x14ac:dyDescent="0.3">
      <c r="A523" s="7">
        <v>321</v>
      </c>
      <c r="B523" s="7">
        <v>152</v>
      </c>
      <c r="C523" s="7">
        <v>0</v>
      </c>
      <c r="D523" s="7">
        <v>0</v>
      </c>
      <c r="E523" s="20" t="str">
        <f t="shared" si="8"/>
        <v>00</v>
      </c>
      <c r="F523" s="21">
        <v>0.67147166023764304</v>
      </c>
      <c r="G523" s="4">
        <v>0.13100000000000001</v>
      </c>
      <c r="H523" s="4">
        <v>0.118609406952965</v>
      </c>
      <c r="I523" s="4">
        <v>2.4E-2</v>
      </c>
      <c r="J523" s="4">
        <v>2.1999999999999999E-2</v>
      </c>
      <c r="K523" s="5">
        <v>100</v>
      </c>
      <c r="L523" s="5">
        <v>100</v>
      </c>
      <c r="M523" s="5">
        <v>100</v>
      </c>
      <c r="N523" s="5">
        <v>100</v>
      </c>
      <c r="O523" s="2">
        <v>0.14041215371674501</v>
      </c>
      <c r="P523" s="2">
        <v>0.12625439937112393</v>
      </c>
      <c r="Q523" s="2">
        <v>2.4292692569044587E-2</v>
      </c>
      <c r="R523" s="2">
        <v>2.2245608947319737E-2</v>
      </c>
    </row>
    <row r="524" spans="1:18" x14ac:dyDescent="0.3">
      <c r="A524" s="7">
        <v>997</v>
      </c>
      <c r="B524" s="7">
        <v>163</v>
      </c>
      <c r="C524" s="7">
        <v>0</v>
      </c>
      <c r="D524" s="7">
        <v>0</v>
      </c>
      <c r="E524" s="20" t="str">
        <f t="shared" si="8"/>
        <v>00</v>
      </c>
      <c r="F524" s="21">
        <v>0.67245609466767897</v>
      </c>
      <c r="G524" s="4">
        <v>0.11899999999999999</v>
      </c>
      <c r="H524" s="4">
        <v>0.120481927710843</v>
      </c>
      <c r="I524" s="4">
        <v>2.5999999999999999E-2</v>
      </c>
      <c r="J524" s="4">
        <v>2.4E-2</v>
      </c>
      <c r="K524" s="5">
        <v>100</v>
      </c>
      <c r="L524" s="5">
        <v>100</v>
      </c>
      <c r="M524" s="5">
        <v>100</v>
      </c>
      <c r="N524" s="5">
        <v>100</v>
      </c>
      <c r="O524" s="2">
        <v>0.12669765304595754</v>
      </c>
      <c r="P524" s="2">
        <v>0.12838116664820634</v>
      </c>
      <c r="Q524" s="2">
        <v>2.6343975339601977E-2</v>
      </c>
      <c r="R524" s="2">
        <v>2.4292692569044587E-2</v>
      </c>
    </row>
    <row r="525" spans="1:18" x14ac:dyDescent="0.3">
      <c r="A525" s="7">
        <v>986</v>
      </c>
      <c r="B525" s="7">
        <v>164</v>
      </c>
      <c r="C525" s="7">
        <v>0</v>
      </c>
      <c r="D525" s="7">
        <v>0</v>
      </c>
      <c r="E525" s="20" t="str">
        <f t="shared" si="8"/>
        <v>00</v>
      </c>
      <c r="F525" s="21">
        <v>0.67436790515713896</v>
      </c>
      <c r="G525" s="4">
        <v>9.6000000000000002E-2</v>
      </c>
      <c r="H525" s="4">
        <v>9.2184368737474903E-2</v>
      </c>
      <c r="I525" s="4">
        <v>2.4E-2</v>
      </c>
      <c r="J525" s="4">
        <v>3.3000000000000002E-2</v>
      </c>
      <c r="K525" s="5">
        <v>100</v>
      </c>
      <c r="L525" s="5">
        <v>100</v>
      </c>
      <c r="M525" s="5">
        <v>100</v>
      </c>
      <c r="N525" s="5">
        <v>100</v>
      </c>
      <c r="O525" s="2">
        <v>0.10092591858996053</v>
      </c>
      <c r="P525" s="2">
        <v>9.671397026848462E-2</v>
      </c>
      <c r="Q525" s="2">
        <v>2.4292692569044587E-2</v>
      </c>
      <c r="R525" s="2">
        <v>3.3556783528842754E-2</v>
      </c>
    </row>
    <row r="526" spans="1:18" x14ac:dyDescent="0.3">
      <c r="A526" s="7">
        <v>852</v>
      </c>
      <c r="B526" s="7">
        <v>158</v>
      </c>
      <c r="C526" s="7">
        <v>0</v>
      </c>
      <c r="D526" s="7">
        <v>0</v>
      </c>
      <c r="E526" s="20" t="str">
        <f t="shared" si="8"/>
        <v>00</v>
      </c>
      <c r="F526" s="21">
        <v>0.67448501393777205</v>
      </c>
      <c r="G526" s="4">
        <v>5.5E-2</v>
      </c>
      <c r="H526" s="4">
        <v>6.8136272545090207E-2</v>
      </c>
      <c r="I526" s="4">
        <v>1.7999999999999999E-2</v>
      </c>
      <c r="J526" s="4">
        <v>1.4E-2</v>
      </c>
      <c r="K526" s="5">
        <v>100</v>
      </c>
      <c r="L526" s="5">
        <v>100</v>
      </c>
      <c r="M526" s="5">
        <v>100</v>
      </c>
      <c r="N526" s="5">
        <v>100</v>
      </c>
      <c r="O526" s="2">
        <v>5.6570351488394351E-2</v>
      </c>
      <c r="P526" s="2">
        <v>7.0568690164162423E-2</v>
      </c>
      <c r="Q526" s="2">
        <v>1.816397062767118E-2</v>
      </c>
      <c r="R526" s="2">
        <v>1.4098924379501648E-2</v>
      </c>
    </row>
    <row r="527" spans="1:18" x14ac:dyDescent="0.3">
      <c r="A527" s="7">
        <v>872</v>
      </c>
      <c r="B527" s="7">
        <v>167</v>
      </c>
      <c r="C527" s="7">
        <v>0</v>
      </c>
      <c r="D527" s="7">
        <v>0</v>
      </c>
      <c r="E527" s="20" t="str">
        <f t="shared" si="8"/>
        <v>00</v>
      </c>
      <c r="F527" s="21">
        <v>0.67827761005134102</v>
      </c>
      <c r="G527" s="4">
        <v>7.8E-2</v>
      </c>
      <c r="H527" s="4">
        <v>5.6795131845841798E-2</v>
      </c>
      <c r="I527" s="4">
        <v>1.2999999999999999E-2</v>
      </c>
      <c r="J527" s="4">
        <v>1.9E-2</v>
      </c>
      <c r="K527" s="5">
        <v>100</v>
      </c>
      <c r="L527" s="5">
        <v>100</v>
      </c>
      <c r="M527" s="5">
        <v>100</v>
      </c>
      <c r="N527" s="5">
        <v>100</v>
      </c>
      <c r="O527" s="2">
        <v>8.1210055425543173E-2</v>
      </c>
      <c r="P527" s="2">
        <v>5.8471768455333854E-2</v>
      </c>
      <c r="Q527" s="2">
        <v>1.3085239548655481E-2</v>
      </c>
      <c r="R527" s="2">
        <v>1.9182819416773987E-2</v>
      </c>
    </row>
    <row r="528" spans="1:18" x14ac:dyDescent="0.3">
      <c r="A528" s="7">
        <v>285</v>
      </c>
      <c r="B528" s="7">
        <v>172</v>
      </c>
      <c r="C528" s="7">
        <v>0</v>
      </c>
      <c r="D528" s="7">
        <v>0</v>
      </c>
      <c r="E528" s="20" t="str">
        <f t="shared" si="8"/>
        <v>00</v>
      </c>
      <c r="F528" s="21">
        <v>0.680691382658552</v>
      </c>
      <c r="G528" s="4">
        <v>0.41599999999999998</v>
      </c>
      <c r="H528" s="4">
        <v>0.407407407407407</v>
      </c>
      <c r="I528" s="4">
        <v>2.8000000000000001E-2</v>
      </c>
      <c r="J528" s="4">
        <v>2.1999999999999999E-2</v>
      </c>
      <c r="K528" s="5">
        <v>100</v>
      </c>
      <c r="L528" s="5">
        <v>100</v>
      </c>
      <c r="M528" s="5">
        <v>100</v>
      </c>
      <c r="N528" s="5">
        <v>100</v>
      </c>
      <c r="O528" s="2">
        <v>0.53785429615390989</v>
      </c>
      <c r="P528" s="2">
        <v>0.52324814376454709</v>
      </c>
      <c r="Q528" s="2">
        <v>2.8399474521698002E-2</v>
      </c>
      <c r="R528" s="2">
        <v>2.2245608947319737E-2</v>
      </c>
    </row>
    <row r="529" spans="1:18" x14ac:dyDescent="0.3">
      <c r="A529" s="7">
        <v>521</v>
      </c>
      <c r="B529" s="7">
        <v>163</v>
      </c>
      <c r="C529" s="7">
        <v>0</v>
      </c>
      <c r="D529" s="7">
        <v>0</v>
      </c>
      <c r="E529" s="20" t="str">
        <f t="shared" si="8"/>
        <v>00</v>
      </c>
      <c r="F529" s="21">
        <v>0.68111862437829895</v>
      </c>
      <c r="G529" s="4">
        <v>0.13200000000000001</v>
      </c>
      <c r="H529" s="4">
        <v>0.117171717171717</v>
      </c>
      <c r="I529" s="4">
        <v>2.8000000000000001E-2</v>
      </c>
      <c r="J529" s="4">
        <v>1.7000000000000001E-2</v>
      </c>
      <c r="K529" s="5">
        <v>100</v>
      </c>
      <c r="L529" s="5">
        <v>100</v>
      </c>
      <c r="M529" s="5">
        <v>100</v>
      </c>
      <c r="N529" s="5">
        <v>100</v>
      </c>
      <c r="O529" s="2">
        <v>0.14156356432178688</v>
      </c>
      <c r="P529" s="2">
        <v>0.1246245674731</v>
      </c>
      <c r="Q529" s="2">
        <v>2.8399474521698002E-2</v>
      </c>
      <c r="R529" s="2">
        <v>1.7146158834970514E-2</v>
      </c>
    </row>
    <row r="530" spans="1:18" x14ac:dyDescent="0.3">
      <c r="A530" s="7">
        <v>468</v>
      </c>
      <c r="B530" s="7">
        <v>217</v>
      </c>
      <c r="C530" s="7">
        <v>0</v>
      </c>
      <c r="D530" s="7">
        <v>0</v>
      </c>
      <c r="E530" s="20" t="str">
        <f t="shared" si="8"/>
        <v>00</v>
      </c>
      <c r="F530" s="21">
        <v>0.68135483176670697</v>
      </c>
      <c r="G530" s="4">
        <v>7.4999999999999997E-2</v>
      </c>
      <c r="H530" s="4">
        <v>7.25806451612903E-2</v>
      </c>
      <c r="I530" s="4">
        <v>1.9E-2</v>
      </c>
      <c r="J530" s="4">
        <v>1.9E-2</v>
      </c>
      <c r="K530" s="5">
        <v>100</v>
      </c>
      <c r="L530" s="5">
        <v>100</v>
      </c>
      <c r="M530" s="5">
        <v>100</v>
      </c>
      <c r="N530" s="5">
        <v>100</v>
      </c>
      <c r="O530" s="2">
        <v>7.7961541469711806E-2</v>
      </c>
      <c r="P530" s="2">
        <v>7.5349437241786735E-2</v>
      </c>
      <c r="Q530" s="2">
        <v>1.9182819416773987E-2</v>
      </c>
      <c r="R530" s="2">
        <v>1.9182819416773987E-2</v>
      </c>
    </row>
    <row r="531" spans="1:18" x14ac:dyDescent="0.3">
      <c r="A531" s="7">
        <v>621</v>
      </c>
      <c r="B531" s="7">
        <v>162</v>
      </c>
      <c r="C531" s="7">
        <v>0</v>
      </c>
      <c r="D531" s="7">
        <v>0</v>
      </c>
      <c r="E531" s="20" t="str">
        <f t="shared" si="8"/>
        <v>00</v>
      </c>
      <c r="F531" s="21">
        <v>0.68488636502619704</v>
      </c>
      <c r="G531" s="4">
        <v>0.151</v>
      </c>
      <c r="H531" s="4">
        <v>0.13757700205338799</v>
      </c>
      <c r="I531" s="4">
        <v>1.2E-2</v>
      </c>
      <c r="J531" s="4">
        <v>0.02</v>
      </c>
      <c r="K531" s="5">
        <v>100</v>
      </c>
      <c r="L531" s="5">
        <v>100</v>
      </c>
      <c r="M531" s="5">
        <v>100</v>
      </c>
      <c r="N531" s="5">
        <v>100</v>
      </c>
      <c r="O531" s="2">
        <v>0.16369609267078977</v>
      </c>
      <c r="P531" s="2">
        <v>0.14800941180517566</v>
      </c>
      <c r="Q531" s="2">
        <v>1.2072581234269249E-2</v>
      </c>
      <c r="R531" s="2">
        <v>2.0202707317519466E-2</v>
      </c>
    </row>
    <row r="532" spans="1:18" x14ac:dyDescent="0.3">
      <c r="A532" s="7">
        <v>669</v>
      </c>
      <c r="B532" s="7">
        <v>176</v>
      </c>
      <c r="C532" s="7">
        <v>0</v>
      </c>
      <c r="D532" s="7">
        <v>0</v>
      </c>
      <c r="E532" s="20" t="str">
        <f t="shared" si="8"/>
        <v>00</v>
      </c>
      <c r="F532" s="21">
        <v>0.68894700891326999</v>
      </c>
      <c r="G532" s="4">
        <v>0.122</v>
      </c>
      <c r="H532" s="4">
        <v>0.11133603238866401</v>
      </c>
      <c r="I532" s="4">
        <v>1.6E-2</v>
      </c>
      <c r="J532" s="4">
        <v>1.6E-2</v>
      </c>
      <c r="K532" s="5">
        <v>100</v>
      </c>
      <c r="L532" s="5">
        <v>100</v>
      </c>
      <c r="M532" s="5">
        <v>100</v>
      </c>
      <c r="N532" s="5">
        <v>100</v>
      </c>
      <c r="O532" s="2">
        <v>0.13010868534702039</v>
      </c>
      <c r="P532" s="2">
        <v>0.11803610411275114</v>
      </c>
      <c r="Q532" s="2">
        <v>1.6129381929883644E-2</v>
      </c>
      <c r="R532" s="2">
        <v>1.6129381929883644E-2</v>
      </c>
    </row>
    <row r="533" spans="1:18" x14ac:dyDescent="0.3">
      <c r="A533" s="7">
        <v>980</v>
      </c>
      <c r="B533" s="7">
        <v>150</v>
      </c>
      <c r="C533" s="7">
        <v>0</v>
      </c>
      <c r="D533" s="7">
        <v>0</v>
      </c>
      <c r="E533" s="20" t="str">
        <f t="shared" si="8"/>
        <v>00</v>
      </c>
      <c r="F533" s="21">
        <v>0.68961595146257904</v>
      </c>
      <c r="G533" s="4">
        <v>6.3E-2</v>
      </c>
      <c r="H533" s="4">
        <v>6.0120240480961901E-2</v>
      </c>
      <c r="I533" s="4">
        <v>0.23699999999999999</v>
      </c>
      <c r="J533" s="4">
        <v>0.23300000000000001</v>
      </c>
      <c r="K533" s="5">
        <v>100</v>
      </c>
      <c r="L533" s="5">
        <v>100</v>
      </c>
      <c r="M533" s="5">
        <v>100</v>
      </c>
      <c r="N533" s="5">
        <v>100</v>
      </c>
      <c r="O533" s="2">
        <v>6.5071996743714805E-2</v>
      </c>
      <c r="P533" s="2">
        <v>6.2003327305239248E-2</v>
      </c>
      <c r="Q533" s="2">
        <v>0.27049724769768002</v>
      </c>
      <c r="R533" s="2">
        <v>0.26526847761488087</v>
      </c>
    </row>
    <row r="534" spans="1:18" x14ac:dyDescent="0.3">
      <c r="A534" s="7">
        <v>959</v>
      </c>
      <c r="B534" s="7">
        <v>168</v>
      </c>
      <c r="C534" s="7">
        <v>0</v>
      </c>
      <c r="D534" s="7">
        <v>0</v>
      </c>
      <c r="E534" s="20" t="str">
        <f t="shared" si="8"/>
        <v>00</v>
      </c>
      <c r="F534" s="21">
        <v>0.69087674333033</v>
      </c>
      <c r="G534" s="4">
        <v>0.11</v>
      </c>
      <c r="H534" s="4">
        <v>0.103030303030303</v>
      </c>
      <c r="I534" s="4">
        <v>1.7999999999999999E-2</v>
      </c>
      <c r="J534" s="4">
        <v>1.6E-2</v>
      </c>
      <c r="K534" s="5">
        <v>100</v>
      </c>
      <c r="L534" s="5">
        <v>100</v>
      </c>
      <c r="M534" s="5">
        <v>100</v>
      </c>
      <c r="N534" s="5">
        <v>100</v>
      </c>
      <c r="O534" s="2">
        <v>0.11653381625595151</v>
      </c>
      <c r="P534" s="2">
        <v>0.10873320013646555</v>
      </c>
      <c r="Q534" s="2">
        <v>1.816397062767118E-2</v>
      </c>
      <c r="R534" s="2">
        <v>1.6129381929883644E-2</v>
      </c>
    </row>
    <row r="535" spans="1:18" x14ac:dyDescent="0.3">
      <c r="A535" s="7">
        <v>487</v>
      </c>
      <c r="B535" s="7">
        <v>162</v>
      </c>
      <c r="C535" s="7">
        <v>0</v>
      </c>
      <c r="D535" s="7">
        <v>0</v>
      </c>
      <c r="E535" s="20" t="str">
        <f t="shared" si="8"/>
        <v>00</v>
      </c>
      <c r="F535" s="21">
        <v>0.69278095307160503</v>
      </c>
      <c r="G535" s="4">
        <v>0.152</v>
      </c>
      <c r="H535" s="4">
        <v>0.124744376278119</v>
      </c>
      <c r="I535" s="4">
        <v>2.1999999999999999E-2</v>
      </c>
      <c r="J535" s="4">
        <v>3.5999999999999997E-2</v>
      </c>
      <c r="K535" s="5">
        <v>100</v>
      </c>
      <c r="L535" s="5">
        <v>100</v>
      </c>
      <c r="M535" s="5">
        <v>100</v>
      </c>
      <c r="N535" s="5">
        <v>100</v>
      </c>
      <c r="O535" s="2">
        <v>0.16487464319023401</v>
      </c>
      <c r="P535" s="2">
        <v>0.13323929389307565</v>
      </c>
      <c r="Q535" s="2">
        <v>2.2245608947319737E-2</v>
      </c>
      <c r="R535" s="2">
        <v>3.666398437159147E-2</v>
      </c>
    </row>
    <row r="536" spans="1:18" x14ac:dyDescent="0.3">
      <c r="A536" s="7">
        <v>983</v>
      </c>
      <c r="B536" s="7">
        <v>146</v>
      </c>
      <c r="C536" s="7">
        <v>0</v>
      </c>
      <c r="D536" s="7">
        <v>0</v>
      </c>
      <c r="E536" s="20" t="str">
        <f t="shared" si="8"/>
        <v>00</v>
      </c>
      <c r="F536" s="21">
        <v>0.69896822287086902</v>
      </c>
      <c r="G536" s="4">
        <v>0.308</v>
      </c>
      <c r="H536" s="4">
        <v>0.28041237113402101</v>
      </c>
      <c r="I536" s="4">
        <v>0.58399999999999996</v>
      </c>
      <c r="J536" s="4">
        <v>0.56399999999999995</v>
      </c>
      <c r="K536" s="5">
        <v>100</v>
      </c>
      <c r="L536" s="5">
        <v>100</v>
      </c>
      <c r="M536" s="5">
        <v>0</v>
      </c>
      <c r="N536" s="5">
        <v>0</v>
      </c>
      <c r="O536" s="2">
        <v>0.36816932336446756</v>
      </c>
      <c r="P536" s="2">
        <v>0.32907696873505649</v>
      </c>
      <c r="Q536" s="2">
        <v>0.87707001872087365</v>
      </c>
      <c r="R536" s="2">
        <v>0.83011303563310257</v>
      </c>
    </row>
    <row r="537" spans="1:18" x14ac:dyDescent="0.3">
      <c r="A537" s="7">
        <v>385</v>
      </c>
      <c r="B537" s="7">
        <v>144</v>
      </c>
      <c r="C537" s="7">
        <v>0</v>
      </c>
      <c r="D537" s="7">
        <v>0</v>
      </c>
      <c r="E537" s="20" t="str">
        <f t="shared" si="8"/>
        <v>00</v>
      </c>
      <c r="F537" s="21">
        <v>0.70467462166009598</v>
      </c>
      <c r="G537" s="4">
        <v>0.32</v>
      </c>
      <c r="H537" s="4">
        <v>0.28041237113402101</v>
      </c>
      <c r="I537" s="4">
        <v>3.6999999999999998E-2</v>
      </c>
      <c r="J537" s="4">
        <v>2.9000000000000001E-2</v>
      </c>
      <c r="K537" s="5">
        <v>100</v>
      </c>
      <c r="L537" s="5">
        <v>100</v>
      </c>
      <c r="M537" s="5">
        <v>100</v>
      </c>
      <c r="N537" s="5">
        <v>100</v>
      </c>
      <c r="O537" s="2">
        <v>0.38566248081198479</v>
      </c>
      <c r="P537" s="2">
        <v>0.32907696873505649</v>
      </c>
      <c r="Q537" s="2">
        <v>3.7701867184011528E-2</v>
      </c>
      <c r="R537" s="2">
        <v>2.9428810690812168E-2</v>
      </c>
    </row>
    <row r="538" spans="1:18" x14ac:dyDescent="0.3">
      <c r="A538" s="7">
        <v>471</v>
      </c>
      <c r="B538" s="7">
        <v>131</v>
      </c>
      <c r="C538" s="7">
        <v>0</v>
      </c>
      <c r="D538" s="7">
        <v>0</v>
      </c>
      <c r="E538" s="20" t="str">
        <f t="shared" si="8"/>
        <v>00</v>
      </c>
      <c r="F538" s="21">
        <v>0.707046431413066</v>
      </c>
      <c r="G538" s="4">
        <v>0.12</v>
      </c>
      <c r="H538" s="4">
        <v>0.106425702811245</v>
      </c>
      <c r="I538" s="4">
        <v>2.3E-2</v>
      </c>
      <c r="J538" s="4">
        <v>1.9E-2</v>
      </c>
      <c r="K538" s="5">
        <v>100</v>
      </c>
      <c r="L538" s="5">
        <v>100</v>
      </c>
      <c r="M538" s="5">
        <v>100</v>
      </c>
      <c r="N538" s="5">
        <v>100</v>
      </c>
      <c r="O538" s="2">
        <v>0.12783337150988489</v>
      </c>
      <c r="P538" s="2">
        <v>0.1125257948584127</v>
      </c>
      <c r="Q538" s="2">
        <v>2.3268626939354331E-2</v>
      </c>
      <c r="R538" s="2">
        <v>1.9182819416773987E-2</v>
      </c>
    </row>
    <row r="539" spans="1:18" x14ac:dyDescent="0.3">
      <c r="A539" s="7">
        <v>187</v>
      </c>
      <c r="B539" s="7">
        <v>147</v>
      </c>
      <c r="C539" s="7">
        <v>0</v>
      </c>
      <c r="D539" s="7">
        <v>0</v>
      </c>
      <c r="E539" s="20" t="str">
        <f t="shared" si="8"/>
        <v>00</v>
      </c>
      <c r="F539" s="21">
        <v>0.71786150072734001</v>
      </c>
      <c r="G539" s="4">
        <v>0.17199999999999999</v>
      </c>
      <c r="H539" s="4">
        <v>0.156186612576065</v>
      </c>
      <c r="I539" s="4">
        <v>1.4E-2</v>
      </c>
      <c r="J539" s="4">
        <v>2.7E-2</v>
      </c>
      <c r="K539" s="5">
        <v>100</v>
      </c>
      <c r="L539" s="5">
        <v>100</v>
      </c>
      <c r="M539" s="5">
        <v>100</v>
      </c>
      <c r="N539" s="5">
        <v>100</v>
      </c>
      <c r="O539" s="2">
        <v>0.18874212459687728</v>
      </c>
      <c r="P539" s="2">
        <v>0.16982391378142697</v>
      </c>
      <c r="Q539" s="2">
        <v>1.4098924379501648E-2</v>
      </c>
      <c r="R539" s="2">
        <v>2.7371196796132015E-2</v>
      </c>
    </row>
    <row r="540" spans="1:18" x14ac:dyDescent="0.3">
      <c r="A540" s="7">
        <v>649</v>
      </c>
      <c r="B540" s="7">
        <v>157</v>
      </c>
      <c r="C540" s="7">
        <v>0</v>
      </c>
      <c r="D540" s="7">
        <v>0</v>
      </c>
      <c r="E540" s="20" t="str">
        <f t="shared" si="8"/>
        <v>00</v>
      </c>
      <c r="F540" s="21">
        <v>0.72052143923153</v>
      </c>
      <c r="G540" s="4">
        <v>0.154</v>
      </c>
      <c r="H540" s="4">
        <v>0.14457831325301199</v>
      </c>
      <c r="I540" s="4">
        <v>2.1999999999999999E-2</v>
      </c>
      <c r="J540" s="4">
        <v>2.9000000000000001E-2</v>
      </c>
      <c r="K540" s="5">
        <v>100</v>
      </c>
      <c r="L540" s="5">
        <v>100</v>
      </c>
      <c r="M540" s="5">
        <v>100</v>
      </c>
      <c r="N540" s="5">
        <v>100</v>
      </c>
      <c r="O540" s="2">
        <v>0.16723591937591381</v>
      </c>
      <c r="P540" s="2">
        <v>0.15616073075528239</v>
      </c>
      <c r="Q540" s="2">
        <v>2.2245608947319737E-2</v>
      </c>
      <c r="R540" s="2">
        <v>2.9428810690812168E-2</v>
      </c>
    </row>
    <row r="541" spans="1:18" x14ac:dyDescent="0.3">
      <c r="A541" s="7">
        <v>179</v>
      </c>
      <c r="B541" s="7">
        <v>128</v>
      </c>
      <c r="C541" s="7">
        <v>0</v>
      </c>
      <c r="D541" s="7">
        <v>0</v>
      </c>
      <c r="E541" s="20" t="str">
        <f t="shared" si="8"/>
        <v>00</v>
      </c>
      <c r="F541" s="21">
        <v>0.72176361811075695</v>
      </c>
      <c r="G541" s="4">
        <v>6.8000000000000005E-2</v>
      </c>
      <c r="H541" s="4">
        <v>6.4128256513026005E-2</v>
      </c>
      <c r="I541" s="4">
        <v>2.1999999999999999E-2</v>
      </c>
      <c r="J541" s="4">
        <v>0.03</v>
      </c>
      <c r="K541" s="5">
        <v>100</v>
      </c>
      <c r="L541" s="5">
        <v>100</v>
      </c>
      <c r="M541" s="5">
        <v>100</v>
      </c>
      <c r="N541" s="5">
        <v>100</v>
      </c>
      <c r="O541" s="2">
        <v>7.0422464296545931E-2</v>
      </c>
      <c r="P541" s="2">
        <v>6.6276838082621303E-2</v>
      </c>
      <c r="Q541" s="2">
        <v>2.2245608947319737E-2</v>
      </c>
      <c r="R541" s="2">
        <v>3.0459207484708574E-2</v>
      </c>
    </row>
    <row r="542" spans="1:18" x14ac:dyDescent="0.3">
      <c r="A542" s="7">
        <v>435</v>
      </c>
      <c r="B542" s="7">
        <v>137</v>
      </c>
      <c r="C542" s="7">
        <v>0</v>
      </c>
      <c r="D542" s="7">
        <v>0</v>
      </c>
      <c r="E542" s="20" t="str">
        <f t="shared" si="8"/>
        <v>00</v>
      </c>
      <c r="F542" s="21">
        <v>0.72239580441084605</v>
      </c>
      <c r="G542" s="4">
        <v>0.38500000000000001</v>
      </c>
      <c r="H542" s="4">
        <v>0.30616740088105698</v>
      </c>
      <c r="I542" s="4">
        <v>4.9000000000000002E-2</v>
      </c>
      <c r="J542" s="4">
        <v>4.5999999999999999E-2</v>
      </c>
      <c r="K542" s="5">
        <v>100</v>
      </c>
      <c r="L542" s="5">
        <v>100</v>
      </c>
      <c r="M542" s="5">
        <v>100</v>
      </c>
      <c r="N542" s="5">
        <v>100</v>
      </c>
      <c r="O542" s="2">
        <v>0.48613301117561919</v>
      </c>
      <c r="P542" s="2">
        <v>0.36552455921571453</v>
      </c>
      <c r="Q542" s="2">
        <v>5.024121643674679E-2</v>
      </c>
      <c r="R542" s="2">
        <v>4.7091607533850569E-2</v>
      </c>
    </row>
    <row r="543" spans="1:18" x14ac:dyDescent="0.3">
      <c r="A543" s="7">
        <v>310</v>
      </c>
      <c r="B543" s="7">
        <v>150</v>
      </c>
      <c r="C543" s="7">
        <v>0</v>
      </c>
      <c r="D543" s="7">
        <v>0</v>
      </c>
      <c r="E543" s="20" t="str">
        <f t="shared" si="8"/>
        <v>00</v>
      </c>
      <c r="F543" s="21">
        <v>0.72321002907433296</v>
      </c>
      <c r="G543" s="4">
        <v>6.3E-2</v>
      </c>
      <c r="H543" s="4">
        <v>5.2313883299798802E-2</v>
      </c>
      <c r="I543" s="4">
        <v>1.4999999999999999E-2</v>
      </c>
      <c r="J543" s="4">
        <v>2.5000000000000001E-2</v>
      </c>
      <c r="K543" s="5">
        <v>100</v>
      </c>
      <c r="L543" s="5">
        <v>100</v>
      </c>
      <c r="M543" s="5">
        <v>100</v>
      </c>
      <c r="N543" s="5">
        <v>100</v>
      </c>
      <c r="O543" s="2">
        <v>6.5071996743714805E-2</v>
      </c>
      <c r="P543" s="2">
        <v>5.3731932080210987E-2</v>
      </c>
      <c r="Q543" s="2">
        <v>1.5113637810048184E-2</v>
      </c>
      <c r="R543" s="2">
        <v>2.5317807984289897E-2</v>
      </c>
    </row>
    <row r="544" spans="1:18" x14ac:dyDescent="0.3">
      <c r="A544" s="7">
        <v>627</v>
      </c>
      <c r="B544" s="7">
        <v>124</v>
      </c>
      <c r="C544" s="7">
        <v>0</v>
      </c>
      <c r="D544" s="7">
        <v>0</v>
      </c>
      <c r="E544" s="20" t="str">
        <f t="shared" si="8"/>
        <v>00</v>
      </c>
      <c r="F544" s="21">
        <v>0.72964506274073704</v>
      </c>
      <c r="G544" s="4">
        <v>0.215</v>
      </c>
      <c r="H544" s="4">
        <v>0.18049792531120301</v>
      </c>
      <c r="I544" s="4">
        <v>4.1000000000000002E-2</v>
      </c>
      <c r="J544" s="4">
        <v>3.7999999999999999E-2</v>
      </c>
      <c r="K544" s="5">
        <v>100</v>
      </c>
      <c r="L544" s="5">
        <v>100</v>
      </c>
      <c r="M544" s="5">
        <v>100</v>
      </c>
      <c r="N544" s="5">
        <v>100</v>
      </c>
      <c r="O544" s="2">
        <v>0.24207156119972859</v>
      </c>
      <c r="P544" s="2">
        <v>0.19905834914947806</v>
      </c>
      <c r="Q544" s="2">
        <v>4.1864204098698871E-2</v>
      </c>
      <c r="R544" s="2">
        <v>3.8740828316430595E-2</v>
      </c>
    </row>
    <row r="545" spans="1:18" x14ac:dyDescent="0.3">
      <c r="A545" s="7">
        <v>229</v>
      </c>
      <c r="B545" s="7">
        <v>146</v>
      </c>
      <c r="C545" s="7">
        <v>0</v>
      </c>
      <c r="D545" s="7">
        <v>0</v>
      </c>
      <c r="E545" s="20" t="str">
        <f t="shared" si="8"/>
        <v>00</v>
      </c>
      <c r="F545" s="21">
        <v>0.72971472205972399</v>
      </c>
      <c r="G545" s="4">
        <v>0.185</v>
      </c>
      <c r="H545" s="4">
        <v>0.15071283095723001</v>
      </c>
      <c r="I545" s="4">
        <v>1.6E-2</v>
      </c>
      <c r="J545" s="4">
        <v>2.5000000000000001E-2</v>
      </c>
      <c r="K545" s="5">
        <v>100</v>
      </c>
      <c r="L545" s="5">
        <v>100</v>
      </c>
      <c r="M545" s="5">
        <v>100</v>
      </c>
      <c r="N545" s="5">
        <v>100</v>
      </c>
      <c r="O545" s="2">
        <v>0.2045671657412744</v>
      </c>
      <c r="P545" s="2">
        <v>0.16335790599571895</v>
      </c>
      <c r="Q545" s="2">
        <v>1.6129381929883644E-2</v>
      </c>
      <c r="R545" s="2">
        <v>2.5317807984289897E-2</v>
      </c>
    </row>
    <row r="546" spans="1:18" x14ac:dyDescent="0.3">
      <c r="A546" s="7">
        <v>578</v>
      </c>
      <c r="B546" s="7">
        <v>164</v>
      </c>
      <c r="C546" s="7">
        <v>0</v>
      </c>
      <c r="D546" s="7">
        <v>0</v>
      </c>
      <c r="E546" s="20" t="str">
        <f t="shared" si="8"/>
        <v>00</v>
      </c>
      <c r="F546" s="21">
        <v>0.72990802158692103</v>
      </c>
      <c r="G546" s="4">
        <v>0.224</v>
      </c>
      <c r="H546" s="4">
        <v>0.17768595041322299</v>
      </c>
      <c r="I546" s="4">
        <v>2.1999999999999999E-2</v>
      </c>
      <c r="J546" s="4">
        <v>1.7000000000000001E-2</v>
      </c>
      <c r="K546" s="5">
        <v>100</v>
      </c>
      <c r="L546" s="5">
        <v>100</v>
      </c>
      <c r="M546" s="5">
        <v>100</v>
      </c>
      <c r="N546" s="5">
        <v>100</v>
      </c>
      <c r="O546" s="2">
        <v>0.25360275879891825</v>
      </c>
      <c r="P546" s="2">
        <v>0.19563290143219383</v>
      </c>
      <c r="Q546" s="2">
        <v>2.2245608947319737E-2</v>
      </c>
      <c r="R546" s="2">
        <v>1.7146158834970514E-2</v>
      </c>
    </row>
    <row r="547" spans="1:18" x14ac:dyDescent="0.3">
      <c r="A547" s="7">
        <v>996</v>
      </c>
      <c r="B547" s="7">
        <v>130</v>
      </c>
      <c r="C547" s="7">
        <v>0</v>
      </c>
      <c r="D547" s="7">
        <v>0</v>
      </c>
      <c r="E547" s="20" t="str">
        <f t="shared" si="8"/>
        <v>00</v>
      </c>
      <c r="F547" s="21">
        <v>0.73437169497725896</v>
      </c>
      <c r="G547" s="4">
        <v>0.27700000000000002</v>
      </c>
      <c r="H547" s="4">
        <v>0.23739495798319299</v>
      </c>
      <c r="I547" s="4">
        <v>2.8000000000000001E-2</v>
      </c>
      <c r="J547" s="4">
        <v>3.6999999999999998E-2</v>
      </c>
      <c r="K547" s="5">
        <v>100</v>
      </c>
      <c r="L547" s="5">
        <v>100</v>
      </c>
      <c r="M547" s="5">
        <v>100</v>
      </c>
      <c r="N547" s="5">
        <v>100</v>
      </c>
      <c r="O547" s="2">
        <v>0.32434605682337242</v>
      </c>
      <c r="P547" s="2">
        <v>0.27101501996656885</v>
      </c>
      <c r="Q547" s="2">
        <v>2.8399474521698002E-2</v>
      </c>
      <c r="R547" s="2">
        <v>3.7701867184011528E-2</v>
      </c>
    </row>
    <row r="548" spans="1:18" x14ac:dyDescent="0.3">
      <c r="A548" s="7">
        <v>517</v>
      </c>
      <c r="B548" s="7">
        <v>133</v>
      </c>
      <c r="C548" s="7">
        <v>0</v>
      </c>
      <c r="D548" s="7">
        <v>0</v>
      </c>
      <c r="E548" s="20" t="str">
        <f t="shared" si="8"/>
        <v>00</v>
      </c>
      <c r="F548" s="21">
        <v>0.73784967591606099</v>
      </c>
      <c r="G548" s="4">
        <v>0.19</v>
      </c>
      <c r="H548" s="4">
        <v>0.16700201207243501</v>
      </c>
      <c r="I548" s="4">
        <v>0.12</v>
      </c>
      <c r="J548" s="4">
        <v>0.10299999999999999</v>
      </c>
      <c r="K548" s="5">
        <v>100</v>
      </c>
      <c r="L548" s="5">
        <v>100</v>
      </c>
      <c r="M548" s="5">
        <v>100</v>
      </c>
      <c r="N548" s="5">
        <v>100</v>
      </c>
      <c r="O548" s="2">
        <v>0.21072103131565253</v>
      </c>
      <c r="P548" s="2">
        <v>0.18272405227131486</v>
      </c>
      <c r="Q548" s="2">
        <v>0.12783337150988489</v>
      </c>
      <c r="R548" s="2">
        <v>0.10869941692334091</v>
      </c>
    </row>
    <row r="549" spans="1:18" x14ac:dyDescent="0.3">
      <c r="A549" s="7">
        <v>845</v>
      </c>
      <c r="B549" s="7">
        <v>126</v>
      </c>
      <c r="C549" s="7">
        <v>0</v>
      </c>
      <c r="D549" s="7">
        <v>0</v>
      </c>
      <c r="E549" s="20" t="str">
        <f t="shared" si="8"/>
        <v>00</v>
      </c>
      <c r="F549" s="21">
        <v>0.74676276425908605</v>
      </c>
      <c r="G549" s="4">
        <v>0.22600000000000001</v>
      </c>
      <c r="H549" s="4">
        <v>0.184804928131417</v>
      </c>
      <c r="I549" s="4">
        <v>2.3E-2</v>
      </c>
      <c r="J549" s="4">
        <v>2.8000000000000001E-2</v>
      </c>
      <c r="K549" s="5">
        <v>100</v>
      </c>
      <c r="L549" s="5">
        <v>100</v>
      </c>
      <c r="M549" s="5">
        <v>100</v>
      </c>
      <c r="N549" s="5">
        <v>100</v>
      </c>
      <c r="O549" s="2">
        <v>0.25618340539240991</v>
      </c>
      <c r="P549" s="2">
        <v>0.20432784239539961</v>
      </c>
      <c r="Q549" s="2">
        <v>2.3268626939354331E-2</v>
      </c>
      <c r="R549" s="2">
        <v>2.8399474521698002E-2</v>
      </c>
    </row>
    <row r="550" spans="1:18" x14ac:dyDescent="0.3">
      <c r="A550" s="7">
        <v>439</v>
      </c>
      <c r="B550" s="7">
        <v>145</v>
      </c>
      <c r="C550" s="7">
        <v>0</v>
      </c>
      <c r="D550" s="7">
        <v>0</v>
      </c>
      <c r="E550" s="20" t="str">
        <f t="shared" si="8"/>
        <v>00</v>
      </c>
      <c r="F550" s="21">
        <v>0.74972790804324796</v>
      </c>
      <c r="G550" s="4">
        <v>0.35799999999999998</v>
      </c>
      <c r="H550" s="4">
        <v>0.33622559652928402</v>
      </c>
      <c r="I550" s="4">
        <v>1.0999999999999999E-2</v>
      </c>
      <c r="J550" s="4">
        <v>2.3E-2</v>
      </c>
      <c r="K550" s="5">
        <v>100</v>
      </c>
      <c r="L550" s="5">
        <v>100</v>
      </c>
      <c r="M550" s="5">
        <v>100</v>
      </c>
      <c r="N550" s="5">
        <v>100</v>
      </c>
      <c r="O550" s="2">
        <v>0.44316697529217586</v>
      </c>
      <c r="P550" s="2">
        <v>0.40981294104426746</v>
      </c>
      <c r="Q550" s="2">
        <v>1.1060947359424948E-2</v>
      </c>
      <c r="R550" s="2">
        <v>2.3268626939354331E-2</v>
      </c>
    </row>
    <row r="551" spans="1:18" x14ac:dyDescent="0.3">
      <c r="A551" s="7">
        <v>146</v>
      </c>
      <c r="B551" s="7">
        <v>127</v>
      </c>
      <c r="C551" s="7">
        <v>0</v>
      </c>
      <c r="D551" s="7">
        <v>0</v>
      </c>
      <c r="E551" s="20" t="str">
        <f t="shared" si="8"/>
        <v>00</v>
      </c>
      <c r="F551" s="21">
        <v>0.75096797632696899</v>
      </c>
      <c r="G551" s="4">
        <v>0.121</v>
      </c>
      <c r="H551" s="4">
        <v>0.116935483870968</v>
      </c>
      <c r="I551" s="4">
        <v>0.29899999999999999</v>
      </c>
      <c r="J551" s="4">
        <v>0.30499999999999999</v>
      </c>
      <c r="K551" s="5">
        <v>100</v>
      </c>
      <c r="L551" s="5">
        <v>100</v>
      </c>
      <c r="M551" s="5">
        <v>100</v>
      </c>
      <c r="N551" s="5">
        <v>100</v>
      </c>
      <c r="O551" s="2">
        <v>0.12897038129696006</v>
      </c>
      <c r="P551" s="2">
        <v>0.12435701634848162</v>
      </c>
      <c r="Q551" s="2">
        <v>0.35524739194754684</v>
      </c>
      <c r="R551" s="2">
        <v>0.36384343341734482</v>
      </c>
    </row>
    <row r="552" spans="1:18" x14ac:dyDescent="0.3">
      <c r="A552" s="7">
        <v>171</v>
      </c>
      <c r="B552" s="7">
        <v>130</v>
      </c>
      <c r="C552" s="7">
        <v>0</v>
      </c>
      <c r="D552" s="7">
        <v>0</v>
      </c>
      <c r="E552" s="20" t="str">
        <f t="shared" si="8"/>
        <v>00</v>
      </c>
      <c r="F552" s="21">
        <v>0.75361327529558897</v>
      </c>
      <c r="G552" s="4">
        <v>0.104</v>
      </c>
      <c r="H552" s="4">
        <v>0.104294478527607</v>
      </c>
      <c r="I552" s="4">
        <v>2.1000000000000001E-2</v>
      </c>
      <c r="J552" s="4">
        <v>2.5000000000000001E-2</v>
      </c>
      <c r="K552" s="5">
        <v>100</v>
      </c>
      <c r="L552" s="5">
        <v>100</v>
      </c>
      <c r="M552" s="5">
        <v>100</v>
      </c>
      <c r="N552" s="5">
        <v>100</v>
      </c>
      <c r="O552" s="2">
        <v>0.10981486600720657</v>
      </c>
      <c r="P552" s="2">
        <v>0.11014357909842547</v>
      </c>
      <c r="Q552" s="2">
        <v>2.1223636451626688E-2</v>
      </c>
      <c r="R552" s="2">
        <v>2.5317807984289897E-2</v>
      </c>
    </row>
    <row r="553" spans="1:18" x14ac:dyDescent="0.3">
      <c r="A553" s="7">
        <v>286</v>
      </c>
      <c r="B553" s="7">
        <v>135</v>
      </c>
      <c r="C553" s="7">
        <v>0</v>
      </c>
      <c r="D553" s="7">
        <v>0</v>
      </c>
      <c r="E553" s="20" t="str">
        <f t="shared" si="8"/>
        <v>00</v>
      </c>
      <c r="F553" s="21">
        <v>0.756684467162686</v>
      </c>
      <c r="G553" s="4">
        <v>0.19600000000000001</v>
      </c>
      <c r="H553" s="4">
        <v>0.161490683229814</v>
      </c>
      <c r="I553" s="4">
        <v>3.4000000000000002E-2</v>
      </c>
      <c r="J553" s="4">
        <v>3.9E-2</v>
      </c>
      <c r="K553" s="5">
        <v>100</v>
      </c>
      <c r="L553" s="5">
        <v>100</v>
      </c>
      <c r="M553" s="5">
        <v>100</v>
      </c>
      <c r="N553" s="5">
        <v>100</v>
      </c>
      <c r="O553" s="2">
        <v>0.21815600980317063</v>
      </c>
      <c r="P553" s="2">
        <v>0.17612958654603392</v>
      </c>
      <c r="Q553" s="2">
        <v>3.459144476961909E-2</v>
      </c>
      <c r="R553" s="2">
        <v>3.9780870011844598E-2</v>
      </c>
    </row>
    <row r="554" spans="1:18" x14ac:dyDescent="0.3">
      <c r="A554" s="7">
        <v>336</v>
      </c>
      <c r="B554" s="7">
        <v>149</v>
      </c>
      <c r="C554" s="7">
        <v>0</v>
      </c>
      <c r="D554" s="7">
        <v>0</v>
      </c>
      <c r="E554" s="20" t="str">
        <f t="shared" si="8"/>
        <v>00</v>
      </c>
      <c r="F554" s="21">
        <v>0.76007197820857397</v>
      </c>
      <c r="G554" s="4">
        <v>0.30499999999999999</v>
      </c>
      <c r="H554" s="4">
        <v>0.31492842535787302</v>
      </c>
      <c r="I554" s="4">
        <v>1.0999999999999999E-2</v>
      </c>
      <c r="J554" s="4">
        <v>1.6E-2</v>
      </c>
      <c r="K554" s="5">
        <v>100</v>
      </c>
      <c r="L554" s="5">
        <v>100</v>
      </c>
      <c r="M554" s="5">
        <v>100</v>
      </c>
      <c r="N554" s="5">
        <v>100</v>
      </c>
      <c r="O554" s="2">
        <v>0.36384343341734482</v>
      </c>
      <c r="P554" s="2">
        <v>0.37823195764980533</v>
      </c>
      <c r="Q554" s="2">
        <v>1.1060947359424948E-2</v>
      </c>
      <c r="R554" s="2">
        <v>1.6129381929883644E-2</v>
      </c>
    </row>
    <row r="555" spans="1:18" x14ac:dyDescent="0.3">
      <c r="A555" s="7">
        <v>117</v>
      </c>
      <c r="B555" s="7">
        <v>125</v>
      </c>
      <c r="C555" s="7">
        <v>0</v>
      </c>
      <c r="D555" s="7">
        <v>0</v>
      </c>
      <c r="E555" s="20" t="str">
        <f t="shared" si="8"/>
        <v>00</v>
      </c>
      <c r="F555" s="21">
        <v>0.76093166921419497</v>
      </c>
      <c r="G555" s="4">
        <v>0.20100000000000001</v>
      </c>
      <c r="H555" s="4">
        <v>0.18126272912423599</v>
      </c>
      <c r="I555" s="4">
        <v>0.03</v>
      </c>
      <c r="J555" s="4">
        <v>2.4E-2</v>
      </c>
      <c r="K555" s="5">
        <v>100</v>
      </c>
      <c r="L555" s="5">
        <v>100</v>
      </c>
      <c r="M555" s="5">
        <v>100</v>
      </c>
      <c r="N555" s="5">
        <v>100</v>
      </c>
      <c r="O555" s="2">
        <v>0.22439433321586247</v>
      </c>
      <c r="P555" s="2">
        <v>0.19999203917549924</v>
      </c>
      <c r="Q555" s="2">
        <v>3.0459207484708574E-2</v>
      </c>
      <c r="R555" s="2">
        <v>2.4292692569044587E-2</v>
      </c>
    </row>
    <row r="556" spans="1:18" x14ac:dyDescent="0.3">
      <c r="A556" s="7">
        <v>557</v>
      </c>
      <c r="B556" s="7">
        <v>132</v>
      </c>
      <c r="C556" s="7">
        <v>0</v>
      </c>
      <c r="D556" s="7">
        <v>0</v>
      </c>
      <c r="E556" s="20" t="str">
        <f t="shared" si="8"/>
        <v>00</v>
      </c>
      <c r="F556" s="21">
        <v>0.76623441530500003</v>
      </c>
      <c r="G556" s="4">
        <v>0.13300000000000001</v>
      </c>
      <c r="H556" s="4">
        <v>0.13508064516129001</v>
      </c>
      <c r="I556" s="4">
        <v>1.4999999999999999E-2</v>
      </c>
      <c r="J556" s="4">
        <v>1.7000000000000001E-2</v>
      </c>
      <c r="K556" s="5">
        <v>100</v>
      </c>
      <c r="L556" s="5">
        <v>100</v>
      </c>
      <c r="M556" s="5">
        <v>100</v>
      </c>
      <c r="N556" s="5">
        <v>100</v>
      </c>
      <c r="O556" s="2">
        <v>0.1427163022015952</v>
      </c>
      <c r="P556" s="2">
        <v>0.14511900779691017</v>
      </c>
      <c r="Q556" s="2">
        <v>1.5113637810048184E-2</v>
      </c>
      <c r="R556" s="2">
        <v>1.7146158834970514E-2</v>
      </c>
    </row>
    <row r="557" spans="1:18" x14ac:dyDescent="0.3">
      <c r="A557" s="7">
        <v>755</v>
      </c>
      <c r="B557" s="7">
        <v>117</v>
      </c>
      <c r="C557" s="7">
        <v>0</v>
      </c>
      <c r="D557" s="7">
        <v>0</v>
      </c>
      <c r="E557" s="20" t="str">
        <f t="shared" si="8"/>
        <v>00</v>
      </c>
      <c r="F557" s="21">
        <v>0.77073376498365198</v>
      </c>
      <c r="G557" s="4">
        <v>8.2000000000000003E-2</v>
      </c>
      <c r="H557" s="4">
        <v>8.4677419354838704E-2</v>
      </c>
      <c r="I557" s="4">
        <v>2.5999999999999999E-2</v>
      </c>
      <c r="J557" s="4">
        <v>2.4E-2</v>
      </c>
      <c r="K557" s="5">
        <v>100</v>
      </c>
      <c r="L557" s="5">
        <v>100</v>
      </c>
      <c r="M557" s="5">
        <v>100</v>
      </c>
      <c r="N557" s="5">
        <v>100</v>
      </c>
      <c r="O557" s="2">
        <v>8.5557888361646545E-2</v>
      </c>
      <c r="P557" s="2">
        <v>8.8478728683579533E-2</v>
      </c>
      <c r="Q557" s="2">
        <v>2.6343975339601977E-2</v>
      </c>
      <c r="R557" s="2">
        <v>2.4292692569044587E-2</v>
      </c>
    </row>
    <row r="558" spans="1:18" x14ac:dyDescent="0.3">
      <c r="A558" s="7">
        <v>377</v>
      </c>
      <c r="B558" s="7">
        <v>125</v>
      </c>
      <c r="C558" s="7">
        <v>0</v>
      </c>
      <c r="D558" s="7">
        <v>0</v>
      </c>
      <c r="E558" s="20" t="str">
        <f t="shared" si="8"/>
        <v>00</v>
      </c>
      <c r="F558" s="21">
        <v>0.78289736648637998</v>
      </c>
      <c r="G558" s="4">
        <v>0.188</v>
      </c>
      <c r="H558" s="4">
        <v>0.18813905930470301</v>
      </c>
      <c r="I558" s="4">
        <v>2.7E-2</v>
      </c>
      <c r="J558" s="4">
        <v>2.5000000000000001E-2</v>
      </c>
      <c r="K558" s="5">
        <v>100</v>
      </c>
      <c r="L558" s="5">
        <v>100</v>
      </c>
      <c r="M558" s="5">
        <v>100</v>
      </c>
      <c r="N558" s="5">
        <v>100</v>
      </c>
      <c r="O558" s="2">
        <v>0.20825493882045903</v>
      </c>
      <c r="P558" s="2">
        <v>0.20842620878768101</v>
      </c>
      <c r="Q558" s="2">
        <v>2.7371196796132015E-2</v>
      </c>
      <c r="R558" s="2">
        <v>2.5317807984289897E-2</v>
      </c>
    </row>
    <row r="559" spans="1:18" x14ac:dyDescent="0.3">
      <c r="A559" s="7">
        <v>445</v>
      </c>
      <c r="B559" s="7">
        <v>195</v>
      </c>
      <c r="C559" s="7">
        <v>0</v>
      </c>
      <c r="D559" s="7">
        <v>0</v>
      </c>
      <c r="E559" s="20" t="str">
        <f t="shared" si="8"/>
        <v>00</v>
      </c>
      <c r="F559" s="21">
        <v>0.78797861658608703</v>
      </c>
      <c r="G559" s="4">
        <v>0.34899999999999998</v>
      </c>
      <c r="H559" s="4">
        <v>0.31856540084388202</v>
      </c>
      <c r="I559" s="4">
        <v>0.64600000000000002</v>
      </c>
      <c r="J559" s="4">
        <v>0.59399999999999997</v>
      </c>
      <c r="K559" s="5">
        <v>100</v>
      </c>
      <c r="L559" s="5">
        <v>100</v>
      </c>
      <c r="M559" s="5">
        <v>0</v>
      </c>
      <c r="N559" s="5">
        <v>0</v>
      </c>
      <c r="O559" s="2">
        <v>0.42924563677356775</v>
      </c>
      <c r="P559" s="2">
        <v>0.38355499847242025</v>
      </c>
      <c r="Q559" s="2">
        <v>1.0384583658483626</v>
      </c>
      <c r="R559" s="2">
        <v>0.90140211938040438</v>
      </c>
    </row>
    <row r="560" spans="1:18" x14ac:dyDescent="0.3">
      <c r="A560" s="7">
        <v>15</v>
      </c>
      <c r="B560" s="7">
        <v>133</v>
      </c>
      <c r="C560" s="7">
        <v>0</v>
      </c>
      <c r="D560" s="7">
        <v>0</v>
      </c>
      <c r="E560" s="20" t="str">
        <f t="shared" si="8"/>
        <v>00</v>
      </c>
      <c r="F560" s="21">
        <v>0.79124884289733299</v>
      </c>
      <c r="G560" s="4">
        <v>0.161</v>
      </c>
      <c r="H560" s="4">
        <v>0.15291750503018101</v>
      </c>
      <c r="I560" s="4">
        <v>2.7E-2</v>
      </c>
      <c r="J560" s="4">
        <v>3.5999999999999997E-2</v>
      </c>
      <c r="K560" s="5">
        <v>100</v>
      </c>
      <c r="L560" s="5">
        <v>100</v>
      </c>
      <c r="M560" s="5">
        <v>100</v>
      </c>
      <c r="N560" s="5">
        <v>100</v>
      </c>
      <c r="O560" s="2">
        <v>0.17554457251493091</v>
      </c>
      <c r="P560" s="2">
        <v>0.16595719241424717</v>
      </c>
      <c r="Q560" s="2">
        <v>2.7371196796132015E-2</v>
      </c>
      <c r="R560" s="2">
        <v>3.666398437159147E-2</v>
      </c>
    </row>
    <row r="561" spans="1:18" x14ac:dyDescent="0.3">
      <c r="A561" s="7">
        <v>116</v>
      </c>
      <c r="B561" s="7">
        <v>133</v>
      </c>
      <c r="C561" s="7">
        <v>0</v>
      </c>
      <c r="D561" s="7">
        <v>0</v>
      </c>
      <c r="E561" s="20" t="str">
        <f t="shared" si="8"/>
        <v>00</v>
      </c>
      <c r="F561" s="21">
        <v>0.79380411204226498</v>
      </c>
      <c r="G561" s="4">
        <v>0.23799999999999999</v>
      </c>
      <c r="H561" s="4">
        <v>0.21887550200803199</v>
      </c>
      <c r="I561" s="4">
        <v>5.0999999999999997E-2</v>
      </c>
      <c r="J561" s="4">
        <v>3.5999999999999997E-2</v>
      </c>
      <c r="K561" s="5">
        <v>100</v>
      </c>
      <c r="L561" s="5">
        <v>100</v>
      </c>
      <c r="M561" s="5">
        <v>100</v>
      </c>
      <c r="N561" s="5">
        <v>100</v>
      </c>
      <c r="O561" s="2">
        <v>0.27180872329549077</v>
      </c>
      <c r="P561" s="2">
        <v>0.24702073340620642</v>
      </c>
      <c r="Q561" s="2">
        <v>5.2346480372209236E-2</v>
      </c>
      <c r="R561" s="2">
        <v>3.666398437159147E-2</v>
      </c>
    </row>
    <row r="562" spans="1:18" x14ac:dyDescent="0.3">
      <c r="A562" s="7">
        <v>499</v>
      </c>
      <c r="B562" s="7">
        <v>122</v>
      </c>
      <c r="C562" s="7">
        <v>0</v>
      </c>
      <c r="D562" s="7">
        <v>0</v>
      </c>
      <c r="E562" s="20" t="str">
        <f t="shared" si="8"/>
        <v>00</v>
      </c>
      <c r="F562" s="21">
        <v>0.79557581653092002</v>
      </c>
      <c r="G562" s="4">
        <v>0.34899999999999998</v>
      </c>
      <c r="H562" s="4">
        <v>0.306695464362851</v>
      </c>
      <c r="I562" s="4">
        <v>0.97899999999999998</v>
      </c>
      <c r="J562" s="4">
        <v>0.98799999999999999</v>
      </c>
      <c r="K562" s="5">
        <v>100</v>
      </c>
      <c r="L562" s="5">
        <v>100</v>
      </c>
      <c r="M562" s="5">
        <v>0</v>
      </c>
      <c r="N562" s="5">
        <v>0</v>
      </c>
      <c r="O562" s="2">
        <v>0.42924563677356775</v>
      </c>
      <c r="P562" s="2">
        <v>0.36628593095621825</v>
      </c>
      <c r="Q562" s="2">
        <v>3.8632328412587134</v>
      </c>
      <c r="R562" s="2">
        <v>4.422848629194136</v>
      </c>
    </row>
    <row r="563" spans="1:18" x14ac:dyDescent="0.3">
      <c r="A563" s="7">
        <v>670</v>
      </c>
      <c r="B563" s="7">
        <v>128</v>
      </c>
      <c r="C563" s="7">
        <v>0</v>
      </c>
      <c r="D563" s="7">
        <v>0</v>
      </c>
      <c r="E563" s="20" t="str">
        <f t="shared" si="8"/>
        <v>00</v>
      </c>
      <c r="F563" s="21">
        <v>0.79577071965354496</v>
      </c>
      <c r="G563" s="4">
        <v>0.13300000000000001</v>
      </c>
      <c r="H563" s="4">
        <v>0.13827655310621201</v>
      </c>
      <c r="I563" s="4">
        <v>2.7E-2</v>
      </c>
      <c r="J563" s="4">
        <v>2.7E-2</v>
      </c>
      <c r="K563" s="5">
        <v>100</v>
      </c>
      <c r="L563" s="5">
        <v>100</v>
      </c>
      <c r="M563" s="5">
        <v>100</v>
      </c>
      <c r="N563" s="5">
        <v>100</v>
      </c>
      <c r="O563" s="2">
        <v>0.1427163022015952</v>
      </c>
      <c r="P563" s="2">
        <v>0.14882088706391008</v>
      </c>
      <c r="Q563" s="2">
        <v>2.7371196796132015E-2</v>
      </c>
      <c r="R563" s="2">
        <v>2.7371196796132015E-2</v>
      </c>
    </row>
    <row r="564" spans="1:18" x14ac:dyDescent="0.3">
      <c r="A564" s="7">
        <v>530</v>
      </c>
      <c r="B564" s="7">
        <v>287</v>
      </c>
      <c r="C564" s="7">
        <v>0</v>
      </c>
      <c r="D564" s="7">
        <v>0</v>
      </c>
      <c r="E564" s="20" t="str">
        <f t="shared" si="8"/>
        <v>00</v>
      </c>
      <c r="F564" s="21">
        <v>0.79855571019870397</v>
      </c>
      <c r="G564" s="4">
        <v>0.25800000000000001</v>
      </c>
      <c r="H564" s="4">
        <v>0.22292993630573199</v>
      </c>
      <c r="I564" s="4">
        <v>1.7999999999999999E-2</v>
      </c>
      <c r="J564" s="4">
        <v>2.1000000000000001E-2</v>
      </c>
      <c r="K564" s="5">
        <v>100</v>
      </c>
      <c r="L564" s="5">
        <v>100</v>
      </c>
      <c r="M564" s="5">
        <v>100</v>
      </c>
      <c r="N564" s="5">
        <v>100</v>
      </c>
      <c r="O564" s="2">
        <v>0.29840603581475661</v>
      </c>
      <c r="P564" s="2">
        <v>0.25222476061505089</v>
      </c>
      <c r="Q564" s="2">
        <v>1.816397062767118E-2</v>
      </c>
      <c r="R564" s="2">
        <v>2.1223636451626688E-2</v>
      </c>
    </row>
    <row r="565" spans="1:18" x14ac:dyDescent="0.3">
      <c r="A565" s="7">
        <v>363</v>
      </c>
      <c r="B565" s="7">
        <v>132</v>
      </c>
      <c r="C565" s="7">
        <v>0</v>
      </c>
      <c r="D565" s="7">
        <v>0</v>
      </c>
      <c r="E565" s="20" t="str">
        <f t="shared" si="8"/>
        <v>00</v>
      </c>
      <c r="F565" s="21">
        <v>0.80846442367680205</v>
      </c>
      <c r="G565" s="4">
        <v>5.1999999999999998E-2</v>
      </c>
      <c r="H565" s="4">
        <v>5.0505050505050497E-2</v>
      </c>
      <c r="I565" s="4">
        <v>1.4E-2</v>
      </c>
      <c r="J565" s="4">
        <v>1.9E-2</v>
      </c>
      <c r="K565" s="5">
        <v>100</v>
      </c>
      <c r="L565" s="5">
        <v>100</v>
      </c>
      <c r="M565" s="5">
        <v>100</v>
      </c>
      <c r="N565" s="5">
        <v>100</v>
      </c>
      <c r="O565" s="2">
        <v>5.3400776727115296E-2</v>
      </c>
      <c r="P565" s="2">
        <v>5.1825067864586023E-2</v>
      </c>
      <c r="Q565" s="2">
        <v>1.4098924379501648E-2</v>
      </c>
      <c r="R565" s="2">
        <v>1.9182819416773987E-2</v>
      </c>
    </row>
    <row r="566" spans="1:18" x14ac:dyDescent="0.3">
      <c r="A566" s="7">
        <v>333</v>
      </c>
      <c r="B566" s="7">
        <v>109</v>
      </c>
      <c r="C566" s="7">
        <v>0</v>
      </c>
      <c r="D566" s="7">
        <v>0</v>
      </c>
      <c r="E566" s="20" t="str">
        <f t="shared" si="8"/>
        <v>00</v>
      </c>
      <c r="F566" s="21">
        <v>0.82010973855296598</v>
      </c>
      <c r="G566" s="4">
        <v>0.59499999999999997</v>
      </c>
      <c r="H566" s="4">
        <v>0.44591029023746698</v>
      </c>
      <c r="I566" s="4">
        <v>1.7999999999999999E-2</v>
      </c>
      <c r="J566" s="4">
        <v>3.7999999999999999E-2</v>
      </c>
      <c r="K566" s="5">
        <v>0</v>
      </c>
      <c r="L566" s="5">
        <v>100</v>
      </c>
      <c r="M566" s="5">
        <v>100</v>
      </c>
      <c r="N566" s="5">
        <v>100</v>
      </c>
      <c r="O566" s="2">
        <v>0.90386821187559785</v>
      </c>
      <c r="P566" s="2">
        <v>0.59042867436495761</v>
      </c>
      <c r="Q566" s="2">
        <v>1.816397062767118E-2</v>
      </c>
      <c r="R566" s="2">
        <v>3.8740828316430595E-2</v>
      </c>
    </row>
    <row r="567" spans="1:18" x14ac:dyDescent="0.3">
      <c r="A567" s="7">
        <v>381</v>
      </c>
      <c r="B567" s="7">
        <v>108</v>
      </c>
      <c r="C567" s="7">
        <v>0</v>
      </c>
      <c r="D567" s="7">
        <v>0</v>
      </c>
      <c r="E567" s="20" t="str">
        <f t="shared" si="8"/>
        <v>00</v>
      </c>
      <c r="F567" s="21">
        <v>0.82040180905347004</v>
      </c>
      <c r="G567" s="4">
        <v>0.10100000000000001</v>
      </c>
      <c r="H567" s="4">
        <v>9.5141700404858295E-2</v>
      </c>
      <c r="I567" s="4">
        <v>2.1999999999999999E-2</v>
      </c>
      <c r="J567" s="4">
        <v>1.9E-2</v>
      </c>
      <c r="K567" s="5">
        <v>100</v>
      </c>
      <c r="L567" s="5">
        <v>100</v>
      </c>
      <c r="M567" s="5">
        <v>100</v>
      </c>
      <c r="N567" s="5">
        <v>100</v>
      </c>
      <c r="O567" s="2">
        <v>0.10647224451051676</v>
      </c>
      <c r="P567" s="2">
        <v>9.9976922574353616E-2</v>
      </c>
      <c r="Q567" s="2">
        <v>2.2245608947319737E-2</v>
      </c>
      <c r="R567" s="2">
        <v>1.9182819416773987E-2</v>
      </c>
    </row>
    <row r="568" spans="1:18" x14ac:dyDescent="0.3">
      <c r="A568" s="7">
        <v>497</v>
      </c>
      <c r="B568" s="7">
        <v>305</v>
      </c>
      <c r="C568" s="7">
        <v>0</v>
      </c>
      <c r="D568" s="7">
        <v>0</v>
      </c>
      <c r="E568" s="20" t="str">
        <f t="shared" si="8"/>
        <v>00</v>
      </c>
      <c r="F568" s="21">
        <v>0.82641576859898602</v>
      </c>
      <c r="G568" s="4">
        <v>0.2</v>
      </c>
      <c r="H568" s="4">
        <v>0.18237704918032799</v>
      </c>
      <c r="I568" s="4">
        <v>2.5999999999999999E-2</v>
      </c>
      <c r="J568" s="4">
        <v>1.7999999999999999E-2</v>
      </c>
      <c r="K568" s="5">
        <v>100</v>
      </c>
      <c r="L568" s="5">
        <v>100</v>
      </c>
      <c r="M568" s="5">
        <v>100</v>
      </c>
      <c r="N568" s="5">
        <v>100</v>
      </c>
      <c r="O568" s="2">
        <v>0.22314355131420971</v>
      </c>
      <c r="P568" s="2">
        <v>0.20135398896328394</v>
      </c>
      <c r="Q568" s="2">
        <v>2.6343975339601977E-2</v>
      </c>
      <c r="R568" s="2">
        <v>1.816397062767118E-2</v>
      </c>
    </row>
    <row r="569" spans="1:18" x14ac:dyDescent="0.3">
      <c r="A569" s="7">
        <v>572</v>
      </c>
      <c r="B569" s="7">
        <v>109</v>
      </c>
      <c r="C569" s="7">
        <v>0</v>
      </c>
      <c r="D569" s="7">
        <v>0</v>
      </c>
      <c r="E569" s="20" t="str">
        <f t="shared" si="8"/>
        <v>00</v>
      </c>
      <c r="F569" s="21">
        <v>0.83366070502752998</v>
      </c>
      <c r="G569" s="4">
        <v>0.13300000000000001</v>
      </c>
      <c r="H569" s="4">
        <v>0.132264529058116</v>
      </c>
      <c r="I569" s="4">
        <v>2.5000000000000001E-2</v>
      </c>
      <c r="J569" s="4">
        <v>3.2000000000000001E-2</v>
      </c>
      <c r="K569" s="5">
        <v>100</v>
      </c>
      <c r="L569" s="5">
        <v>100</v>
      </c>
      <c r="M569" s="5">
        <v>100</v>
      </c>
      <c r="N569" s="5">
        <v>100</v>
      </c>
      <c r="O569" s="2">
        <v>0.1427163022015952</v>
      </c>
      <c r="P569" s="2">
        <v>0.14186836774902858</v>
      </c>
      <c r="Q569" s="2">
        <v>2.5317807984289897E-2</v>
      </c>
      <c r="R569" s="2">
        <v>3.2523191705560062E-2</v>
      </c>
    </row>
    <row r="570" spans="1:18" x14ac:dyDescent="0.3">
      <c r="A570" s="7">
        <v>194</v>
      </c>
      <c r="B570" s="7">
        <v>203</v>
      </c>
      <c r="C570" s="7">
        <v>0</v>
      </c>
      <c r="D570" s="7">
        <v>0</v>
      </c>
      <c r="E570" s="20" t="str">
        <f t="shared" si="8"/>
        <v>00</v>
      </c>
      <c r="F570" s="21">
        <v>0.838752335172402</v>
      </c>
      <c r="G570" s="4">
        <v>0.14399999999999999</v>
      </c>
      <c r="H570" s="4">
        <v>0.12825651302605201</v>
      </c>
      <c r="I570" s="4">
        <v>0.17199999999999999</v>
      </c>
      <c r="J570" s="4">
        <v>0.17399999999999999</v>
      </c>
      <c r="K570" s="5">
        <v>100</v>
      </c>
      <c r="L570" s="5">
        <v>100</v>
      </c>
      <c r="M570" s="5">
        <v>100</v>
      </c>
      <c r="N570" s="5">
        <v>100</v>
      </c>
      <c r="O570" s="2">
        <v>0.15548490284039498</v>
      </c>
      <c r="P570" s="2">
        <v>0.13726006466283447</v>
      </c>
      <c r="Q570" s="2">
        <v>0.18874212459687728</v>
      </c>
      <c r="R570" s="2">
        <v>0.1911605054611589</v>
      </c>
    </row>
    <row r="571" spans="1:18" x14ac:dyDescent="0.3">
      <c r="A571" s="7">
        <v>397</v>
      </c>
      <c r="B571" s="7">
        <v>106</v>
      </c>
      <c r="C571" s="7">
        <v>0</v>
      </c>
      <c r="D571" s="7">
        <v>0</v>
      </c>
      <c r="E571" s="20" t="str">
        <f t="shared" si="8"/>
        <v>00</v>
      </c>
      <c r="F571" s="21">
        <v>0.84009410347181901</v>
      </c>
      <c r="G571" s="4">
        <v>0.32600000000000001</v>
      </c>
      <c r="H571" s="4">
        <v>0.27157894736842098</v>
      </c>
      <c r="I571" s="4">
        <v>5.6000000000000001E-2</v>
      </c>
      <c r="J571" s="4">
        <v>5.7000000000000002E-2</v>
      </c>
      <c r="K571" s="5">
        <v>100</v>
      </c>
      <c r="L571" s="5">
        <v>100</v>
      </c>
      <c r="M571" s="5">
        <v>100</v>
      </c>
      <c r="N571" s="5">
        <v>100</v>
      </c>
      <c r="O571" s="2">
        <v>0.39452516806983012</v>
      </c>
      <c r="P571" s="2">
        <v>0.31687602897691675</v>
      </c>
      <c r="Q571" s="2">
        <v>5.7629112836636416E-2</v>
      </c>
      <c r="R571" s="2">
        <v>5.8688996348679613E-2</v>
      </c>
    </row>
    <row r="572" spans="1:18" x14ac:dyDescent="0.3">
      <c r="A572" s="7">
        <v>131</v>
      </c>
      <c r="B572" s="7">
        <v>116</v>
      </c>
      <c r="C572" s="7">
        <v>0</v>
      </c>
      <c r="D572" s="7">
        <v>0</v>
      </c>
      <c r="E572" s="20" t="str">
        <f t="shared" si="8"/>
        <v>00</v>
      </c>
      <c r="F572" s="21">
        <v>0.84808756769683402</v>
      </c>
      <c r="G572" s="4">
        <v>0.20100000000000001</v>
      </c>
      <c r="H572" s="4">
        <v>0.21010101010101001</v>
      </c>
      <c r="I572" s="4">
        <v>4.2000000000000003E-2</v>
      </c>
      <c r="J572" s="4">
        <v>2.7E-2</v>
      </c>
      <c r="K572" s="5">
        <v>100</v>
      </c>
      <c r="L572" s="5">
        <v>100</v>
      </c>
      <c r="M572" s="5">
        <v>100</v>
      </c>
      <c r="N572" s="5">
        <v>100</v>
      </c>
      <c r="O572" s="2">
        <v>0.22439433321586247</v>
      </c>
      <c r="P572" s="2">
        <v>0.23585020258332443</v>
      </c>
      <c r="Q572" s="2">
        <v>4.290750101127655E-2</v>
      </c>
      <c r="R572" s="2">
        <v>2.7371196796132015E-2</v>
      </c>
    </row>
    <row r="573" spans="1:18" x14ac:dyDescent="0.3">
      <c r="A573" s="7">
        <v>222</v>
      </c>
      <c r="B573" s="7">
        <v>119</v>
      </c>
      <c r="C573" s="7">
        <v>0</v>
      </c>
      <c r="D573" s="7">
        <v>0</v>
      </c>
      <c r="E573" s="20" t="str">
        <f t="shared" si="8"/>
        <v>00</v>
      </c>
      <c r="F573" s="21">
        <v>0.84870058435225004</v>
      </c>
      <c r="G573" s="4">
        <v>0.16700000000000001</v>
      </c>
      <c r="H573" s="4">
        <v>0.15853658536585399</v>
      </c>
      <c r="I573" s="4">
        <v>2.7E-2</v>
      </c>
      <c r="J573" s="4">
        <v>3.1E-2</v>
      </c>
      <c r="K573" s="5">
        <v>100</v>
      </c>
      <c r="L573" s="5">
        <v>100</v>
      </c>
      <c r="M573" s="5">
        <v>100</v>
      </c>
      <c r="N573" s="5">
        <v>100</v>
      </c>
      <c r="O573" s="2">
        <v>0.18272163681529441</v>
      </c>
      <c r="P573" s="2">
        <v>0.17261274266699417</v>
      </c>
      <c r="Q573" s="2">
        <v>2.7371196796132015E-2</v>
      </c>
      <c r="R573" s="2">
        <v>3.1490667091370848E-2</v>
      </c>
    </row>
    <row r="574" spans="1:18" x14ac:dyDescent="0.3">
      <c r="A574" s="7">
        <v>302</v>
      </c>
      <c r="B574" s="7">
        <v>125</v>
      </c>
      <c r="C574" s="7">
        <v>0</v>
      </c>
      <c r="D574" s="7">
        <v>0</v>
      </c>
      <c r="E574" s="20" t="str">
        <f t="shared" si="8"/>
        <v>00</v>
      </c>
      <c r="F574" s="21">
        <v>0.855617163843293</v>
      </c>
      <c r="G574" s="4">
        <v>6.4000000000000001E-2</v>
      </c>
      <c r="H574" s="4">
        <v>6.8410462776660005E-2</v>
      </c>
      <c r="I574" s="4">
        <v>3.2000000000000001E-2</v>
      </c>
      <c r="J574" s="4">
        <v>2.5000000000000001E-2</v>
      </c>
      <c r="K574" s="5">
        <v>100</v>
      </c>
      <c r="L574" s="5">
        <v>100</v>
      </c>
      <c r="M574" s="5">
        <v>100</v>
      </c>
      <c r="N574" s="5">
        <v>100</v>
      </c>
      <c r="O574" s="2">
        <v>6.613980250454507E-2</v>
      </c>
      <c r="P574" s="2">
        <v>7.0862972010394654E-2</v>
      </c>
      <c r="Q574" s="2">
        <v>3.2523191705560062E-2</v>
      </c>
      <c r="R574" s="2">
        <v>2.5317807984289897E-2</v>
      </c>
    </row>
    <row r="575" spans="1:18" x14ac:dyDescent="0.3">
      <c r="A575" s="7">
        <v>432</v>
      </c>
      <c r="B575" s="7">
        <v>127</v>
      </c>
      <c r="C575" s="7">
        <v>0</v>
      </c>
      <c r="D575" s="7">
        <v>0</v>
      </c>
      <c r="E575" s="20" t="str">
        <f t="shared" si="8"/>
        <v>00</v>
      </c>
      <c r="F575" s="21">
        <v>0.85814277854346499</v>
      </c>
      <c r="G575" s="4">
        <v>0.112</v>
      </c>
      <c r="H575" s="4">
        <v>0.11156186612576099</v>
      </c>
      <c r="I575" s="4">
        <v>3.6999999999999998E-2</v>
      </c>
      <c r="J575" s="4">
        <v>3.4000000000000002E-2</v>
      </c>
      <c r="K575" s="5">
        <v>100</v>
      </c>
      <c r="L575" s="5">
        <v>100</v>
      </c>
      <c r="M575" s="5">
        <v>100</v>
      </c>
      <c r="N575" s="5">
        <v>100</v>
      </c>
      <c r="O575" s="2">
        <v>0.11878353598996698</v>
      </c>
      <c r="P575" s="2">
        <v>0.1182902636662444</v>
      </c>
      <c r="Q575" s="2">
        <v>3.7701867184011528E-2</v>
      </c>
      <c r="R575" s="2">
        <v>3.459144476961909E-2</v>
      </c>
    </row>
    <row r="576" spans="1:18" x14ac:dyDescent="0.3">
      <c r="A576" s="7">
        <v>108</v>
      </c>
      <c r="B576" s="7">
        <v>115</v>
      </c>
      <c r="C576" s="7">
        <v>0</v>
      </c>
      <c r="D576" s="7">
        <v>0</v>
      </c>
      <c r="E576" s="20" t="str">
        <f t="shared" si="8"/>
        <v>00</v>
      </c>
      <c r="F576" s="21">
        <v>0.86058873071995201</v>
      </c>
      <c r="G576" s="4">
        <v>9.8000000000000004E-2</v>
      </c>
      <c r="H576" s="4">
        <v>9.7363083164300201E-2</v>
      </c>
      <c r="I576" s="4">
        <v>1.9E-2</v>
      </c>
      <c r="J576" s="4">
        <v>2.1000000000000001E-2</v>
      </c>
      <c r="K576" s="5">
        <v>100</v>
      </c>
      <c r="L576" s="5">
        <v>100</v>
      </c>
      <c r="M576" s="5">
        <v>100</v>
      </c>
      <c r="N576" s="5">
        <v>100</v>
      </c>
      <c r="O576" s="2">
        <v>0.10314075891951337</v>
      </c>
      <c r="P576" s="2">
        <v>0.1024348918764499</v>
      </c>
      <c r="Q576" s="2">
        <v>1.9182819416773987E-2</v>
      </c>
      <c r="R576" s="2">
        <v>2.1223636451626688E-2</v>
      </c>
    </row>
    <row r="577" spans="1:18" x14ac:dyDescent="0.3">
      <c r="A577" s="7">
        <v>653</v>
      </c>
      <c r="B577" s="7">
        <v>125</v>
      </c>
      <c r="C577" s="7">
        <v>0</v>
      </c>
      <c r="D577" s="7">
        <v>0</v>
      </c>
      <c r="E577" s="20" t="str">
        <f t="shared" si="8"/>
        <v>00</v>
      </c>
      <c r="F577" s="21">
        <v>0.86548242566229805</v>
      </c>
      <c r="G577" s="4">
        <v>0.28599999999999998</v>
      </c>
      <c r="H577" s="4">
        <v>0.23667377398720699</v>
      </c>
      <c r="I577" s="4">
        <v>3.2000000000000001E-2</v>
      </c>
      <c r="J577" s="4">
        <v>0.02</v>
      </c>
      <c r="K577" s="5">
        <v>100</v>
      </c>
      <c r="L577" s="5">
        <v>100</v>
      </c>
      <c r="M577" s="5">
        <v>100</v>
      </c>
      <c r="N577" s="5">
        <v>100</v>
      </c>
      <c r="O577" s="2">
        <v>0.33687231664255274</v>
      </c>
      <c r="P577" s="2">
        <v>0.2700697820455793</v>
      </c>
      <c r="Q577" s="2">
        <v>3.2523191705560062E-2</v>
      </c>
      <c r="R577" s="2">
        <v>2.0202707317519466E-2</v>
      </c>
    </row>
    <row r="578" spans="1:18" x14ac:dyDescent="0.3">
      <c r="A578" s="7">
        <v>724</v>
      </c>
      <c r="B578" s="7">
        <v>106</v>
      </c>
      <c r="C578" s="7">
        <v>0</v>
      </c>
      <c r="D578" s="7">
        <v>0</v>
      </c>
      <c r="E578" s="20" t="str">
        <f t="shared" ref="E578:E641" si="9">_xlfn.CONCAT(C578,D578)</f>
        <v>00</v>
      </c>
      <c r="F578" s="21">
        <v>0.86821096649131002</v>
      </c>
      <c r="G578" s="4">
        <v>0.45600000000000002</v>
      </c>
      <c r="H578" s="4">
        <v>0.42398286937901503</v>
      </c>
      <c r="I578" s="4">
        <v>1.6E-2</v>
      </c>
      <c r="J578" s="4">
        <v>2.7E-2</v>
      </c>
      <c r="K578" s="5">
        <v>100</v>
      </c>
      <c r="L578" s="5">
        <v>100</v>
      </c>
      <c r="M578" s="5">
        <v>100</v>
      </c>
      <c r="N578" s="5">
        <v>100</v>
      </c>
      <c r="O578" s="2">
        <v>0.60880603212619433</v>
      </c>
      <c r="P578" s="2">
        <v>0.55161787806705842</v>
      </c>
      <c r="Q578" s="2">
        <v>1.6129381929883644E-2</v>
      </c>
      <c r="R578" s="2">
        <v>2.7371196796132015E-2</v>
      </c>
    </row>
    <row r="579" spans="1:18" x14ac:dyDescent="0.3">
      <c r="A579" s="7">
        <v>341</v>
      </c>
      <c r="B579" s="7">
        <v>241</v>
      </c>
      <c r="C579" s="7">
        <v>0</v>
      </c>
      <c r="D579" s="7">
        <v>0</v>
      </c>
      <c r="E579" s="20" t="str">
        <f t="shared" si="9"/>
        <v>00</v>
      </c>
      <c r="F579" s="21">
        <v>0.86984276884092904</v>
      </c>
      <c r="G579" s="4">
        <v>0.20200000000000001</v>
      </c>
      <c r="H579" s="4">
        <v>0.19262295081967201</v>
      </c>
      <c r="I579" s="4">
        <v>3.7999999999999999E-2</v>
      </c>
      <c r="J579" s="4">
        <v>3.4000000000000002E-2</v>
      </c>
      <c r="K579" s="5">
        <v>100</v>
      </c>
      <c r="L579" s="5">
        <v>100</v>
      </c>
      <c r="M579" s="5">
        <v>100</v>
      </c>
      <c r="N579" s="5">
        <v>100</v>
      </c>
      <c r="O579" s="2">
        <v>0.22564668153232822</v>
      </c>
      <c r="P579" s="2">
        <v>0.21396449655521316</v>
      </c>
      <c r="Q579" s="2">
        <v>3.8740828316430595E-2</v>
      </c>
      <c r="R579" s="2">
        <v>3.459144476961909E-2</v>
      </c>
    </row>
    <row r="580" spans="1:18" x14ac:dyDescent="0.3">
      <c r="A580" s="7">
        <v>968</v>
      </c>
      <c r="B580" s="7">
        <v>127</v>
      </c>
      <c r="C580" s="7">
        <v>0</v>
      </c>
      <c r="D580" s="7">
        <v>0</v>
      </c>
      <c r="E580" s="20" t="str">
        <f t="shared" si="9"/>
        <v>00</v>
      </c>
      <c r="F580" s="21">
        <v>0.87228530809303695</v>
      </c>
      <c r="G580" s="4">
        <v>0.159</v>
      </c>
      <c r="H580" s="4">
        <v>0.157258064516129</v>
      </c>
      <c r="I580" s="4">
        <v>2.3E-2</v>
      </c>
      <c r="J580" s="4">
        <v>2.3E-2</v>
      </c>
      <c r="K580" s="5">
        <v>100</v>
      </c>
      <c r="L580" s="5">
        <v>100</v>
      </c>
      <c r="M580" s="5">
        <v>100</v>
      </c>
      <c r="N580" s="5">
        <v>100</v>
      </c>
      <c r="O580" s="2">
        <v>0.17316361900918903</v>
      </c>
      <c r="P580" s="2">
        <v>0.17109449420017114</v>
      </c>
      <c r="Q580" s="2">
        <v>2.3268626939354331E-2</v>
      </c>
      <c r="R580" s="2">
        <v>2.3268626939354331E-2</v>
      </c>
    </row>
    <row r="581" spans="1:18" x14ac:dyDescent="0.3">
      <c r="A581" s="7">
        <v>281</v>
      </c>
      <c r="B581" s="7">
        <v>106</v>
      </c>
      <c r="C581" s="7">
        <v>0</v>
      </c>
      <c r="D581" s="7">
        <v>0</v>
      </c>
      <c r="E581" s="20" t="str">
        <f t="shared" si="9"/>
        <v>00</v>
      </c>
      <c r="F581" s="21">
        <v>0.87486815303003396</v>
      </c>
      <c r="G581" s="4">
        <v>0.222</v>
      </c>
      <c r="H581" s="4">
        <v>0.20841683366733499</v>
      </c>
      <c r="I581" s="4">
        <v>2.8000000000000001E-2</v>
      </c>
      <c r="J581" s="4">
        <v>3.7999999999999999E-2</v>
      </c>
      <c r="K581" s="5">
        <v>100</v>
      </c>
      <c r="L581" s="5">
        <v>100</v>
      </c>
      <c r="M581" s="5">
        <v>100</v>
      </c>
      <c r="N581" s="5">
        <v>100</v>
      </c>
      <c r="O581" s="2">
        <v>0.25102875480374542</v>
      </c>
      <c r="P581" s="2">
        <v>0.2337203308503972</v>
      </c>
      <c r="Q581" s="2">
        <v>2.8399474521698002E-2</v>
      </c>
      <c r="R581" s="2">
        <v>3.8740828316430595E-2</v>
      </c>
    </row>
    <row r="582" spans="1:18" x14ac:dyDescent="0.3">
      <c r="A582" s="7">
        <v>295</v>
      </c>
      <c r="B582" s="7">
        <v>120</v>
      </c>
      <c r="C582" s="7">
        <v>0</v>
      </c>
      <c r="D582" s="7">
        <v>0</v>
      </c>
      <c r="E582" s="20" t="str">
        <f t="shared" si="9"/>
        <v>00</v>
      </c>
      <c r="F582" s="21">
        <v>0.87915561556539401</v>
      </c>
      <c r="G582" s="4">
        <v>0.219</v>
      </c>
      <c r="H582" s="4">
        <v>0.18442622950819701</v>
      </c>
      <c r="I582" s="4">
        <v>1.2E-2</v>
      </c>
      <c r="J582" s="4">
        <v>2.4E-2</v>
      </c>
      <c r="K582" s="5">
        <v>100</v>
      </c>
      <c r="L582" s="5">
        <v>100</v>
      </c>
      <c r="M582" s="5">
        <v>100</v>
      </c>
      <c r="N582" s="5">
        <v>100</v>
      </c>
      <c r="O582" s="2">
        <v>0.24718012914245105</v>
      </c>
      <c r="P582" s="2">
        <v>0.2038634005687098</v>
      </c>
      <c r="Q582" s="2">
        <v>1.2072581234269249E-2</v>
      </c>
      <c r="R582" s="2">
        <v>2.4292692569044587E-2</v>
      </c>
    </row>
    <row r="583" spans="1:18" x14ac:dyDescent="0.3">
      <c r="A583" s="7">
        <v>154</v>
      </c>
      <c r="B583" s="7">
        <v>315</v>
      </c>
      <c r="C583" s="7">
        <v>0</v>
      </c>
      <c r="D583" s="7">
        <v>0</v>
      </c>
      <c r="E583" s="20" t="str">
        <f t="shared" si="9"/>
        <v>00</v>
      </c>
      <c r="F583" s="21">
        <v>0.87918561545543095</v>
      </c>
      <c r="G583" s="4">
        <v>0.10100000000000001</v>
      </c>
      <c r="H583" s="4">
        <v>7.3221757322175701E-2</v>
      </c>
      <c r="I583" s="4">
        <v>8.9999999999999993E-3</v>
      </c>
      <c r="J583" s="4">
        <v>1.0999999999999999E-2</v>
      </c>
      <c r="K583" s="5">
        <v>100</v>
      </c>
      <c r="L583" s="5">
        <v>100</v>
      </c>
      <c r="M583" s="5">
        <v>100</v>
      </c>
      <c r="N583" s="5">
        <v>100</v>
      </c>
      <c r="O583" s="2">
        <v>0.10647224451051676</v>
      </c>
      <c r="P583" s="2">
        <v>7.6040962446320332E-2</v>
      </c>
      <c r="Q583" s="2">
        <v>9.0407446521490707E-3</v>
      </c>
      <c r="R583" s="2">
        <v>1.1060947359424948E-2</v>
      </c>
    </row>
    <row r="584" spans="1:18" x14ac:dyDescent="0.3">
      <c r="A584" s="7">
        <v>637</v>
      </c>
      <c r="B584" s="7">
        <v>120</v>
      </c>
      <c r="C584" s="7">
        <v>0</v>
      </c>
      <c r="D584" s="7">
        <v>0</v>
      </c>
      <c r="E584" s="20" t="str">
        <f t="shared" si="9"/>
        <v>00</v>
      </c>
      <c r="F584" s="21">
        <v>0.88265292813252105</v>
      </c>
      <c r="G584" s="4">
        <v>0.16200000000000001</v>
      </c>
      <c r="H584" s="4">
        <v>0.16293279022403301</v>
      </c>
      <c r="I584" s="4">
        <v>3.3000000000000002E-2</v>
      </c>
      <c r="J584" s="4">
        <v>2.7E-2</v>
      </c>
      <c r="K584" s="5">
        <v>100</v>
      </c>
      <c r="L584" s="5">
        <v>100</v>
      </c>
      <c r="M584" s="5">
        <v>100</v>
      </c>
      <c r="N584" s="5">
        <v>100</v>
      </c>
      <c r="O584" s="2">
        <v>0.17673717850005405</v>
      </c>
      <c r="P584" s="2">
        <v>0.17785091329828642</v>
      </c>
      <c r="Q584" s="2">
        <v>3.3556783528842754E-2</v>
      </c>
      <c r="R584" s="2">
        <v>2.7371196796132015E-2</v>
      </c>
    </row>
    <row r="585" spans="1:18" x14ac:dyDescent="0.3">
      <c r="A585" s="7">
        <v>779</v>
      </c>
      <c r="B585" s="7">
        <v>106</v>
      </c>
      <c r="C585" s="7">
        <v>0</v>
      </c>
      <c r="D585" s="7">
        <v>0</v>
      </c>
      <c r="E585" s="20" t="str">
        <f t="shared" si="9"/>
        <v>00</v>
      </c>
      <c r="F585" s="21">
        <v>0.88591466965607302</v>
      </c>
      <c r="G585" s="4">
        <v>0.217</v>
      </c>
      <c r="H585" s="4">
        <v>0.15665236051502099</v>
      </c>
      <c r="I585" s="4">
        <v>2.7E-2</v>
      </c>
      <c r="J585" s="4">
        <v>1.4999999999999999E-2</v>
      </c>
      <c r="K585" s="5">
        <v>100</v>
      </c>
      <c r="L585" s="5">
        <v>100</v>
      </c>
      <c r="M585" s="5">
        <v>100</v>
      </c>
      <c r="N585" s="5">
        <v>100</v>
      </c>
      <c r="O585" s="2">
        <v>0.24462258299133391</v>
      </c>
      <c r="P585" s="2">
        <v>0.17037602225638404</v>
      </c>
      <c r="Q585" s="2">
        <v>2.7371196796132015E-2</v>
      </c>
      <c r="R585" s="2">
        <v>1.5113637810048184E-2</v>
      </c>
    </row>
    <row r="586" spans="1:18" x14ac:dyDescent="0.3">
      <c r="A586" s="7">
        <v>328</v>
      </c>
      <c r="B586" s="7">
        <v>106</v>
      </c>
      <c r="C586" s="7">
        <v>0</v>
      </c>
      <c r="D586" s="7">
        <v>0</v>
      </c>
      <c r="E586" s="20" t="str">
        <f t="shared" si="9"/>
        <v>00</v>
      </c>
      <c r="F586" s="21">
        <v>0.89033005121048103</v>
      </c>
      <c r="G586" s="4">
        <v>0.114</v>
      </c>
      <c r="H586" s="4">
        <v>0.123481781376518</v>
      </c>
      <c r="I586" s="4">
        <v>4.1000000000000002E-2</v>
      </c>
      <c r="J586" s="4">
        <v>3.5999999999999997E-2</v>
      </c>
      <c r="K586" s="5">
        <v>100</v>
      </c>
      <c r="L586" s="5">
        <v>100</v>
      </c>
      <c r="M586" s="5">
        <v>100</v>
      </c>
      <c r="N586" s="5">
        <v>100</v>
      </c>
      <c r="O586" s="2">
        <v>0.1210383283770561</v>
      </c>
      <c r="P586" s="2">
        <v>0.13179778918543242</v>
      </c>
      <c r="Q586" s="2">
        <v>4.1864204098698871E-2</v>
      </c>
      <c r="R586" s="2">
        <v>3.666398437159147E-2</v>
      </c>
    </row>
    <row r="587" spans="1:18" x14ac:dyDescent="0.3">
      <c r="A587" s="7">
        <v>267</v>
      </c>
      <c r="B587" s="7">
        <v>149</v>
      </c>
      <c r="C587" s="7">
        <v>0</v>
      </c>
      <c r="D587" s="7">
        <v>0</v>
      </c>
      <c r="E587" s="20" t="str">
        <f t="shared" si="9"/>
        <v>00</v>
      </c>
      <c r="F587" s="21">
        <v>0.89153213846649304</v>
      </c>
      <c r="G587" s="4">
        <v>0.30399999999999999</v>
      </c>
      <c r="H587" s="4">
        <v>0.29411764705882398</v>
      </c>
      <c r="I587" s="4">
        <v>2.5999999999999999E-2</v>
      </c>
      <c r="J587" s="4">
        <v>0.02</v>
      </c>
      <c r="K587" s="5">
        <v>100</v>
      </c>
      <c r="L587" s="5">
        <v>100</v>
      </c>
      <c r="M587" s="5">
        <v>100</v>
      </c>
      <c r="N587" s="5">
        <v>100</v>
      </c>
      <c r="O587" s="2">
        <v>0.36240561864771748</v>
      </c>
      <c r="P587" s="2">
        <v>0.34830669426821648</v>
      </c>
      <c r="Q587" s="2">
        <v>2.6343975339601977E-2</v>
      </c>
      <c r="R587" s="2">
        <v>2.0202707317519466E-2</v>
      </c>
    </row>
    <row r="588" spans="1:18" x14ac:dyDescent="0.3">
      <c r="A588" s="7">
        <v>701</v>
      </c>
      <c r="B588" s="7">
        <v>93</v>
      </c>
      <c r="C588" s="7">
        <v>0</v>
      </c>
      <c r="D588" s="7">
        <v>0</v>
      </c>
      <c r="E588" s="20" t="str">
        <f t="shared" si="9"/>
        <v>00</v>
      </c>
      <c r="F588" s="21">
        <v>0.89347522798540202</v>
      </c>
      <c r="G588" s="4">
        <v>0.22600000000000001</v>
      </c>
      <c r="H588" s="4">
        <v>0.22672064777327899</v>
      </c>
      <c r="I588" s="4">
        <v>3.7999999999999999E-2</v>
      </c>
      <c r="J588" s="4">
        <v>4.8000000000000001E-2</v>
      </c>
      <c r="K588" s="5">
        <v>100</v>
      </c>
      <c r="L588" s="5">
        <v>100</v>
      </c>
      <c r="M588" s="5">
        <v>100</v>
      </c>
      <c r="N588" s="5">
        <v>100</v>
      </c>
      <c r="O588" s="2">
        <v>0.25618340539240991</v>
      </c>
      <c r="P588" s="2">
        <v>0.25711490858134695</v>
      </c>
      <c r="Q588" s="2">
        <v>3.8740828316430595E-2</v>
      </c>
      <c r="R588" s="2">
        <v>4.9190244190771781E-2</v>
      </c>
    </row>
    <row r="589" spans="1:18" x14ac:dyDescent="0.3">
      <c r="A589" s="7">
        <v>135</v>
      </c>
      <c r="B589" s="7">
        <v>102</v>
      </c>
      <c r="C589" s="7">
        <v>0</v>
      </c>
      <c r="D589" s="7">
        <v>0</v>
      </c>
      <c r="E589" s="20" t="str">
        <f t="shared" si="9"/>
        <v>00</v>
      </c>
      <c r="F589" s="21">
        <v>0.89832412236210202</v>
      </c>
      <c r="G589" s="4">
        <v>0.25800000000000001</v>
      </c>
      <c r="H589" s="4">
        <v>0.23092783505154599</v>
      </c>
      <c r="I589" s="4">
        <v>3.6999999999999998E-2</v>
      </c>
      <c r="J589" s="4">
        <v>3.1E-2</v>
      </c>
      <c r="K589" s="5">
        <v>100</v>
      </c>
      <c r="L589" s="5">
        <v>100</v>
      </c>
      <c r="M589" s="5">
        <v>100</v>
      </c>
      <c r="N589" s="5">
        <v>100</v>
      </c>
      <c r="O589" s="2">
        <v>0.29840603581475661</v>
      </c>
      <c r="P589" s="2">
        <v>0.26257047129366717</v>
      </c>
      <c r="Q589" s="2">
        <v>3.7701867184011528E-2</v>
      </c>
      <c r="R589" s="2">
        <v>3.1490667091370848E-2</v>
      </c>
    </row>
    <row r="590" spans="1:18" x14ac:dyDescent="0.3">
      <c r="A590" s="7">
        <v>178</v>
      </c>
      <c r="B590" s="7">
        <v>110</v>
      </c>
      <c r="C590" s="7">
        <v>0</v>
      </c>
      <c r="D590" s="7">
        <v>0</v>
      </c>
      <c r="E590" s="20" t="str">
        <f t="shared" si="9"/>
        <v>00</v>
      </c>
      <c r="F590" s="21">
        <v>0.89837324769441895</v>
      </c>
      <c r="G590" s="4">
        <v>0.182</v>
      </c>
      <c r="H590" s="4">
        <v>0.153535353535354</v>
      </c>
      <c r="I590" s="4">
        <v>3.2000000000000001E-2</v>
      </c>
      <c r="J590" s="4">
        <v>2.7E-2</v>
      </c>
      <c r="K590" s="5">
        <v>100</v>
      </c>
      <c r="L590" s="5">
        <v>100</v>
      </c>
      <c r="M590" s="5">
        <v>100</v>
      </c>
      <c r="N590" s="5">
        <v>100</v>
      </c>
      <c r="O590" s="2">
        <v>0.20089294237938993</v>
      </c>
      <c r="P590" s="2">
        <v>0.16668684264655309</v>
      </c>
      <c r="Q590" s="2">
        <v>3.2523191705560062E-2</v>
      </c>
      <c r="R590" s="2">
        <v>2.7371196796132015E-2</v>
      </c>
    </row>
    <row r="591" spans="1:18" x14ac:dyDescent="0.3">
      <c r="A591" s="7">
        <v>172</v>
      </c>
      <c r="B591" s="7">
        <v>111</v>
      </c>
      <c r="C591" s="7">
        <v>0</v>
      </c>
      <c r="D591" s="7">
        <v>0</v>
      </c>
      <c r="E591" s="20" t="str">
        <f t="shared" si="9"/>
        <v>00</v>
      </c>
      <c r="F591" s="21">
        <v>0.91036332818564103</v>
      </c>
      <c r="G591" s="4">
        <v>0.111</v>
      </c>
      <c r="H591" s="4">
        <v>8.2329317269076302E-2</v>
      </c>
      <c r="I591" s="4">
        <v>2.9000000000000001E-2</v>
      </c>
      <c r="J591" s="4">
        <v>0.02</v>
      </c>
      <c r="K591" s="5">
        <v>100</v>
      </c>
      <c r="L591" s="5">
        <v>100</v>
      </c>
      <c r="M591" s="5">
        <v>100</v>
      </c>
      <c r="N591" s="5">
        <v>100</v>
      </c>
      <c r="O591" s="2">
        <v>0.11765804346823246</v>
      </c>
      <c r="P591" s="2">
        <v>8.5916686130448255E-2</v>
      </c>
      <c r="Q591" s="2">
        <v>2.9428810690812168E-2</v>
      </c>
      <c r="R591" s="2">
        <v>2.0202707317519466E-2</v>
      </c>
    </row>
    <row r="592" spans="1:18" x14ac:dyDescent="0.3">
      <c r="A592" s="7">
        <v>692</v>
      </c>
      <c r="B592" s="7">
        <v>110</v>
      </c>
      <c r="C592" s="7">
        <v>0</v>
      </c>
      <c r="D592" s="7">
        <v>0</v>
      </c>
      <c r="E592" s="20" t="str">
        <f t="shared" si="9"/>
        <v>00</v>
      </c>
      <c r="F592" s="21">
        <v>0.92007000565123098</v>
      </c>
      <c r="G592" s="4">
        <v>0.14000000000000001</v>
      </c>
      <c r="H592" s="4">
        <v>0.16129032258064499</v>
      </c>
      <c r="I592" s="4">
        <v>3.1E-2</v>
      </c>
      <c r="J592" s="4">
        <v>3.5999999999999997E-2</v>
      </c>
      <c r="K592" s="5">
        <v>100</v>
      </c>
      <c r="L592" s="5">
        <v>100</v>
      </c>
      <c r="M592" s="5">
        <v>100</v>
      </c>
      <c r="N592" s="5">
        <v>100</v>
      </c>
      <c r="O592" s="2">
        <v>0.15082288973458366</v>
      </c>
      <c r="P592" s="2">
        <v>0.17589066646366402</v>
      </c>
      <c r="Q592" s="2">
        <v>3.1490667091370848E-2</v>
      </c>
      <c r="R592" s="2">
        <v>3.666398437159147E-2</v>
      </c>
    </row>
    <row r="593" spans="1:18" x14ac:dyDescent="0.3">
      <c r="A593" s="7">
        <v>955</v>
      </c>
      <c r="B593" s="7">
        <v>88</v>
      </c>
      <c r="C593" s="7">
        <v>0</v>
      </c>
      <c r="D593" s="7">
        <v>0</v>
      </c>
      <c r="E593" s="20" t="str">
        <f t="shared" si="9"/>
        <v>00</v>
      </c>
      <c r="F593" s="21">
        <v>0.923370369970682</v>
      </c>
      <c r="G593" s="4">
        <v>0.127</v>
      </c>
      <c r="H593" s="4">
        <v>0.130522088353414</v>
      </c>
      <c r="I593" s="4">
        <v>3.9E-2</v>
      </c>
      <c r="J593" s="4">
        <v>2.8000000000000001E-2</v>
      </c>
      <c r="K593" s="5">
        <v>100</v>
      </c>
      <c r="L593" s="5">
        <v>100</v>
      </c>
      <c r="M593" s="5">
        <v>100</v>
      </c>
      <c r="N593" s="5">
        <v>100</v>
      </c>
      <c r="O593" s="2">
        <v>0.13581972314253485</v>
      </c>
      <c r="P593" s="2">
        <v>0.13986234902216341</v>
      </c>
      <c r="Q593" s="2">
        <v>3.9780870011844598E-2</v>
      </c>
      <c r="R593" s="2">
        <v>2.8399474521698002E-2</v>
      </c>
    </row>
    <row r="594" spans="1:18" x14ac:dyDescent="0.3">
      <c r="A594" s="7">
        <v>215</v>
      </c>
      <c r="B594" s="7">
        <v>86</v>
      </c>
      <c r="C594" s="7">
        <v>0</v>
      </c>
      <c r="D594" s="7">
        <v>0</v>
      </c>
      <c r="E594" s="20" t="str">
        <f t="shared" si="9"/>
        <v>00</v>
      </c>
      <c r="F594" s="21">
        <v>0.92536046663375904</v>
      </c>
      <c r="G594" s="4">
        <v>0.30099999999999999</v>
      </c>
      <c r="H594" s="4">
        <v>0.29208924949290099</v>
      </c>
      <c r="I594" s="4">
        <v>0.04</v>
      </c>
      <c r="J594" s="4">
        <v>4.3999999999999997E-2</v>
      </c>
      <c r="K594" s="5">
        <v>100</v>
      </c>
      <c r="L594" s="5">
        <v>100</v>
      </c>
      <c r="M594" s="5">
        <v>100</v>
      </c>
      <c r="N594" s="5">
        <v>100</v>
      </c>
      <c r="O594" s="2">
        <v>0.35810453674832671</v>
      </c>
      <c r="P594" s="2">
        <v>0.34543725184026358</v>
      </c>
      <c r="Q594" s="2">
        <v>4.0821994520255166E-2</v>
      </c>
      <c r="R594" s="2">
        <v>4.4997365930735805E-2</v>
      </c>
    </row>
    <row r="595" spans="1:18" x14ac:dyDescent="0.3">
      <c r="A595" s="7">
        <v>731</v>
      </c>
      <c r="B595" s="7">
        <v>91</v>
      </c>
      <c r="C595" s="7">
        <v>0</v>
      </c>
      <c r="D595" s="7">
        <v>0</v>
      </c>
      <c r="E595" s="20" t="str">
        <f t="shared" si="9"/>
        <v>00</v>
      </c>
      <c r="F595" s="21">
        <v>0.93417832932018896</v>
      </c>
      <c r="G595" s="4">
        <v>0.45400000000000001</v>
      </c>
      <c r="H595" s="4">
        <v>0.236467236467236</v>
      </c>
      <c r="I595" s="4">
        <v>3.6999999999999998E-2</v>
      </c>
      <c r="J595" s="4">
        <v>4.2000000000000003E-2</v>
      </c>
      <c r="K595" s="5">
        <v>100</v>
      </c>
      <c r="L595" s="5">
        <v>100</v>
      </c>
      <c r="M595" s="5">
        <v>100</v>
      </c>
      <c r="N595" s="5">
        <v>100</v>
      </c>
      <c r="O595" s="2">
        <v>0.60513630323723189</v>
      </c>
      <c r="P595" s="2">
        <v>0.26979924295500851</v>
      </c>
      <c r="Q595" s="2">
        <v>3.7701867184011528E-2</v>
      </c>
      <c r="R595" s="2">
        <v>4.290750101127655E-2</v>
      </c>
    </row>
    <row r="596" spans="1:18" x14ac:dyDescent="0.3">
      <c r="A596" s="7">
        <v>509</v>
      </c>
      <c r="B596" s="7">
        <v>162</v>
      </c>
      <c r="C596" s="7">
        <v>0</v>
      </c>
      <c r="D596" s="7">
        <v>0</v>
      </c>
      <c r="E596" s="20" t="str">
        <f t="shared" si="9"/>
        <v>00</v>
      </c>
      <c r="F596" s="21">
        <v>0.93521744792097194</v>
      </c>
      <c r="G596" s="4">
        <v>0.10199999999999999</v>
      </c>
      <c r="H596" s="4">
        <v>9.0180360721442906E-2</v>
      </c>
      <c r="I596" s="4">
        <v>2.4E-2</v>
      </c>
      <c r="J596" s="4">
        <v>2.5999999999999999E-2</v>
      </c>
      <c r="K596" s="5">
        <v>100</v>
      </c>
      <c r="L596" s="5">
        <v>100</v>
      </c>
      <c r="M596" s="5">
        <v>100</v>
      </c>
      <c r="N596" s="5">
        <v>100</v>
      </c>
      <c r="O596" s="2">
        <v>0.10758521067993743</v>
      </c>
      <c r="P596" s="2">
        <v>9.4508897710170653E-2</v>
      </c>
      <c r="Q596" s="2">
        <v>2.4292692569044587E-2</v>
      </c>
      <c r="R596" s="2">
        <v>2.6343975339601977E-2</v>
      </c>
    </row>
    <row r="597" spans="1:18" x14ac:dyDescent="0.3">
      <c r="A597" s="7">
        <v>214</v>
      </c>
      <c r="B597" s="7">
        <v>245</v>
      </c>
      <c r="C597" s="7">
        <v>0</v>
      </c>
      <c r="D597" s="7">
        <v>0</v>
      </c>
      <c r="E597" s="20" t="str">
        <f t="shared" si="9"/>
        <v>00</v>
      </c>
      <c r="F597" s="21">
        <v>0.93778357551251301</v>
      </c>
      <c r="G597" s="4">
        <v>9.8000000000000004E-2</v>
      </c>
      <c r="H597" s="4">
        <v>0.100806451612903</v>
      </c>
      <c r="I597" s="4">
        <v>2.3E-2</v>
      </c>
      <c r="J597" s="4">
        <v>2.1999999999999999E-2</v>
      </c>
      <c r="K597" s="5">
        <v>100</v>
      </c>
      <c r="L597" s="5">
        <v>100</v>
      </c>
      <c r="M597" s="5">
        <v>100</v>
      </c>
      <c r="N597" s="5">
        <v>100</v>
      </c>
      <c r="O597" s="2">
        <v>0.10314075891951337</v>
      </c>
      <c r="P597" s="2">
        <v>0.10625697470486319</v>
      </c>
      <c r="Q597" s="2">
        <v>2.3268626939354331E-2</v>
      </c>
      <c r="R597" s="2">
        <v>2.2245608947319737E-2</v>
      </c>
    </row>
    <row r="598" spans="1:18" x14ac:dyDescent="0.3">
      <c r="A598" s="7">
        <v>606</v>
      </c>
      <c r="B598" s="7">
        <v>112</v>
      </c>
      <c r="C598" s="7">
        <v>0</v>
      </c>
      <c r="D598" s="7">
        <v>0</v>
      </c>
      <c r="E598" s="20" t="str">
        <f t="shared" si="9"/>
        <v>00</v>
      </c>
      <c r="F598" s="21">
        <v>0.93911252155060498</v>
      </c>
      <c r="G598" s="4">
        <v>0.68500000000000005</v>
      </c>
      <c r="H598" s="4">
        <v>0.62442396313364101</v>
      </c>
      <c r="I598" s="4">
        <v>2.4E-2</v>
      </c>
      <c r="J598" s="4">
        <v>2.7E-2</v>
      </c>
      <c r="K598" s="5">
        <v>0</v>
      </c>
      <c r="L598" s="5">
        <v>0</v>
      </c>
      <c r="M598" s="5">
        <v>100</v>
      </c>
      <c r="N598" s="5">
        <v>100</v>
      </c>
      <c r="O598" s="2">
        <v>1.1551826401565042</v>
      </c>
      <c r="P598" s="2">
        <v>0.97929433329364379</v>
      </c>
      <c r="Q598" s="2">
        <v>2.4292692569044587E-2</v>
      </c>
      <c r="R598" s="2">
        <v>2.7371196796132015E-2</v>
      </c>
    </row>
    <row r="599" spans="1:18" x14ac:dyDescent="0.3">
      <c r="A599" s="7">
        <v>719</v>
      </c>
      <c r="B599" s="7">
        <v>86</v>
      </c>
      <c r="C599" s="7">
        <v>0</v>
      </c>
      <c r="D599" s="7">
        <v>0</v>
      </c>
      <c r="E599" s="20" t="str">
        <f t="shared" si="9"/>
        <v>00</v>
      </c>
      <c r="F599" s="21">
        <v>0.94624274189162905</v>
      </c>
      <c r="G599" s="4">
        <v>0.22600000000000001</v>
      </c>
      <c r="H599" s="4">
        <v>0.16916488222698101</v>
      </c>
      <c r="I599" s="4">
        <v>3.1E-2</v>
      </c>
      <c r="J599" s="4">
        <v>2.4E-2</v>
      </c>
      <c r="K599" s="5">
        <v>100</v>
      </c>
      <c r="L599" s="5">
        <v>100</v>
      </c>
      <c r="M599" s="5">
        <v>100</v>
      </c>
      <c r="N599" s="5">
        <v>100</v>
      </c>
      <c r="O599" s="2">
        <v>0.25618340539240991</v>
      </c>
      <c r="P599" s="2">
        <v>0.1853239180456242</v>
      </c>
      <c r="Q599" s="2">
        <v>3.1490667091370848E-2</v>
      </c>
      <c r="R599" s="2">
        <v>2.4292692569044587E-2</v>
      </c>
    </row>
    <row r="600" spans="1:18" x14ac:dyDescent="0.3">
      <c r="A600" s="7">
        <v>950</v>
      </c>
      <c r="B600" s="7">
        <v>98</v>
      </c>
      <c r="C600" s="7">
        <v>0</v>
      </c>
      <c r="D600" s="7">
        <v>0</v>
      </c>
      <c r="E600" s="20" t="str">
        <f t="shared" si="9"/>
        <v>00</v>
      </c>
      <c r="F600" s="21">
        <v>0.95069624791219098</v>
      </c>
      <c r="G600" s="4">
        <v>0.41199999999999998</v>
      </c>
      <c r="H600" s="4">
        <v>0.373417721518987</v>
      </c>
      <c r="I600" s="4">
        <v>3.5000000000000003E-2</v>
      </c>
      <c r="J600" s="4">
        <v>4.4999999999999998E-2</v>
      </c>
      <c r="K600" s="5">
        <v>100</v>
      </c>
      <c r="L600" s="5">
        <v>100</v>
      </c>
      <c r="M600" s="5">
        <v>100</v>
      </c>
      <c r="N600" s="5">
        <v>100</v>
      </c>
      <c r="O600" s="2">
        <v>0.53102833108351</v>
      </c>
      <c r="P600" s="2">
        <v>0.46747518289237633</v>
      </c>
      <c r="Q600" s="2">
        <v>3.562717764315116E-2</v>
      </c>
      <c r="R600" s="2">
        <v>4.6043938501406846E-2</v>
      </c>
    </row>
    <row r="601" spans="1:18" x14ac:dyDescent="0.3">
      <c r="A601" s="7">
        <v>945</v>
      </c>
      <c r="B601" s="7">
        <v>96</v>
      </c>
      <c r="C601" s="7">
        <v>0</v>
      </c>
      <c r="D601" s="7">
        <v>0</v>
      </c>
      <c r="E601" s="20" t="str">
        <f t="shared" si="9"/>
        <v>00</v>
      </c>
      <c r="F601" s="21">
        <v>0.95325659821907505</v>
      </c>
      <c r="G601" s="4">
        <v>9.1999999999999998E-2</v>
      </c>
      <c r="H601" s="4">
        <v>8.6693548387096794E-2</v>
      </c>
      <c r="I601" s="4">
        <v>2.5999999999999999E-2</v>
      </c>
      <c r="J601" s="4">
        <v>2.9000000000000001E-2</v>
      </c>
      <c r="K601" s="5">
        <v>100</v>
      </c>
      <c r="L601" s="5">
        <v>100</v>
      </c>
      <c r="M601" s="5">
        <v>100</v>
      </c>
      <c r="N601" s="5">
        <v>100</v>
      </c>
      <c r="O601" s="2">
        <v>9.6510900380843728E-2</v>
      </c>
      <c r="P601" s="2">
        <v>9.0683801241893444E-2</v>
      </c>
      <c r="Q601" s="2">
        <v>2.6343975339601977E-2</v>
      </c>
      <c r="R601" s="2">
        <v>2.9428810690812168E-2</v>
      </c>
    </row>
    <row r="602" spans="1:18" x14ac:dyDescent="0.3">
      <c r="A602" s="7">
        <v>394</v>
      </c>
      <c r="B602" s="7">
        <v>99</v>
      </c>
      <c r="C602" s="7">
        <v>0</v>
      </c>
      <c r="D602" s="7">
        <v>0</v>
      </c>
      <c r="E602" s="20" t="str">
        <f t="shared" si="9"/>
        <v>00</v>
      </c>
      <c r="F602" s="21">
        <v>0.95819689012173304</v>
      </c>
      <c r="G602" s="4">
        <v>0.245</v>
      </c>
      <c r="H602" s="4">
        <v>0.26626016260162599</v>
      </c>
      <c r="I602" s="4">
        <v>4.4999999999999998E-2</v>
      </c>
      <c r="J602" s="4">
        <v>3.5999999999999997E-2</v>
      </c>
      <c r="K602" s="5">
        <v>100</v>
      </c>
      <c r="L602" s="5">
        <v>100</v>
      </c>
      <c r="M602" s="5">
        <v>100</v>
      </c>
      <c r="N602" s="5">
        <v>100</v>
      </c>
      <c r="O602" s="2">
        <v>0.28103752973311236</v>
      </c>
      <c r="P602" s="2">
        <v>0.30960075815942717</v>
      </c>
      <c r="Q602" s="2">
        <v>4.6043938501406846E-2</v>
      </c>
      <c r="R602" s="2">
        <v>3.666398437159147E-2</v>
      </c>
    </row>
    <row r="603" spans="1:18" x14ac:dyDescent="0.3">
      <c r="A603" s="7">
        <v>132</v>
      </c>
      <c r="B603" s="7">
        <v>87</v>
      </c>
      <c r="C603" s="7">
        <v>0</v>
      </c>
      <c r="D603" s="7">
        <v>0</v>
      </c>
      <c r="E603" s="20" t="str">
        <f t="shared" si="9"/>
        <v>00</v>
      </c>
      <c r="F603" s="21">
        <v>0.95902360756567895</v>
      </c>
      <c r="G603" s="4">
        <v>0.23899999999999999</v>
      </c>
      <c r="H603" s="4">
        <v>0.22587268993839801</v>
      </c>
      <c r="I603" s="4">
        <v>2.8000000000000001E-2</v>
      </c>
      <c r="J603" s="4">
        <v>3.6999999999999998E-2</v>
      </c>
      <c r="K603" s="5">
        <v>100</v>
      </c>
      <c r="L603" s="5">
        <v>100</v>
      </c>
      <c r="M603" s="5">
        <v>100</v>
      </c>
      <c r="N603" s="5">
        <v>100</v>
      </c>
      <c r="O603" s="2">
        <v>0.27312192112045119</v>
      </c>
      <c r="P603" s="2">
        <v>0.25601893563457861</v>
      </c>
      <c r="Q603" s="2">
        <v>2.8399474521698002E-2</v>
      </c>
      <c r="R603" s="2">
        <v>3.7701867184011528E-2</v>
      </c>
    </row>
    <row r="604" spans="1:18" x14ac:dyDescent="0.3">
      <c r="A604" s="7">
        <v>313</v>
      </c>
      <c r="B604" s="7">
        <v>96</v>
      </c>
      <c r="C604" s="7">
        <v>0</v>
      </c>
      <c r="D604" s="7">
        <v>0</v>
      </c>
      <c r="E604" s="20" t="str">
        <f t="shared" si="9"/>
        <v>00</v>
      </c>
      <c r="F604" s="21">
        <v>0.96106065042589695</v>
      </c>
      <c r="G604" s="4">
        <v>0.08</v>
      </c>
      <c r="H604" s="4">
        <v>8.21643286573146E-2</v>
      </c>
      <c r="I604" s="4">
        <v>3.2000000000000001E-2</v>
      </c>
      <c r="J604" s="4">
        <v>3.1E-2</v>
      </c>
      <c r="K604" s="5">
        <v>100</v>
      </c>
      <c r="L604" s="5">
        <v>100</v>
      </c>
      <c r="M604" s="5">
        <v>100</v>
      </c>
      <c r="N604" s="5">
        <v>100</v>
      </c>
      <c r="O604" s="2">
        <v>8.3381608939051013E-2</v>
      </c>
      <c r="P604" s="2">
        <v>8.5736911637333671E-2</v>
      </c>
      <c r="Q604" s="2">
        <v>3.2523191705560062E-2</v>
      </c>
      <c r="R604" s="2">
        <v>3.1490667091370848E-2</v>
      </c>
    </row>
    <row r="605" spans="1:18" x14ac:dyDescent="0.3">
      <c r="A605" s="7">
        <v>942</v>
      </c>
      <c r="B605" s="7">
        <v>104</v>
      </c>
      <c r="C605" s="7">
        <v>0</v>
      </c>
      <c r="D605" s="7">
        <v>0</v>
      </c>
      <c r="E605" s="20" t="str">
        <f t="shared" si="9"/>
        <v>00</v>
      </c>
      <c r="F605" s="21">
        <v>0.96111520347972301</v>
      </c>
      <c r="G605" s="4">
        <v>0.09</v>
      </c>
      <c r="H605" s="4">
        <v>9.0361445783132502E-2</v>
      </c>
      <c r="I605" s="4">
        <v>0.03</v>
      </c>
      <c r="J605" s="4">
        <v>0.02</v>
      </c>
      <c r="K605" s="5">
        <v>100</v>
      </c>
      <c r="L605" s="5">
        <v>100</v>
      </c>
      <c r="M605" s="5">
        <v>100</v>
      </c>
      <c r="N605" s="5">
        <v>100</v>
      </c>
      <c r="O605" s="2">
        <v>9.431067947124129E-2</v>
      </c>
      <c r="P605" s="2">
        <v>9.4707951541618915E-2</v>
      </c>
      <c r="Q605" s="2">
        <v>3.0459207484708574E-2</v>
      </c>
      <c r="R605" s="2">
        <v>2.0202707317519466E-2</v>
      </c>
    </row>
    <row r="606" spans="1:18" x14ac:dyDescent="0.3">
      <c r="A606" s="7">
        <v>722</v>
      </c>
      <c r="B606" s="7">
        <v>93</v>
      </c>
      <c r="C606" s="7">
        <v>0</v>
      </c>
      <c r="D606" s="7">
        <v>0</v>
      </c>
      <c r="E606" s="20" t="str">
        <f t="shared" si="9"/>
        <v>00</v>
      </c>
      <c r="F606" s="21">
        <v>0.96297703946563395</v>
      </c>
      <c r="G606" s="4">
        <v>0.308</v>
      </c>
      <c r="H606" s="4">
        <v>0.31416837782340901</v>
      </c>
      <c r="I606" s="4">
        <v>3.6999999999999998E-2</v>
      </c>
      <c r="J606" s="4">
        <v>2.9000000000000001E-2</v>
      </c>
      <c r="K606" s="5">
        <v>100</v>
      </c>
      <c r="L606" s="5">
        <v>100</v>
      </c>
      <c r="M606" s="5">
        <v>100</v>
      </c>
      <c r="N606" s="5">
        <v>100</v>
      </c>
      <c r="O606" s="2">
        <v>0.36816932336446756</v>
      </c>
      <c r="P606" s="2">
        <v>0.37712313010588994</v>
      </c>
      <c r="Q606" s="2">
        <v>3.7701867184011528E-2</v>
      </c>
      <c r="R606" s="2">
        <v>2.9428810690812168E-2</v>
      </c>
    </row>
    <row r="607" spans="1:18" x14ac:dyDescent="0.3">
      <c r="A607" s="7">
        <v>965</v>
      </c>
      <c r="B607" s="7">
        <v>88</v>
      </c>
      <c r="C607" s="7">
        <v>0</v>
      </c>
      <c r="D607" s="7">
        <v>0</v>
      </c>
      <c r="E607" s="20" t="str">
        <f t="shared" si="9"/>
        <v>00</v>
      </c>
      <c r="F607" s="21">
        <v>0.96750801538197395</v>
      </c>
      <c r="G607" s="4">
        <v>0.34399999999999997</v>
      </c>
      <c r="H607" s="4">
        <v>0.34004024144869199</v>
      </c>
      <c r="I607" s="4">
        <v>3.7999999999999999E-2</v>
      </c>
      <c r="J607" s="4">
        <v>3.3000000000000002E-2</v>
      </c>
      <c r="K607" s="5">
        <v>100</v>
      </c>
      <c r="L607" s="5">
        <v>100</v>
      </c>
      <c r="M607" s="5">
        <v>100</v>
      </c>
      <c r="N607" s="5">
        <v>100</v>
      </c>
      <c r="O607" s="2">
        <v>0.42159449003804794</v>
      </c>
      <c r="P607" s="2">
        <v>0.41557641771248482</v>
      </c>
      <c r="Q607" s="2">
        <v>3.8740828316430595E-2</v>
      </c>
      <c r="R607" s="2">
        <v>3.3556783528842754E-2</v>
      </c>
    </row>
    <row r="608" spans="1:18" x14ac:dyDescent="0.3">
      <c r="A608" s="7">
        <v>592</v>
      </c>
      <c r="B608" s="7">
        <v>91</v>
      </c>
      <c r="C608" s="7">
        <v>0</v>
      </c>
      <c r="D608" s="7">
        <v>0</v>
      </c>
      <c r="E608" s="20" t="str">
        <f t="shared" si="9"/>
        <v>00</v>
      </c>
      <c r="F608" s="21">
        <v>0.98631941331631601</v>
      </c>
      <c r="G608" s="4">
        <v>0.126</v>
      </c>
      <c r="H608" s="4">
        <v>0.12981744421906699</v>
      </c>
      <c r="I608" s="4">
        <v>3.5999999999999997E-2</v>
      </c>
      <c r="J608" s="4">
        <v>3.5999999999999997E-2</v>
      </c>
      <c r="K608" s="5">
        <v>100</v>
      </c>
      <c r="L608" s="5">
        <v>100</v>
      </c>
      <c r="M608" s="5">
        <v>100</v>
      </c>
      <c r="N608" s="5">
        <v>100</v>
      </c>
      <c r="O608" s="2">
        <v>0.13467490332660159</v>
      </c>
      <c r="P608" s="2">
        <v>0.13905225511467315</v>
      </c>
      <c r="Q608" s="2">
        <v>3.666398437159147E-2</v>
      </c>
      <c r="R608" s="2">
        <v>3.666398437159147E-2</v>
      </c>
    </row>
    <row r="609" spans="1:18" x14ac:dyDescent="0.3">
      <c r="A609" s="7">
        <v>72</v>
      </c>
      <c r="B609" s="7">
        <v>89</v>
      </c>
      <c r="C609" s="7">
        <v>0</v>
      </c>
      <c r="D609" s="7">
        <v>0</v>
      </c>
      <c r="E609" s="20" t="str">
        <f t="shared" si="9"/>
        <v>00</v>
      </c>
      <c r="F609" s="21">
        <v>0.98634180975992203</v>
      </c>
      <c r="G609" s="4">
        <v>0.185</v>
      </c>
      <c r="H609" s="4">
        <v>0.17034068136272501</v>
      </c>
      <c r="I609" s="4">
        <v>5.3999999999999999E-2</v>
      </c>
      <c r="J609" s="4">
        <v>4.2000000000000003E-2</v>
      </c>
      <c r="K609" s="5">
        <v>100</v>
      </c>
      <c r="L609" s="5">
        <v>100</v>
      </c>
      <c r="M609" s="5">
        <v>100</v>
      </c>
      <c r="N609" s="5">
        <v>100</v>
      </c>
      <c r="O609" s="2">
        <v>0.2045671657412744</v>
      </c>
      <c r="P609" s="2">
        <v>0.18674012192620382</v>
      </c>
      <c r="Q609" s="2">
        <v>5.5512709930258829E-2</v>
      </c>
      <c r="R609" s="2">
        <v>4.290750101127655E-2</v>
      </c>
    </row>
    <row r="610" spans="1:18" x14ac:dyDescent="0.3">
      <c r="A610" s="7">
        <v>486</v>
      </c>
      <c r="B610" s="7">
        <v>99</v>
      </c>
      <c r="C610" s="7">
        <v>0</v>
      </c>
      <c r="D610" s="7">
        <v>0</v>
      </c>
      <c r="E610" s="20" t="str">
        <f t="shared" si="9"/>
        <v>00</v>
      </c>
      <c r="F610" s="21">
        <v>0.99820793470969804</v>
      </c>
      <c r="G610" s="4">
        <v>0.10199999999999999</v>
      </c>
      <c r="H610" s="4">
        <v>9.2369477911646597E-2</v>
      </c>
      <c r="I610" s="4">
        <v>1.7999999999999999E-2</v>
      </c>
      <c r="J610" s="4">
        <v>2.5000000000000001E-2</v>
      </c>
      <c r="K610" s="5">
        <v>100</v>
      </c>
      <c r="L610" s="5">
        <v>100</v>
      </c>
      <c r="M610" s="5">
        <v>100</v>
      </c>
      <c r="N610" s="5">
        <v>100</v>
      </c>
      <c r="O610" s="2">
        <v>0.10758521067993743</v>
      </c>
      <c r="P610" s="2">
        <v>9.6917897192421776E-2</v>
      </c>
      <c r="Q610" s="2">
        <v>1.816397062767118E-2</v>
      </c>
      <c r="R610" s="2">
        <v>2.5317807984289897E-2</v>
      </c>
    </row>
    <row r="611" spans="1:18" x14ac:dyDescent="0.3">
      <c r="A611" s="7">
        <v>970</v>
      </c>
      <c r="B611" s="7">
        <v>101</v>
      </c>
      <c r="C611" s="7">
        <v>0</v>
      </c>
      <c r="D611" s="7">
        <v>0</v>
      </c>
      <c r="E611" s="20" t="str">
        <f t="shared" si="9"/>
        <v>00</v>
      </c>
      <c r="F611" s="21">
        <v>1.00730501479857</v>
      </c>
      <c r="G611" s="4">
        <v>0.35099999999999998</v>
      </c>
      <c r="H611" s="4">
        <v>0.34166666666666701</v>
      </c>
      <c r="I611" s="4">
        <v>5.6000000000000001E-2</v>
      </c>
      <c r="J611" s="4">
        <v>0.05</v>
      </c>
      <c r="K611" s="5">
        <v>100</v>
      </c>
      <c r="L611" s="5">
        <v>100</v>
      </c>
      <c r="M611" s="5">
        <v>100</v>
      </c>
      <c r="N611" s="5">
        <v>100</v>
      </c>
      <c r="O611" s="2">
        <v>0.43232256227804705</v>
      </c>
      <c r="P611" s="2">
        <v>0.41804389031502504</v>
      </c>
      <c r="Q611" s="2">
        <v>5.7629112836636416E-2</v>
      </c>
      <c r="R611" s="2">
        <v>5.1293294387550578E-2</v>
      </c>
    </row>
    <row r="612" spans="1:18" x14ac:dyDescent="0.3">
      <c r="A612" s="7">
        <v>539</v>
      </c>
      <c r="B612" s="7">
        <v>85</v>
      </c>
      <c r="C612" s="7">
        <v>0</v>
      </c>
      <c r="D612" s="7">
        <v>0</v>
      </c>
      <c r="E612" s="20" t="str">
        <f t="shared" si="9"/>
        <v>00</v>
      </c>
      <c r="F612" s="21">
        <v>1.0219275520957301</v>
      </c>
      <c r="G612" s="4">
        <v>0.14699999999999999</v>
      </c>
      <c r="H612" s="4">
        <v>0.12903225806451599</v>
      </c>
      <c r="I612" s="4">
        <v>2.8000000000000001E-2</v>
      </c>
      <c r="J612" s="4">
        <v>3.4000000000000002E-2</v>
      </c>
      <c r="K612" s="5">
        <v>100</v>
      </c>
      <c r="L612" s="5">
        <v>100</v>
      </c>
      <c r="M612" s="5">
        <v>100</v>
      </c>
      <c r="N612" s="5">
        <v>100</v>
      </c>
      <c r="O612" s="2">
        <v>0.15899573149045795</v>
      </c>
      <c r="P612" s="2">
        <v>0.13815033848081704</v>
      </c>
      <c r="Q612" s="2">
        <v>2.8399474521698002E-2</v>
      </c>
      <c r="R612" s="2">
        <v>3.459144476961909E-2</v>
      </c>
    </row>
    <row r="613" spans="1:18" x14ac:dyDescent="0.3">
      <c r="A613" s="7">
        <v>283</v>
      </c>
      <c r="B613" s="7">
        <v>302</v>
      </c>
      <c r="C613" s="7">
        <v>0</v>
      </c>
      <c r="D613" s="7">
        <v>0</v>
      </c>
      <c r="E613" s="20" t="str">
        <f t="shared" si="9"/>
        <v>00</v>
      </c>
      <c r="F613" s="21">
        <v>1.0223082984826799</v>
      </c>
      <c r="G613" s="4">
        <v>6.9000000000000006E-2</v>
      </c>
      <c r="H613" s="4">
        <v>6.1601642710472297E-2</v>
      </c>
      <c r="I613" s="4">
        <v>1.6E-2</v>
      </c>
      <c r="J613" s="4">
        <v>2.4E-2</v>
      </c>
      <c r="K613" s="5">
        <v>100</v>
      </c>
      <c r="L613" s="5">
        <v>100</v>
      </c>
      <c r="M613" s="5">
        <v>100</v>
      </c>
      <c r="N613" s="5">
        <v>100</v>
      </c>
      <c r="O613" s="2">
        <v>7.1496001705069923E-2</v>
      </c>
      <c r="P613" s="2">
        <v>6.3580732188385114E-2</v>
      </c>
      <c r="Q613" s="2">
        <v>1.6129381929883644E-2</v>
      </c>
      <c r="R613" s="2">
        <v>2.4292692569044587E-2</v>
      </c>
    </row>
    <row r="614" spans="1:18" x14ac:dyDescent="0.3">
      <c r="A614" s="7">
        <v>667</v>
      </c>
      <c r="B614" s="7">
        <v>104</v>
      </c>
      <c r="C614" s="7">
        <v>0</v>
      </c>
      <c r="D614" s="7">
        <v>0</v>
      </c>
      <c r="E614" s="20" t="str">
        <f t="shared" si="9"/>
        <v>00</v>
      </c>
      <c r="F614" s="21">
        <v>1.02584003653947</v>
      </c>
      <c r="G614" s="4">
        <v>0.25</v>
      </c>
      <c r="H614" s="4">
        <v>0.229813664596273</v>
      </c>
      <c r="I614" s="4">
        <v>4.7E-2</v>
      </c>
      <c r="J614" s="4">
        <v>5.0999999999999997E-2</v>
      </c>
      <c r="K614" s="5">
        <v>100</v>
      </c>
      <c r="L614" s="5">
        <v>100</v>
      </c>
      <c r="M614" s="5">
        <v>100</v>
      </c>
      <c r="N614" s="5">
        <v>100</v>
      </c>
      <c r="O614" s="2">
        <v>0.2876820724517809</v>
      </c>
      <c r="P614" s="2">
        <v>0.26112279937942567</v>
      </c>
      <c r="Q614" s="2">
        <v>4.8140375327934984E-2</v>
      </c>
      <c r="R614" s="2">
        <v>5.2346480372209236E-2</v>
      </c>
    </row>
    <row r="615" spans="1:18" x14ac:dyDescent="0.3">
      <c r="A615" s="7">
        <v>481</v>
      </c>
      <c r="B615" s="7">
        <v>82</v>
      </c>
      <c r="C615" s="7">
        <v>0</v>
      </c>
      <c r="D615" s="7">
        <v>0</v>
      </c>
      <c r="E615" s="20" t="str">
        <f t="shared" si="9"/>
        <v>00</v>
      </c>
      <c r="F615" s="21">
        <v>1.0282122147227899</v>
      </c>
      <c r="G615" s="4">
        <v>0.11700000000000001</v>
      </c>
      <c r="H615" s="4">
        <v>0.106425702811245</v>
      </c>
      <c r="I615" s="4">
        <v>2.3E-2</v>
      </c>
      <c r="J615" s="4">
        <v>2.4E-2</v>
      </c>
      <c r="K615" s="5">
        <v>100</v>
      </c>
      <c r="L615" s="5">
        <v>100</v>
      </c>
      <c r="M615" s="5">
        <v>100</v>
      </c>
      <c r="N615" s="5">
        <v>100</v>
      </c>
      <c r="O615" s="2">
        <v>0.12443007837817703</v>
      </c>
      <c r="P615" s="2">
        <v>0.1125257948584127</v>
      </c>
      <c r="Q615" s="2">
        <v>2.3268626939354331E-2</v>
      </c>
      <c r="R615" s="2">
        <v>2.4292692569044587E-2</v>
      </c>
    </row>
    <row r="616" spans="1:18" x14ac:dyDescent="0.3">
      <c r="A616" s="7">
        <v>903</v>
      </c>
      <c r="B616" s="7">
        <v>73</v>
      </c>
      <c r="C616" s="7">
        <v>0</v>
      </c>
      <c r="D616" s="7">
        <v>0</v>
      </c>
      <c r="E616" s="20" t="str">
        <f t="shared" si="9"/>
        <v>00</v>
      </c>
      <c r="F616" s="21">
        <v>1.0400450627834701</v>
      </c>
      <c r="G616" s="4">
        <v>0.111</v>
      </c>
      <c r="H616" s="4">
        <v>0.112903225806452</v>
      </c>
      <c r="I616" s="4">
        <v>2.8000000000000001E-2</v>
      </c>
      <c r="J616" s="4">
        <v>2.7E-2</v>
      </c>
      <c r="K616" s="5">
        <v>100</v>
      </c>
      <c r="L616" s="5">
        <v>100</v>
      </c>
      <c r="M616" s="5">
        <v>100</v>
      </c>
      <c r="N616" s="5">
        <v>100</v>
      </c>
      <c r="O616" s="2">
        <v>0.11765804346823246</v>
      </c>
      <c r="P616" s="2">
        <v>0.11980119981262102</v>
      </c>
      <c r="Q616" s="2">
        <v>2.8399474521698002E-2</v>
      </c>
      <c r="R616" s="2">
        <v>2.7371196796132015E-2</v>
      </c>
    </row>
    <row r="617" spans="1:18" x14ac:dyDescent="0.3">
      <c r="A617" s="7">
        <v>526</v>
      </c>
      <c r="B617" s="7">
        <v>92</v>
      </c>
      <c r="C617" s="7">
        <v>0</v>
      </c>
      <c r="D617" s="7">
        <v>0</v>
      </c>
      <c r="E617" s="20" t="str">
        <f t="shared" si="9"/>
        <v>00</v>
      </c>
      <c r="F617" s="21">
        <v>1.04151757738871</v>
      </c>
      <c r="G617" s="4">
        <v>0.23100000000000001</v>
      </c>
      <c r="H617" s="4">
        <v>0.14705882352941199</v>
      </c>
      <c r="I617" s="4">
        <v>3.5000000000000003E-2</v>
      </c>
      <c r="J617" s="4">
        <v>4.2000000000000003E-2</v>
      </c>
      <c r="K617" s="5">
        <v>100</v>
      </c>
      <c r="L617" s="5">
        <v>100</v>
      </c>
      <c r="M617" s="5">
        <v>100</v>
      </c>
      <c r="N617" s="5">
        <v>100</v>
      </c>
      <c r="O617" s="2">
        <v>0.26266430947649305</v>
      </c>
      <c r="P617" s="2">
        <v>0.15906469462968767</v>
      </c>
      <c r="Q617" s="2">
        <v>3.562717764315116E-2</v>
      </c>
      <c r="R617" s="2">
        <v>4.290750101127655E-2</v>
      </c>
    </row>
    <row r="618" spans="1:18" x14ac:dyDescent="0.3">
      <c r="A618" s="7">
        <v>2</v>
      </c>
      <c r="B618" s="7">
        <v>80</v>
      </c>
      <c r="C618" s="7">
        <v>0</v>
      </c>
      <c r="D618" s="7">
        <v>0</v>
      </c>
      <c r="E618" s="20" t="str">
        <f t="shared" si="9"/>
        <v>00</v>
      </c>
      <c r="F618" s="21">
        <v>1.0425703843137799</v>
      </c>
      <c r="G618" s="4">
        <v>0.16800000000000001</v>
      </c>
      <c r="H618" s="4">
        <v>0.17234468937875799</v>
      </c>
      <c r="I618" s="4">
        <v>3.7999999999999999E-2</v>
      </c>
      <c r="J618" s="4">
        <v>4.2000000000000003E-2</v>
      </c>
      <c r="K618" s="5">
        <v>100</v>
      </c>
      <c r="L618" s="5">
        <v>100</v>
      </c>
      <c r="M618" s="5">
        <v>100</v>
      </c>
      <c r="N618" s="5">
        <v>100</v>
      </c>
      <c r="O618" s="2">
        <v>0.1839228381609285</v>
      </c>
      <c r="P618" s="2">
        <v>0.18915850279048652</v>
      </c>
      <c r="Q618" s="2">
        <v>3.8740828316430595E-2</v>
      </c>
      <c r="R618" s="2">
        <v>4.290750101127655E-2</v>
      </c>
    </row>
    <row r="619" spans="1:18" x14ac:dyDescent="0.3">
      <c r="A619" s="7">
        <v>45</v>
      </c>
      <c r="B619" s="7">
        <v>87</v>
      </c>
      <c r="C619" s="7">
        <v>0</v>
      </c>
      <c r="D619" s="7">
        <v>0</v>
      </c>
      <c r="E619" s="20" t="str">
        <f t="shared" si="9"/>
        <v>00</v>
      </c>
      <c r="F619" s="21">
        <v>1.04432472779258</v>
      </c>
      <c r="G619" s="4">
        <v>7.2999999999999995E-2</v>
      </c>
      <c r="H619" s="4">
        <v>8.8176352705410799E-2</v>
      </c>
      <c r="I619" s="4">
        <v>2.4E-2</v>
      </c>
      <c r="J619" s="4">
        <v>2.5000000000000001E-2</v>
      </c>
      <c r="K619" s="5">
        <v>100</v>
      </c>
      <c r="L619" s="5">
        <v>100</v>
      </c>
      <c r="M619" s="5">
        <v>100</v>
      </c>
      <c r="N619" s="5">
        <v>100</v>
      </c>
      <c r="O619" s="2">
        <v>7.5801713416281849E-2</v>
      </c>
      <c r="P619" s="2">
        <v>9.2308676800568229E-2</v>
      </c>
      <c r="Q619" s="2">
        <v>2.4292692569044587E-2</v>
      </c>
      <c r="R619" s="2">
        <v>2.5317807984289897E-2</v>
      </c>
    </row>
    <row r="620" spans="1:18" x14ac:dyDescent="0.3">
      <c r="A620" s="7">
        <v>110</v>
      </c>
      <c r="B620" s="7">
        <v>83</v>
      </c>
      <c r="C620" s="7">
        <v>0</v>
      </c>
      <c r="D620" s="7">
        <v>0</v>
      </c>
      <c r="E620" s="20" t="str">
        <f t="shared" si="9"/>
        <v>00</v>
      </c>
      <c r="F620" s="21">
        <v>1.04526628445584</v>
      </c>
      <c r="G620" s="4">
        <v>0.128</v>
      </c>
      <c r="H620" s="4">
        <v>0.109311740890688</v>
      </c>
      <c r="I620" s="4">
        <v>3.9E-2</v>
      </c>
      <c r="J620" s="4">
        <v>3.3000000000000002E-2</v>
      </c>
      <c r="K620" s="5">
        <v>100</v>
      </c>
      <c r="L620" s="5">
        <v>100</v>
      </c>
      <c r="M620" s="5">
        <v>100</v>
      </c>
      <c r="N620" s="5">
        <v>100</v>
      </c>
      <c r="O620" s="2">
        <v>0.13696585507315742</v>
      </c>
      <c r="P620" s="2">
        <v>0.11576079027561532</v>
      </c>
      <c r="Q620" s="2">
        <v>3.9780870011844598E-2</v>
      </c>
      <c r="R620" s="2">
        <v>3.3556783528842754E-2</v>
      </c>
    </row>
    <row r="621" spans="1:18" x14ac:dyDescent="0.3">
      <c r="A621" s="7">
        <v>920</v>
      </c>
      <c r="B621" s="7">
        <v>84</v>
      </c>
      <c r="C621" s="7">
        <v>0</v>
      </c>
      <c r="D621" s="7">
        <v>0</v>
      </c>
      <c r="E621" s="20" t="str">
        <f t="shared" si="9"/>
        <v>00</v>
      </c>
      <c r="F621" s="21">
        <v>1.05139192520097</v>
      </c>
      <c r="G621" s="4">
        <v>0.17299999999999999</v>
      </c>
      <c r="H621" s="4">
        <v>0.162886597938144</v>
      </c>
      <c r="I621" s="4">
        <v>1.7000000000000001E-2</v>
      </c>
      <c r="J621" s="4">
        <v>2.4E-2</v>
      </c>
      <c r="K621" s="5">
        <v>100</v>
      </c>
      <c r="L621" s="5">
        <v>100</v>
      </c>
      <c r="M621" s="5">
        <v>100</v>
      </c>
      <c r="N621" s="5">
        <v>100</v>
      </c>
      <c r="O621" s="2">
        <v>0.1899505839584458</v>
      </c>
      <c r="P621" s="2">
        <v>0.17779573133575013</v>
      </c>
      <c r="Q621" s="2">
        <v>1.7146158834970514E-2</v>
      </c>
      <c r="R621" s="2">
        <v>2.4292692569044587E-2</v>
      </c>
    </row>
    <row r="622" spans="1:18" x14ac:dyDescent="0.3">
      <c r="A622" s="7">
        <v>927</v>
      </c>
      <c r="B622" s="7">
        <v>77</v>
      </c>
      <c r="C622" s="7">
        <v>0</v>
      </c>
      <c r="D622" s="7">
        <v>0</v>
      </c>
      <c r="E622" s="20" t="str">
        <f t="shared" si="9"/>
        <v>00</v>
      </c>
      <c r="F622" s="21">
        <v>1.0520049309055799</v>
      </c>
      <c r="G622" s="4">
        <v>0.13100000000000001</v>
      </c>
      <c r="H622" s="4">
        <v>9.5948827292110905E-2</v>
      </c>
      <c r="I622" s="4">
        <v>3.6999999999999998E-2</v>
      </c>
      <c r="J622" s="4">
        <v>2.9000000000000001E-2</v>
      </c>
      <c r="K622" s="5">
        <v>100</v>
      </c>
      <c r="L622" s="5">
        <v>100</v>
      </c>
      <c r="M622" s="5">
        <v>100</v>
      </c>
      <c r="N622" s="5">
        <v>100</v>
      </c>
      <c r="O622" s="2">
        <v>0.14041215371674501</v>
      </c>
      <c r="P622" s="2">
        <v>0.1008693132143217</v>
      </c>
      <c r="Q622" s="2">
        <v>3.7701867184011528E-2</v>
      </c>
      <c r="R622" s="2">
        <v>2.9428810690812168E-2</v>
      </c>
    </row>
    <row r="623" spans="1:18" x14ac:dyDescent="0.3">
      <c r="A623" s="7">
        <v>909</v>
      </c>
      <c r="B623" s="7">
        <v>78</v>
      </c>
      <c r="C623" s="7">
        <v>0</v>
      </c>
      <c r="D623" s="7">
        <v>0</v>
      </c>
      <c r="E623" s="20" t="str">
        <f t="shared" si="9"/>
        <v>00</v>
      </c>
      <c r="F623" s="21">
        <v>1.05626266670242</v>
      </c>
      <c r="G623" s="4">
        <v>0.128</v>
      </c>
      <c r="H623" s="4">
        <v>0.11088709677419401</v>
      </c>
      <c r="I623" s="4">
        <v>0.03</v>
      </c>
      <c r="J623" s="4">
        <v>3.3000000000000002E-2</v>
      </c>
      <c r="K623" s="5">
        <v>100</v>
      </c>
      <c r="L623" s="5">
        <v>100</v>
      </c>
      <c r="M623" s="5">
        <v>100</v>
      </c>
      <c r="N623" s="5">
        <v>100</v>
      </c>
      <c r="O623" s="2">
        <v>0.13696585507315742</v>
      </c>
      <c r="P623" s="2">
        <v>0.11753105127808194</v>
      </c>
      <c r="Q623" s="2">
        <v>3.0459207484708574E-2</v>
      </c>
      <c r="R623" s="2">
        <v>3.3556783528842754E-2</v>
      </c>
    </row>
    <row r="624" spans="1:18" x14ac:dyDescent="0.3">
      <c r="A624" s="7">
        <v>650</v>
      </c>
      <c r="B624" s="7">
        <v>78</v>
      </c>
      <c r="C624" s="7">
        <v>0</v>
      </c>
      <c r="D624" s="7">
        <v>0</v>
      </c>
      <c r="E624" s="20" t="str">
        <f t="shared" si="9"/>
        <v>00</v>
      </c>
      <c r="F624" s="21">
        <v>1.0605231481733099</v>
      </c>
      <c r="G624" s="4">
        <v>0.252</v>
      </c>
      <c r="H624" s="4">
        <v>0.23613963039014399</v>
      </c>
      <c r="I624" s="4">
        <v>0.03</v>
      </c>
      <c r="J624" s="4">
        <v>3.7999999999999999E-2</v>
      </c>
      <c r="K624" s="5">
        <v>100</v>
      </c>
      <c r="L624" s="5">
        <v>100</v>
      </c>
      <c r="M624" s="5">
        <v>100</v>
      </c>
      <c r="N624" s="5">
        <v>100</v>
      </c>
      <c r="O624" s="2">
        <v>0.2903523010076598</v>
      </c>
      <c r="P624" s="2">
        <v>0.26937026880944354</v>
      </c>
      <c r="Q624" s="2">
        <v>3.0459207484708574E-2</v>
      </c>
      <c r="R624" s="2">
        <v>3.8740828316430595E-2</v>
      </c>
    </row>
    <row r="625" spans="1:18" x14ac:dyDescent="0.3">
      <c r="A625" s="7">
        <v>467</v>
      </c>
      <c r="B625" s="7">
        <v>225</v>
      </c>
      <c r="C625" s="7">
        <v>0</v>
      </c>
      <c r="D625" s="7">
        <v>0</v>
      </c>
      <c r="E625" s="20" t="str">
        <f t="shared" si="9"/>
        <v>00</v>
      </c>
      <c r="F625" s="21">
        <v>1.0614324998820599</v>
      </c>
      <c r="G625" s="4">
        <v>0.20899999999999999</v>
      </c>
      <c r="H625" s="4">
        <v>0.14315789473684201</v>
      </c>
      <c r="I625" s="4">
        <v>0.04</v>
      </c>
      <c r="J625" s="4">
        <v>5.0999999999999997E-2</v>
      </c>
      <c r="K625" s="5">
        <v>100</v>
      </c>
      <c r="L625" s="5">
        <v>100</v>
      </c>
      <c r="M625" s="5">
        <v>100</v>
      </c>
      <c r="N625" s="5">
        <v>100</v>
      </c>
      <c r="O625" s="2">
        <v>0.23445731121448313</v>
      </c>
      <c r="P625" s="2">
        <v>0.15450161859204614</v>
      </c>
      <c r="Q625" s="2">
        <v>4.0821994520255166E-2</v>
      </c>
      <c r="R625" s="2">
        <v>5.2346480372209236E-2</v>
      </c>
    </row>
    <row r="626" spans="1:18" x14ac:dyDescent="0.3">
      <c r="A626" s="7">
        <v>68</v>
      </c>
      <c r="B626" s="7">
        <v>93</v>
      </c>
      <c r="C626" s="7">
        <v>0</v>
      </c>
      <c r="D626" s="7">
        <v>0</v>
      </c>
      <c r="E626" s="20" t="str">
        <f t="shared" si="9"/>
        <v>00</v>
      </c>
      <c r="F626" s="21">
        <v>1.06603451896362</v>
      </c>
      <c r="G626" s="4">
        <v>0.22700000000000001</v>
      </c>
      <c r="H626" s="4">
        <v>0.223360655737705</v>
      </c>
      <c r="I626" s="4">
        <v>4.7E-2</v>
      </c>
      <c r="J626" s="4">
        <v>4.1000000000000002E-2</v>
      </c>
      <c r="K626" s="5">
        <v>100</v>
      </c>
      <c r="L626" s="5">
        <v>100</v>
      </c>
      <c r="M626" s="5">
        <v>100</v>
      </c>
      <c r="N626" s="5">
        <v>100</v>
      </c>
      <c r="O626" s="2">
        <v>0.25747623039471507</v>
      </c>
      <c r="P626" s="2">
        <v>0.25277920077072097</v>
      </c>
      <c r="Q626" s="2">
        <v>4.8140375327934984E-2</v>
      </c>
      <c r="R626" s="2">
        <v>4.1864204098698871E-2</v>
      </c>
    </row>
    <row r="627" spans="1:18" x14ac:dyDescent="0.3">
      <c r="A627" s="7">
        <v>490</v>
      </c>
      <c r="B627" s="7">
        <v>112</v>
      </c>
      <c r="C627" s="7">
        <v>0</v>
      </c>
      <c r="D627" s="7">
        <v>0</v>
      </c>
      <c r="E627" s="20" t="str">
        <f t="shared" si="9"/>
        <v>00</v>
      </c>
      <c r="F627" s="21">
        <v>1.08112834366563</v>
      </c>
      <c r="G627" s="4">
        <v>0.188</v>
      </c>
      <c r="H627" s="4">
        <v>0.17311608961303501</v>
      </c>
      <c r="I627" s="4">
        <v>2.8000000000000001E-2</v>
      </c>
      <c r="J627" s="4">
        <v>3.7999999999999999E-2</v>
      </c>
      <c r="K627" s="5">
        <v>100</v>
      </c>
      <c r="L627" s="5">
        <v>100</v>
      </c>
      <c r="M627" s="5">
        <v>100</v>
      </c>
      <c r="N627" s="5">
        <v>100</v>
      </c>
      <c r="O627" s="2">
        <v>0.20825493882045903</v>
      </c>
      <c r="P627" s="2">
        <v>0.19009096819278845</v>
      </c>
      <c r="Q627" s="2">
        <v>2.8399474521698002E-2</v>
      </c>
      <c r="R627" s="2">
        <v>3.8740828316430595E-2</v>
      </c>
    </row>
    <row r="628" spans="1:18" x14ac:dyDescent="0.3">
      <c r="A628" s="7">
        <v>972</v>
      </c>
      <c r="B628" s="7">
        <v>101</v>
      </c>
      <c r="C628" s="7">
        <v>0</v>
      </c>
      <c r="D628" s="7">
        <v>0</v>
      </c>
      <c r="E628" s="20" t="str">
        <f t="shared" si="9"/>
        <v>00</v>
      </c>
      <c r="F628" s="21">
        <v>1.0875842644142899</v>
      </c>
      <c r="G628" s="4">
        <v>0.108</v>
      </c>
      <c r="H628" s="4">
        <v>0.100401606425703</v>
      </c>
      <c r="I628" s="4">
        <v>3.4000000000000002E-2</v>
      </c>
      <c r="J628" s="4">
        <v>4.1000000000000002E-2</v>
      </c>
      <c r="K628" s="5">
        <v>100</v>
      </c>
      <c r="L628" s="5">
        <v>100</v>
      </c>
      <c r="M628" s="5">
        <v>100</v>
      </c>
      <c r="N628" s="5">
        <v>100</v>
      </c>
      <c r="O628" s="2">
        <v>0.11428914640212766</v>
      </c>
      <c r="P628" s="2">
        <v>0.10580684460966791</v>
      </c>
      <c r="Q628" s="2">
        <v>3.459144476961909E-2</v>
      </c>
      <c r="R628" s="2">
        <v>4.1864204098698871E-2</v>
      </c>
    </row>
    <row r="629" spans="1:18" x14ac:dyDescent="0.3">
      <c r="A629" s="7">
        <v>706</v>
      </c>
      <c r="B629" s="7">
        <v>67</v>
      </c>
      <c r="C629" s="7">
        <v>0</v>
      </c>
      <c r="D629" s="7">
        <v>0</v>
      </c>
      <c r="E629" s="20" t="str">
        <f t="shared" si="9"/>
        <v>00</v>
      </c>
      <c r="F629" s="21">
        <v>1.11502268773055</v>
      </c>
      <c r="G629" s="4">
        <v>0.22</v>
      </c>
      <c r="H629" s="4">
        <v>0.12280701754386</v>
      </c>
      <c r="I629" s="4">
        <v>2.7E-2</v>
      </c>
      <c r="J629" s="4">
        <v>3.9E-2</v>
      </c>
      <c r="K629" s="5">
        <v>100</v>
      </c>
      <c r="L629" s="5">
        <v>100</v>
      </c>
      <c r="M629" s="5">
        <v>100</v>
      </c>
      <c r="N629" s="5">
        <v>100</v>
      </c>
      <c r="O629" s="2">
        <v>0.24846135929849961</v>
      </c>
      <c r="P629" s="2">
        <v>0.13102826240640453</v>
      </c>
      <c r="Q629" s="2">
        <v>2.7371196796132015E-2</v>
      </c>
      <c r="R629" s="2">
        <v>3.9780870011844598E-2</v>
      </c>
    </row>
    <row r="630" spans="1:18" x14ac:dyDescent="0.3">
      <c r="A630" s="7">
        <v>27</v>
      </c>
      <c r="B630" s="7">
        <v>72</v>
      </c>
      <c r="C630" s="7">
        <v>0</v>
      </c>
      <c r="D630" s="7">
        <v>0</v>
      </c>
      <c r="E630" s="20" t="str">
        <f t="shared" si="9"/>
        <v>00</v>
      </c>
      <c r="F630" s="21">
        <v>1.11601553399139</v>
      </c>
      <c r="G630" s="4">
        <v>0.157</v>
      </c>
      <c r="H630" s="4">
        <v>0.15959595959596001</v>
      </c>
      <c r="I630" s="4">
        <v>0.03</v>
      </c>
      <c r="J630" s="4">
        <v>0.03</v>
      </c>
      <c r="K630" s="5">
        <v>100</v>
      </c>
      <c r="L630" s="5">
        <v>100</v>
      </c>
      <c r="M630" s="5">
        <v>100</v>
      </c>
      <c r="N630" s="5">
        <v>100</v>
      </c>
      <c r="O630" s="2">
        <v>0.17078832098028163</v>
      </c>
      <c r="P630" s="2">
        <v>0.17387250230742746</v>
      </c>
      <c r="Q630" s="2">
        <v>3.0459207484708574E-2</v>
      </c>
      <c r="R630" s="2">
        <v>3.0459207484708574E-2</v>
      </c>
    </row>
    <row r="631" spans="1:18" x14ac:dyDescent="0.3">
      <c r="A631" s="7">
        <v>165</v>
      </c>
      <c r="B631" s="7">
        <v>74</v>
      </c>
      <c r="C631" s="7">
        <v>0</v>
      </c>
      <c r="D631" s="7">
        <v>0</v>
      </c>
      <c r="E631" s="20" t="str">
        <f t="shared" si="9"/>
        <v>00</v>
      </c>
      <c r="F631" s="21">
        <v>1.11872136453279</v>
      </c>
      <c r="G631" s="4">
        <v>0.16500000000000001</v>
      </c>
      <c r="H631" s="4">
        <v>0.17073170731707299</v>
      </c>
      <c r="I631" s="4">
        <v>0.72</v>
      </c>
      <c r="J631" s="4">
        <v>0.68300000000000005</v>
      </c>
      <c r="K631" s="5">
        <v>100</v>
      </c>
      <c r="L631" s="5">
        <v>100</v>
      </c>
      <c r="M631" s="5">
        <v>0</v>
      </c>
      <c r="N631" s="5">
        <v>0</v>
      </c>
      <c r="O631" s="2">
        <v>0.18032355413128162</v>
      </c>
      <c r="P631" s="2">
        <v>0.18721154208814619</v>
      </c>
      <c r="Q631" s="2">
        <v>1.2729656758128873</v>
      </c>
      <c r="R631" s="2">
        <v>1.1488535051048565</v>
      </c>
    </row>
    <row r="632" spans="1:18" x14ac:dyDescent="0.3">
      <c r="A632" s="7">
        <v>325</v>
      </c>
      <c r="B632" s="7">
        <v>78</v>
      </c>
      <c r="C632" s="7">
        <v>0</v>
      </c>
      <c r="D632" s="7">
        <v>0</v>
      </c>
      <c r="E632" s="20" t="str">
        <f t="shared" si="9"/>
        <v>00</v>
      </c>
      <c r="F632" s="21">
        <v>1.1227768676721801</v>
      </c>
      <c r="G632" s="4">
        <v>0.20300000000000001</v>
      </c>
      <c r="H632" s="4">
        <v>0.18052738336714</v>
      </c>
      <c r="I632" s="4">
        <v>0.04</v>
      </c>
      <c r="J632" s="4">
        <v>3.4000000000000002E-2</v>
      </c>
      <c r="K632" s="5">
        <v>100</v>
      </c>
      <c r="L632" s="5">
        <v>100</v>
      </c>
      <c r="M632" s="5">
        <v>100</v>
      </c>
      <c r="N632" s="5">
        <v>100</v>
      </c>
      <c r="O632" s="2">
        <v>0.2269006001919221</v>
      </c>
      <c r="P632" s="2">
        <v>0.19909429608154011</v>
      </c>
      <c r="Q632" s="2">
        <v>4.0821994520255166E-2</v>
      </c>
      <c r="R632" s="2">
        <v>3.459144476961909E-2</v>
      </c>
    </row>
    <row r="633" spans="1:18" x14ac:dyDescent="0.3">
      <c r="A633" s="7">
        <v>168</v>
      </c>
      <c r="B633" s="7">
        <v>276</v>
      </c>
      <c r="C633" s="7">
        <v>0</v>
      </c>
      <c r="D633" s="7">
        <v>0</v>
      </c>
      <c r="E633" s="20" t="str">
        <f t="shared" si="9"/>
        <v>00</v>
      </c>
      <c r="F633" s="21">
        <v>1.1231125915544</v>
      </c>
      <c r="G633" s="4">
        <v>0.23300000000000001</v>
      </c>
      <c r="H633" s="4">
        <v>0.23742454728370199</v>
      </c>
      <c r="I633" s="4">
        <v>2.1999999999999999E-2</v>
      </c>
      <c r="J633" s="4">
        <v>3.5000000000000003E-2</v>
      </c>
      <c r="K633" s="5">
        <v>100</v>
      </c>
      <c r="L633" s="5">
        <v>100</v>
      </c>
      <c r="M633" s="5">
        <v>100</v>
      </c>
      <c r="N633" s="5">
        <v>100</v>
      </c>
      <c r="O633" s="2">
        <v>0.26526847761488087</v>
      </c>
      <c r="P633" s="2">
        <v>0.27105382101420211</v>
      </c>
      <c r="Q633" s="2">
        <v>2.2245608947319737E-2</v>
      </c>
      <c r="R633" s="2">
        <v>3.562717764315116E-2</v>
      </c>
    </row>
    <row r="634" spans="1:18" x14ac:dyDescent="0.3">
      <c r="A634" s="7">
        <v>868</v>
      </c>
      <c r="B634" s="7">
        <v>80</v>
      </c>
      <c r="C634" s="7">
        <v>0</v>
      </c>
      <c r="D634" s="7">
        <v>0</v>
      </c>
      <c r="E634" s="20" t="str">
        <f t="shared" si="9"/>
        <v>00</v>
      </c>
      <c r="F634" s="21">
        <v>1.12606753626371</v>
      </c>
      <c r="G634" s="4">
        <v>0.16500000000000001</v>
      </c>
      <c r="H634" s="4">
        <v>0.119587628865979</v>
      </c>
      <c r="I634" s="4">
        <v>4.2999999999999997E-2</v>
      </c>
      <c r="J634" s="4">
        <v>0.03</v>
      </c>
      <c r="K634" s="5">
        <v>100</v>
      </c>
      <c r="L634" s="5">
        <v>100</v>
      </c>
      <c r="M634" s="5">
        <v>100</v>
      </c>
      <c r="N634" s="5">
        <v>100</v>
      </c>
      <c r="O634" s="2">
        <v>0.18032355413128162</v>
      </c>
      <c r="P634" s="2">
        <v>0.12736487770885815</v>
      </c>
      <c r="Q634" s="2">
        <v>4.3951887529182831E-2</v>
      </c>
      <c r="R634" s="2">
        <v>3.0459207484708574E-2</v>
      </c>
    </row>
    <row r="635" spans="1:18" x14ac:dyDescent="0.3">
      <c r="A635" s="7">
        <v>510</v>
      </c>
      <c r="B635" s="7">
        <v>260</v>
      </c>
      <c r="C635" s="7">
        <v>0</v>
      </c>
      <c r="D635" s="7">
        <v>0</v>
      </c>
      <c r="E635" s="20" t="str">
        <f t="shared" si="9"/>
        <v>00</v>
      </c>
      <c r="F635" s="21">
        <v>1.1276947269261901</v>
      </c>
      <c r="G635" s="4">
        <v>0.38400000000000001</v>
      </c>
      <c r="H635" s="4">
        <v>0.36477987421383601</v>
      </c>
      <c r="I635" s="4">
        <v>2.8000000000000001E-2</v>
      </c>
      <c r="J635" s="4">
        <v>4.2999999999999997E-2</v>
      </c>
      <c r="K635" s="5">
        <v>100</v>
      </c>
      <c r="L635" s="5">
        <v>100</v>
      </c>
      <c r="M635" s="5">
        <v>100</v>
      </c>
      <c r="N635" s="5">
        <v>100</v>
      </c>
      <c r="O635" s="2">
        <v>0.48450831544861728</v>
      </c>
      <c r="P635" s="2">
        <v>0.45378368537897124</v>
      </c>
      <c r="Q635" s="2">
        <v>2.8399474521698002E-2</v>
      </c>
      <c r="R635" s="2">
        <v>4.3951887529182831E-2</v>
      </c>
    </row>
    <row r="636" spans="1:18" x14ac:dyDescent="0.3">
      <c r="A636" s="7">
        <v>883</v>
      </c>
      <c r="B636" s="7">
        <v>62</v>
      </c>
      <c r="C636" s="7">
        <v>0</v>
      </c>
      <c r="D636" s="7">
        <v>0</v>
      </c>
      <c r="E636" s="20" t="str">
        <f t="shared" si="9"/>
        <v>00</v>
      </c>
      <c r="F636" s="21">
        <v>1.12922820321948</v>
      </c>
      <c r="G636" s="4">
        <v>0.17799999999999999</v>
      </c>
      <c r="H636" s="4">
        <v>0.15031315240083501</v>
      </c>
      <c r="I636" s="4">
        <v>1.4E-2</v>
      </c>
      <c r="J636" s="4">
        <v>3.4000000000000002E-2</v>
      </c>
      <c r="K636" s="5">
        <v>100</v>
      </c>
      <c r="L636" s="5">
        <v>100</v>
      </c>
      <c r="M636" s="5">
        <v>100</v>
      </c>
      <c r="N636" s="5">
        <v>100</v>
      </c>
      <c r="O636" s="2">
        <v>0.19601488392595706</v>
      </c>
      <c r="P636" s="2">
        <v>0.16288741196832013</v>
      </c>
      <c r="Q636" s="2">
        <v>1.4098924379501648E-2</v>
      </c>
      <c r="R636" s="2">
        <v>3.459144476961909E-2</v>
      </c>
    </row>
    <row r="637" spans="1:18" x14ac:dyDescent="0.3">
      <c r="A637" s="7">
        <v>993</v>
      </c>
      <c r="B637" s="7">
        <v>152</v>
      </c>
      <c r="C637" s="7">
        <v>0</v>
      </c>
      <c r="D637" s="7">
        <v>0</v>
      </c>
      <c r="E637" s="20" t="str">
        <f t="shared" si="9"/>
        <v>00</v>
      </c>
      <c r="F637" s="21">
        <v>1.1322587408284199</v>
      </c>
      <c r="G637" s="4">
        <v>0.105</v>
      </c>
      <c r="H637" s="4">
        <v>0.11044176706827299</v>
      </c>
      <c r="I637" s="4">
        <v>4.9000000000000002E-2</v>
      </c>
      <c r="J637" s="4">
        <v>4.5999999999999999E-2</v>
      </c>
      <c r="K637" s="5">
        <v>100</v>
      </c>
      <c r="L637" s="5">
        <v>100</v>
      </c>
      <c r="M637" s="5">
        <v>100</v>
      </c>
      <c r="N637" s="5">
        <v>100</v>
      </c>
      <c r="O637" s="2">
        <v>0.11093156070728166</v>
      </c>
      <c r="P637" s="2">
        <v>0.1170303069795172</v>
      </c>
      <c r="Q637" s="2">
        <v>5.024121643674679E-2</v>
      </c>
      <c r="R637" s="2">
        <v>4.7091607533850569E-2</v>
      </c>
    </row>
    <row r="638" spans="1:18" x14ac:dyDescent="0.3">
      <c r="A638" s="7">
        <v>857</v>
      </c>
      <c r="B638" s="7">
        <v>69</v>
      </c>
      <c r="C638" s="7">
        <v>0</v>
      </c>
      <c r="D638" s="7">
        <v>0</v>
      </c>
      <c r="E638" s="20" t="str">
        <f t="shared" si="9"/>
        <v>00</v>
      </c>
      <c r="F638" s="21">
        <v>1.1391453758171199</v>
      </c>
      <c r="G638" s="4">
        <v>0.17399999999999999</v>
      </c>
      <c r="H638" s="4">
        <v>0.168016194331984</v>
      </c>
      <c r="I638" s="4">
        <v>1.9E-2</v>
      </c>
      <c r="J638" s="4">
        <v>2.4E-2</v>
      </c>
      <c r="K638" s="5">
        <v>100</v>
      </c>
      <c r="L638" s="5">
        <v>100</v>
      </c>
      <c r="M638" s="5">
        <v>100</v>
      </c>
      <c r="N638" s="5">
        <v>100</v>
      </c>
      <c r="O638" s="2">
        <v>0.1911605054611589</v>
      </c>
      <c r="P638" s="2">
        <v>0.18394230269168813</v>
      </c>
      <c r="Q638" s="2">
        <v>1.9182819416773987E-2</v>
      </c>
      <c r="R638" s="2">
        <v>2.4292692569044587E-2</v>
      </c>
    </row>
    <row r="639" spans="1:18" x14ac:dyDescent="0.3">
      <c r="A639" s="7">
        <v>239</v>
      </c>
      <c r="B639" s="7">
        <v>77</v>
      </c>
      <c r="C639" s="7">
        <v>0</v>
      </c>
      <c r="D639" s="7">
        <v>0</v>
      </c>
      <c r="E639" s="20" t="str">
        <f t="shared" si="9"/>
        <v>00</v>
      </c>
      <c r="F639" s="21">
        <v>1.14519774389146</v>
      </c>
      <c r="G639" s="4">
        <v>0.20899999999999999</v>
      </c>
      <c r="H639" s="4">
        <v>0.22222222222222199</v>
      </c>
      <c r="I639" s="4">
        <v>4.4999999999999998E-2</v>
      </c>
      <c r="J639" s="4">
        <v>6.3E-2</v>
      </c>
      <c r="K639" s="5">
        <v>100</v>
      </c>
      <c r="L639" s="5">
        <v>100</v>
      </c>
      <c r="M639" s="5">
        <v>100</v>
      </c>
      <c r="N639" s="5">
        <v>100</v>
      </c>
      <c r="O639" s="2">
        <v>0.23445731121448313</v>
      </c>
      <c r="P639" s="2">
        <v>0.25131442828090578</v>
      </c>
      <c r="Q639" s="2">
        <v>4.6043938501406846E-2</v>
      </c>
      <c r="R639" s="2">
        <v>6.5071996743714805E-2</v>
      </c>
    </row>
    <row r="640" spans="1:18" x14ac:dyDescent="0.3">
      <c r="A640" s="7">
        <v>933</v>
      </c>
      <c r="B640" s="7">
        <v>77</v>
      </c>
      <c r="C640" s="7">
        <v>0</v>
      </c>
      <c r="D640" s="7">
        <v>0</v>
      </c>
      <c r="E640" s="20" t="str">
        <f t="shared" si="9"/>
        <v>00</v>
      </c>
      <c r="F640" s="21">
        <v>1.1459976058851</v>
      </c>
      <c r="G640" s="4">
        <v>0.31900000000000001</v>
      </c>
      <c r="H640" s="4">
        <v>0.25541125541125498</v>
      </c>
      <c r="I640" s="4">
        <v>0.70299999999999996</v>
      </c>
      <c r="J640" s="4">
        <v>0.64900000000000002</v>
      </c>
      <c r="K640" s="5">
        <v>100</v>
      </c>
      <c r="L640" s="5">
        <v>100</v>
      </c>
      <c r="M640" s="5">
        <v>0</v>
      </c>
      <c r="N640" s="5">
        <v>0</v>
      </c>
      <c r="O640" s="2">
        <v>0.3841929728326246</v>
      </c>
      <c r="P640" s="2">
        <v>0.29492323370833989</v>
      </c>
      <c r="Q640" s="2">
        <v>1.2140231401794372</v>
      </c>
      <c r="R640" s="2">
        <v>1.0469690555162714</v>
      </c>
    </row>
    <row r="641" spans="1:18" x14ac:dyDescent="0.3">
      <c r="A641" s="7">
        <v>873</v>
      </c>
      <c r="B641" s="7">
        <v>66</v>
      </c>
      <c r="C641" s="7">
        <v>0</v>
      </c>
      <c r="D641" s="7">
        <v>0</v>
      </c>
      <c r="E641" s="20" t="str">
        <f t="shared" si="9"/>
        <v>00</v>
      </c>
      <c r="F641" s="21">
        <v>1.1645828277224299</v>
      </c>
      <c r="G641" s="4">
        <v>0.42599999999999999</v>
      </c>
      <c r="H641" s="4">
        <v>0.33105022831050201</v>
      </c>
      <c r="I641" s="4">
        <v>3.2000000000000001E-2</v>
      </c>
      <c r="J641" s="4">
        <v>4.8000000000000001E-2</v>
      </c>
      <c r="K641" s="5">
        <v>100</v>
      </c>
      <c r="L641" s="5">
        <v>100</v>
      </c>
      <c r="M641" s="5">
        <v>100</v>
      </c>
      <c r="N641" s="5">
        <v>100</v>
      </c>
      <c r="O641" s="2">
        <v>0.55512588266257057</v>
      </c>
      <c r="P641" s="2">
        <v>0.40204630135937841</v>
      </c>
      <c r="Q641" s="2">
        <v>3.2523191705560062E-2</v>
      </c>
      <c r="R641" s="2">
        <v>4.9190244190771781E-2</v>
      </c>
    </row>
    <row r="642" spans="1:18" x14ac:dyDescent="0.3">
      <c r="A642" s="7">
        <v>773</v>
      </c>
      <c r="B642" s="7">
        <v>68</v>
      </c>
      <c r="C642" s="7">
        <v>0</v>
      </c>
      <c r="D642" s="7">
        <v>0</v>
      </c>
      <c r="E642" s="20" t="str">
        <f t="shared" ref="E642:E705" si="10">_xlfn.CONCAT(C642,D642)</f>
        <v>00</v>
      </c>
      <c r="F642" s="21">
        <v>1.1723467130337599</v>
      </c>
      <c r="G642" s="4">
        <v>0.156</v>
      </c>
      <c r="H642" s="4">
        <v>0.13131313131313099</v>
      </c>
      <c r="I642" s="4">
        <v>4.5999999999999999E-2</v>
      </c>
      <c r="J642" s="4">
        <v>4.2000000000000003E-2</v>
      </c>
      <c r="K642" s="5">
        <v>100</v>
      </c>
      <c r="L642" s="5">
        <v>100</v>
      </c>
      <c r="M642" s="5">
        <v>100</v>
      </c>
      <c r="N642" s="5">
        <v>100</v>
      </c>
      <c r="O642" s="2">
        <v>0.16960278438617998</v>
      </c>
      <c r="P642" s="2">
        <v>0.1407725538810819</v>
      </c>
      <c r="Q642" s="2">
        <v>4.7091607533850569E-2</v>
      </c>
      <c r="R642" s="2">
        <v>4.290750101127655E-2</v>
      </c>
    </row>
    <row r="643" spans="1:18" x14ac:dyDescent="0.3">
      <c r="A643" s="7">
        <v>320</v>
      </c>
      <c r="B643" s="7">
        <v>66</v>
      </c>
      <c r="C643" s="7">
        <v>0</v>
      </c>
      <c r="D643" s="7">
        <v>0</v>
      </c>
      <c r="E643" s="20" t="str">
        <f t="shared" si="10"/>
        <v>00</v>
      </c>
      <c r="F643" s="21">
        <v>1.17250970848258</v>
      </c>
      <c r="G643" s="4">
        <v>9.1999999999999998E-2</v>
      </c>
      <c r="H643" s="4">
        <v>4.1753653444676402E-2</v>
      </c>
      <c r="I643" s="4">
        <v>1.6E-2</v>
      </c>
      <c r="J643" s="4">
        <v>2.3E-2</v>
      </c>
      <c r="K643" s="5">
        <v>100</v>
      </c>
      <c r="L643" s="5">
        <v>100</v>
      </c>
      <c r="M643" s="5">
        <v>100</v>
      </c>
      <c r="N643" s="5">
        <v>100</v>
      </c>
      <c r="O643" s="2">
        <v>9.6510900380843728E-2</v>
      </c>
      <c r="P643" s="2">
        <v>4.2650387350370078E-2</v>
      </c>
      <c r="Q643" s="2">
        <v>1.6129381929883644E-2</v>
      </c>
      <c r="R643" s="2">
        <v>2.3268626939354331E-2</v>
      </c>
    </row>
    <row r="644" spans="1:18" x14ac:dyDescent="0.3">
      <c r="A644" s="7">
        <v>330</v>
      </c>
      <c r="B644" s="7">
        <v>69</v>
      </c>
      <c r="C644" s="7">
        <v>0</v>
      </c>
      <c r="D644" s="7">
        <v>0</v>
      </c>
      <c r="E644" s="20" t="str">
        <f t="shared" si="10"/>
        <v>00</v>
      </c>
      <c r="F644" s="21">
        <v>1.18173987315055</v>
      </c>
      <c r="G644" s="4">
        <v>0.107</v>
      </c>
      <c r="H644" s="4">
        <v>8.6693548387096794E-2</v>
      </c>
      <c r="I644" s="4">
        <v>0.59199999999999997</v>
      </c>
      <c r="J644" s="4">
        <v>0.55400000000000005</v>
      </c>
      <c r="K644" s="5">
        <v>100</v>
      </c>
      <c r="L644" s="5">
        <v>100</v>
      </c>
      <c r="M644" s="5">
        <v>0</v>
      </c>
      <c r="N644" s="5">
        <v>0</v>
      </c>
      <c r="O644" s="2">
        <v>0.11316869810563798</v>
      </c>
      <c r="P644" s="2">
        <v>9.0683801241893444E-2</v>
      </c>
      <c r="Q644" s="2">
        <v>0.89648810457797523</v>
      </c>
      <c r="R644" s="2">
        <v>0.80743632696207313</v>
      </c>
    </row>
    <row r="645" spans="1:18" x14ac:dyDescent="0.3">
      <c r="A645" s="7">
        <v>339</v>
      </c>
      <c r="B645" s="7">
        <v>144</v>
      </c>
      <c r="C645" s="7">
        <v>0</v>
      </c>
      <c r="D645" s="7">
        <v>0</v>
      </c>
      <c r="E645" s="20" t="str">
        <f t="shared" si="10"/>
        <v>00</v>
      </c>
      <c r="F645" s="21">
        <v>1.1868369162016801</v>
      </c>
      <c r="G645" s="4">
        <v>0.252</v>
      </c>
      <c r="H645" s="4">
        <v>0.23684210526315799</v>
      </c>
      <c r="I645" s="4">
        <v>5.2999999999999999E-2</v>
      </c>
      <c r="J645" s="4">
        <v>3.5000000000000003E-2</v>
      </c>
      <c r="K645" s="5">
        <v>100</v>
      </c>
      <c r="L645" s="5">
        <v>100</v>
      </c>
      <c r="M645" s="5">
        <v>100</v>
      </c>
      <c r="N645" s="5">
        <v>100</v>
      </c>
      <c r="O645" s="2">
        <v>0.2903523010076598</v>
      </c>
      <c r="P645" s="2">
        <v>0.27029032973991185</v>
      </c>
      <c r="Q645" s="2">
        <v>5.4456185796058855E-2</v>
      </c>
      <c r="R645" s="2">
        <v>3.562717764315116E-2</v>
      </c>
    </row>
    <row r="646" spans="1:18" x14ac:dyDescent="0.3">
      <c r="A646" s="7">
        <v>351</v>
      </c>
      <c r="B646" s="7">
        <v>57</v>
      </c>
      <c r="C646" s="7">
        <v>0</v>
      </c>
      <c r="D646" s="7">
        <v>0</v>
      </c>
      <c r="E646" s="20" t="str">
        <f t="shared" si="10"/>
        <v>00</v>
      </c>
      <c r="F646" s="21">
        <v>1.1944035919437801</v>
      </c>
      <c r="G646" s="4">
        <v>0.26300000000000001</v>
      </c>
      <c r="H646" s="4">
        <v>0.25879917184265</v>
      </c>
      <c r="I646" s="4">
        <v>6.0999999999999999E-2</v>
      </c>
      <c r="J646" s="4">
        <v>7.8E-2</v>
      </c>
      <c r="K646" s="5">
        <v>100</v>
      </c>
      <c r="L646" s="5">
        <v>100</v>
      </c>
      <c r="M646" s="5">
        <v>100</v>
      </c>
      <c r="N646" s="5">
        <v>100</v>
      </c>
      <c r="O646" s="2">
        <v>0.30516738679280048</v>
      </c>
      <c r="P646" s="2">
        <v>0.29948366725187225</v>
      </c>
      <c r="Q646" s="2">
        <v>6.2939799773874081E-2</v>
      </c>
      <c r="R646" s="2">
        <v>8.1210055425543173E-2</v>
      </c>
    </row>
    <row r="647" spans="1:18" x14ac:dyDescent="0.3">
      <c r="A647" s="7">
        <v>850</v>
      </c>
      <c r="B647" s="7">
        <v>54</v>
      </c>
      <c r="C647" s="7">
        <v>0</v>
      </c>
      <c r="D647" s="7">
        <v>0</v>
      </c>
      <c r="E647" s="20" t="str">
        <f t="shared" si="10"/>
        <v>00</v>
      </c>
      <c r="F647" s="21">
        <v>1.19846280618418</v>
      </c>
      <c r="G647" s="4">
        <v>0.36</v>
      </c>
      <c r="H647" s="4">
        <v>0.34033613445378202</v>
      </c>
      <c r="I647" s="4">
        <v>2.3E-2</v>
      </c>
      <c r="J647" s="4">
        <v>4.8000000000000001E-2</v>
      </c>
      <c r="K647" s="5">
        <v>100</v>
      </c>
      <c r="L647" s="5">
        <v>100</v>
      </c>
      <c r="M647" s="5">
        <v>100</v>
      </c>
      <c r="N647" s="5">
        <v>100</v>
      </c>
      <c r="O647" s="2">
        <v>0.44628710262841947</v>
      </c>
      <c r="P647" s="2">
        <v>0.41602486832316748</v>
      </c>
      <c r="Q647" s="2">
        <v>2.3268626939354331E-2</v>
      </c>
      <c r="R647" s="2">
        <v>4.9190244190771781E-2</v>
      </c>
    </row>
    <row r="648" spans="1:18" x14ac:dyDescent="0.3">
      <c r="A648" s="7">
        <v>648</v>
      </c>
      <c r="B648" s="7">
        <v>76</v>
      </c>
      <c r="C648" s="7">
        <v>0</v>
      </c>
      <c r="D648" s="7">
        <v>0</v>
      </c>
      <c r="E648" s="20" t="str">
        <f t="shared" si="10"/>
        <v>00</v>
      </c>
      <c r="F648" s="21">
        <v>1.2123534752201699</v>
      </c>
      <c r="G648" s="4">
        <v>0.216</v>
      </c>
      <c r="H648" s="4">
        <v>0.178343949044586</v>
      </c>
      <c r="I648" s="4">
        <v>5.7000000000000002E-2</v>
      </c>
      <c r="J648" s="4">
        <v>4.5999999999999999E-2</v>
      </c>
      <c r="K648" s="5">
        <v>100</v>
      </c>
      <c r="L648" s="5">
        <v>100</v>
      </c>
      <c r="M648" s="5">
        <v>100</v>
      </c>
      <c r="N648" s="5">
        <v>100</v>
      </c>
      <c r="O648" s="2">
        <v>0.24334625863172918</v>
      </c>
      <c r="P648" s="2">
        <v>0.19643340098663589</v>
      </c>
      <c r="Q648" s="2">
        <v>5.8688996348679613E-2</v>
      </c>
      <c r="R648" s="2">
        <v>4.7091607533850569E-2</v>
      </c>
    </row>
    <row r="649" spans="1:18" x14ac:dyDescent="0.3">
      <c r="A649" s="7">
        <v>5</v>
      </c>
      <c r="B649" s="7">
        <v>66</v>
      </c>
      <c r="C649" s="7">
        <v>0</v>
      </c>
      <c r="D649" s="7">
        <v>0</v>
      </c>
      <c r="E649" s="20" t="str">
        <f t="shared" si="10"/>
        <v>00</v>
      </c>
      <c r="F649" s="21">
        <v>1.2246119623701801</v>
      </c>
      <c r="G649" s="4">
        <v>0.78200000000000003</v>
      </c>
      <c r="H649" s="4">
        <v>0.65804597701149403</v>
      </c>
      <c r="I649" s="4">
        <v>0.04</v>
      </c>
      <c r="J649" s="4">
        <v>5.2999999999999999E-2</v>
      </c>
      <c r="K649" s="5">
        <v>0</v>
      </c>
      <c r="L649" s="5">
        <v>0</v>
      </c>
      <c r="M649" s="5">
        <v>100</v>
      </c>
      <c r="N649" s="5">
        <v>100</v>
      </c>
      <c r="O649" s="2">
        <v>1.5232602161930482</v>
      </c>
      <c r="P649" s="2">
        <v>1.0730789866629442</v>
      </c>
      <c r="Q649" s="2">
        <v>4.0821994520255166E-2</v>
      </c>
      <c r="R649" s="2">
        <v>5.4456185796058855E-2</v>
      </c>
    </row>
    <row r="650" spans="1:18" x14ac:dyDescent="0.3">
      <c r="A650" s="7">
        <v>601</v>
      </c>
      <c r="B650" s="7">
        <v>60</v>
      </c>
      <c r="C650" s="7">
        <v>0</v>
      </c>
      <c r="D650" s="7">
        <v>0</v>
      </c>
      <c r="E650" s="20" t="str">
        <f t="shared" si="10"/>
        <v>00</v>
      </c>
      <c r="F650" s="21">
        <v>1.2454550265700199</v>
      </c>
      <c r="G650" s="4">
        <v>0.115</v>
      </c>
      <c r="H650" s="4">
        <v>0.119433198380567</v>
      </c>
      <c r="I650" s="4">
        <v>3.3000000000000002E-2</v>
      </c>
      <c r="J650" s="4">
        <v>4.4999999999999998E-2</v>
      </c>
      <c r="K650" s="5">
        <v>100</v>
      </c>
      <c r="L650" s="5">
        <v>100</v>
      </c>
      <c r="M650" s="5">
        <v>100</v>
      </c>
      <c r="N650" s="5">
        <v>100</v>
      </c>
      <c r="O650" s="2">
        <v>0.12216763397420753</v>
      </c>
      <c r="P650" s="2">
        <v>0.12718948609923861</v>
      </c>
      <c r="Q650" s="2">
        <v>3.3556783528842754E-2</v>
      </c>
      <c r="R650" s="2">
        <v>4.6043938501406846E-2</v>
      </c>
    </row>
    <row r="651" spans="1:18" x14ac:dyDescent="0.3">
      <c r="A651" s="7">
        <v>282</v>
      </c>
      <c r="B651" s="7">
        <v>57</v>
      </c>
      <c r="C651" s="7">
        <v>0</v>
      </c>
      <c r="D651" s="7">
        <v>0</v>
      </c>
      <c r="E651" s="20" t="str">
        <f t="shared" si="10"/>
        <v>00</v>
      </c>
      <c r="F651" s="21">
        <v>1.25026493418429</v>
      </c>
      <c r="G651" s="4">
        <v>0.10199999999999999</v>
      </c>
      <c r="H651" s="4">
        <v>9.4377510040160595E-2</v>
      </c>
      <c r="I651" s="4">
        <v>5.0999999999999997E-2</v>
      </c>
      <c r="J651" s="4">
        <v>2.7E-2</v>
      </c>
      <c r="K651" s="5">
        <v>100</v>
      </c>
      <c r="L651" s="5">
        <v>100</v>
      </c>
      <c r="M651" s="5">
        <v>100</v>
      </c>
      <c r="N651" s="5">
        <v>100</v>
      </c>
      <c r="O651" s="2">
        <v>0.10758521067993743</v>
      </c>
      <c r="P651" s="2">
        <v>9.9132737521974518E-2</v>
      </c>
      <c r="Q651" s="2">
        <v>5.2346480372209236E-2</v>
      </c>
      <c r="R651" s="2">
        <v>2.7371196796132015E-2</v>
      </c>
    </row>
    <row r="652" spans="1:18" x14ac:dyDescent="0.3">
      <c r="A652" s="7">
        <v>740</v>
      </c>
      <c r="B652" s="7">
        <v>60</v>
      </c>
      <c r="C652" s="7">
        <v>0</v>
      </c>
      <c r="D652" s="7">
        <v>0</v>
      </c>
      <c r="E652" s="20" t="str">
        <f t="shared" si="10"/>
        <v>00</v>
      </c>
      <c r="F652" s="21">
        <v>1.25476319222697</v>
      </c>
      <c r="G652" s="4">
        <v>0.14099999999999999</v>
      </c>
      <c r="H652" s="4">
        <v>9.3816631130063999E-2</v>
      </c>
      <c r="I652" s="4">
        <v>3.5000000000000003E-2</v>
      </c>
      <c r="J652" s="4">
        <v>3.7999999999999999E-2</v>
      </c>
      <c r="K652" s="5">
        <v>100</v>
      </c>
      <c r="L652" s="5">
        <v>100</v>
      </c>
      <c r="M652" s="5">
        <v>100</v>
      </c>
      <c r="N652" s="5">
        <v>100</v>
      </c>
      <c r="O652" s="2">
        <v>0.15198635699788171</v>
      </c>
      <c r="P652" s="2">
        <v>9.8513599521862574E-2</v>
      </c>
      <c r="Q652" s="2">
        <v>3.562717764315116E-2</v>
      </c>
      <c r="R652" s="2">
        <v>3.8740828316430595E-2</v>
      </c>
    </row>
    <row r="653" spans="1:18" x14ac:dyDescent="0.3">
      <c r="A653" s="7">
        <v>223</v>
      </c>
      <c r="B653" s="7">
        <v>67</v>
      </c>
      <c r="C653" s="7">
        <v>0</v>
      </c>
      <c r="D653" s="7">
        <v>0</v>
      </c>
      <c r="E653" s="20" t="str">
        <f t="shared" si="10"/>
        <v>00</v>
      </c>
      <c r="F653" s="21">
        <v>1.2570314301227301</v>
      </c>
      <c r="G653" s="4">
        <v>7.4999999999999997E-2</v>
      </c>
      <c r="H653" s="4">
        <v>8.4168336673346694E-2</v>
      </c>
      <c r="I653" s="4">
        <v>3.7999999999999999E-2</v>
      </c>
      <c r="J653" s="4">
        <v>4.7E-2</v>
      </c>
      <c r="K653" s="5">
        <v>100</v>
      </c>
      <c r="L653" s="5">
        <v>100</v>
      </c>
      <c r="M653" s="5">
        <v>100</v>
      </c>
      <c r="N653" s="5">
        <v>100</v>
      </c>
      <c r="O653" s="2">
        <v>7.7961541469711806E-2</v>
      </c>
      <c r="P653" s="2">
        <v>8.7922704857313932E-2</v>
      </c>
      <c r="Q653" s="2">
        <v>3.8740828316430595E-2</v>
      </c>
      <c r="R653" s="2">
        <v>4.8140375327934984E-2</v>
      </c>
    </row>
    <row r="654" spans="1:18" x14ac:dyDescent="0.3">
      <c r="A654" s="7">
        <v>216</v>
      </c>
      <c r="B654" s="7">
        <v>58</v>
      </c>
      <c r="C654" s="7">
        <v>0</v>
      </c>
      <c r="D654" s="7">
        <v>0</v>
      </c>
      <c r="E654" s="20" t="str">
        <f t="shared" si="10"/>
        <v>00</v>
      </c>
      <c r="F654" s="21">
        <v>1.2775028399227399</v>
      </c>
      <c r="G654" s="4">
        <v>6.8000000000000005E-2</v>
      </c>
      <c r="H654" s="4">
        <v>6.6666666666666693E-2</v>
      </c>
      <c r="I654" s="4">
        <v>0.26700000000000002</v>
      </c>
      <c r="J654" s="4">
        <v>0.24099999999999999</v>
      </c>
      <c r="K654" s="5">
        <v>100</v>
      </c>
      <c r="L654" s="5">
        <v>100</v>
      </c>
      <c r="M654" s="5">
        <v>100</v>
      </c>
      <c r="N654" s="5">
        <v>100</v>
      </c>
      <c r="O654" s="2">
        <v>7.0422464296545931E-2</v>
      </c>
      <c r="P654" s="2">
        <v>6.8992871486951435E-2</v>
      </c>
      <c r="Q654" s="2">
        <v>0.31060957709548559</v>
      </c>
      <c r="R654" s="2">
        <v>0.27575350158650713</v>
      </c>
    </row>
    <row r="655" spans="1:18" x14ac:dyDescent="0.3">
      <c r="A655" s="7">
        <v>272</v>
      </c>
      <c r="B655" s="7">
        <v>69</v>
      </c>
      <c r="C655" s="7">
        <v>0</v>
      </c>
      <c r="D655" s="7">
        <v>0</v>
      </c>
      <c r="E655" s="20" t="str">
        <f t="shared" si="10"/>
        <v>00</v>
      </c>
      <c r="F655" s="21">
        <v>1.27998503444795</v>
      </c>
      <c r="G655" s="4">
        <v>0.22600000000000001</v>
      </c>
      <c r="H655" s="4">
        <v>0.22334004024144899</v>
      </c>
      <c r="I655" s="4">
        <v>4.8000000000000001E-2</v>
      </c>
      <c r="J655" s="4">
        <v>5.7000000000000002E-2</v>
      </c>
      <c r="K655" s="5">
        <v>100</v>
      </c>
      <c r="L655" s="5">
        <v>100</v>
      </c>
      <c r="M655" s="5">
        <v>100</v>
      </c>
      <c r="N655" s="5">
        <v>100</v>
      </c>
      <c r="O655" s="2">
        <v>0.25618340539240991</v>
      </c>
      <c r="P655" s="2">
        <v>0.25275265663179819</v>
      </c>
      <c r="Q655" s="2">
        <v>4.9190244190771781E-2</v>
      </c>
      <c r="R655" s="2">
        <v>5.8688996348679613E-2</v>
      </c>
    </row>
    <row r="656" spans="1:18" x14ac:dyDescent="0.3">
      <c r="A656" s="7">
        <v>493</v>
      </c>
      <c r="B656" s="7">
        <v>51</v>
      </c>
      <c r="C656" s="7">
        <v>0</v>
      </c>
      <c r="D656" s="7">
        <v>0</v>
      </c>
      <c r="E656" s="20" t="str">
        <f t="shared" si="10"/>
        <v>00</v>
      </c>
      <c r="F656" s="21">
        <v>1.2820465319180501</v>
      </c>
      <c r="G656" s="4">
        <v>0.21</v>
      </c>
      <c r="H656" s="4">
        <v>0.19308943089430899</v>
      </c>
      <c r="I656" s="4">
        <v>2.1999999999999999E-2</v>
      </c>
      <c r="J656" s="4">
        <v>2.5000000000000001E-2</v>
      </c>
      <c r="K656" s="5">
        <v>100</v>
      </c>
      <c r="L656" s="5">
        <v>100</v>
      </c>
      <c r="M656" s="5">
        <v>100</v>
      </c>
      <c r="N656" s="5">
        <v>100</v>
      </c>
      <c r="O656" s="2">
        <v>0.23572233352106983</v>
      </c>
      <c r="P656" s="2">
        <v>0.21454243580511773</v>
      </c>
      <c r="Q656" s="2">
        <v>2.2245608947319737E-2</v>
      </c>
      <c r="R656" s="2">
        <v>2.5317807984289897E-2</v>
      </c>
    </row>
    <row r="657" spans="1:18" x14ac:dyDescent="0.3">
      <c r="A657" s="7">
        <v>721</v>
      </c>
      <c r="B657" s="7">
        <v>66</v>
      </c>
      <c r="C657" s="7">
        <v>0</v>
      </c>
      <c r="D657" s="7">
        <v>0</v>
      </c>
      <c r="E657" s="20" t="str">
        <f t="shared" si="10"/>
        <v>00</v>
      </c>
      <c r="F657" s="21">
        <v>1.28529215572848</v>
      </c>
      <c r="G657" s="4">
        <v>0.191</v>
      </c>
      <c r="H657" s="4">
        <v>0.17102615694164999</v>
      </c>
      <c r="I657" s="4">
        <v>2.8000000000000001E-2</v>
      </c>
      <c r="J657" s="4">
        <v>0.03</v>
      </c>
      <c r="K657" s="5">
        <v>100</v>
      </c>
      <c r="L657" s="5">
        <v>100</v>
      </c>
      <c r="M657" s="5">
        <v>100</v>
      </c>
      <c r="N657" s="5">
        <v>100</v>
      </c>
      <c r="O657" s="2">
        <v>0.21195636192364545</v>
      </c>
      <c r="P657" s="2">
        <v>0.18756667674710248</v>
      </c>
      <c r="Q657" s="2">
        <v>2.8399474521698002E-2</v>
      </c>
      <c r="R657" s="2">
        <v>3.0459207484708574E-2</v>
      </c>
    </row>
    <row r="658" spans="1:18" x14ac:dyDescent="0.3">
      <c r="A658" s="7">
        <v>560</v>
      </c>
      <c r="B658" s="7">
        <v>55</v>
      </c>
      <c r="C658" s="7">
        <v>0</v>
      </c>
      <c r="D658" s="7">
        <v>0</v>
      </c>
      <c r="E658" s="20" t="str">
        <f t="shared" si="10"/>
        <v>00</v>
      </c>
      <c r="F658" s="21">
        <v>1.2933147090049699</v>
      </c>
      <c r="G658" s="4">
        <v>0.11799999999999999</v>
      </c>
      <c r="H658" s="4">
        <v>9.8790322580645198E-2</v>
      </c>
      <c r="I658" s="4">
        <v>5.6000000000000001E-2</v>
      </c>
      <c r="J658" s="4">
        <v>4.3999999999999997E-2</v>
      </c>
      <c r="K658" s="5">
        <v>100</v>
      </c>
      <c r="L658" s="5">
        <v>100</v>
      </c>
      <c r="M658" s="5">
        <v>100</v>
      </c>
      <c r="N658" s="5">
        <v>100</v>
      </c>
      <c r="O658" s="2">
        <v>0.12556322297534575</v>
      </c>
      <c r="P658" s="2">
        <v>0.10401733211135873</v>
      </c>
      <c r="Q658" s="2">
        <v>5.7629112836636416E-2</v>
      </c>
      <c r="R658" s="2">
        <v>4.4997365930735805E-2</v>
      </c>
    </row>
    <row r="659" spans="1:18" x14ac:dyDescent="0.3">
      <c r="A659" s="7">
        <v>538</v>
      </c>
      <c r="B659" s="7">
        <v>198</v>
      </c>
      <c r="C659" s="7">
        <v>0</v>
      </c>
      <c r="D659" s="7">
        <v>0</v>
      </c>
      <c r="E659" s="20" t="str">
        <f t="shared" si="10"/>
        <v>00</v>
      </c>
      <c r="F659" s="21">
        <v>1.2986044929289799</v>
      </c>
      <c r="G659" s="4">
        <v>0.54800000000000004</v>
      </c>
      <c r="H659" s="4">
        <v>0.53070175438596501</v>
      </c>
      <c r="I659" s="4">
        <v>3.6999999999999998E-2</v>
      </c>
      <c r="J659" s="4">
        <v>5.6000000000000001E-2</v>
      </c>
      <c r="K659" s="5">
        <v>0</v>
      </c>
      <c r="L659" s="5">
        <v>0</v>
      </c>
      <c r="M659" s="5">
        <v>100</v>
      </c>
      <c r="N659" s="5">
        <v>100</v>
      </c>
      <c r="O659" s="2">
        <v>0.79407309914990598</v>
      </c>
      <c r="P659" s="2">
        <v>0.75651679449253484</v>
      </c>
      <c r="Q659" s="2">
        <v>3.7701867184011528E-2</v>
      </c>
      <c r="R659" s="2">
        <v>5.7629112836636416E-2</v>
      </c>
    </row>
    <row r="660" spans="1:18" x14ac:dyDescent="0.3">
      <c r="A660" s="7">
        <v>841</v>
      </c>
      <c r="B660" s="7">
        <v>55</v>
      </c>
      <c r="C660" s="7">
        <v>0</v>
      </c>
      <c r="D660" s="7">
        <v>0</v>
      </c>
      <c r="E660" s="20" t="str">
        <f t="shared" si="10"/>
        <v>00</v>
      </c>
      <c r="F660" s="21">
        <v>1.30120660907951</v>
      </c>
      <c r="G660" s="4">
        <v>0.23</v>
      </c>
      <c r="H660" s="4">
        <v>0.20824742268041199</v>
      </c>
      <c r="I660" s="4">
        <v>5.2999999999999999E-2</v>
      </c>
      <c r="J660" s="4">
        <v>6.2E-2</v>
      </c>
      <c r="K660" s="5">
        <v>100</v>
      </c>
      <c r="L660" s="5">
        <v>100</v>
      </c>
      <c r="M660" s="5">
        <v>100</v>
      </c>
      <c r="N660" s="5">
        <v>100</v>
      </c>
      <c r="O660" s="2">
        <v>0.26136476413440751</v>
      </c>
      <c r="P660" s="2">
        <v>0.23350633834975582</v>
      </c>
      <c r="Q660" s="2">
        <v>5.4456185796058855E-2</v>
      </c>
      <c r="R660" s="2">
        <v>6.4005329975912434E-2</v>
      </c>
    </row>
    <row r="661" spans="1:18" x14ac:dyDescent="0.3">
      <c r="A661" s="7">
        <v>858</v>
      </c>
      <c r="B661" s="7">
        <v>69</v>
      </c>
      <c r="C661" s="7">
        <v>0</v>
      </c>
      <c r="D661" s="7">
        <v>0</v>
      </c>
      <c r="E661" s="20" t="str">
        <f t="shared" si="10"/>
        <v>00</v>
      </c>
      <c r="F661" s="21">
        <v>1.30337272635015</v>
      </c>
      <c r="G661" s="4">
        <v>0.16700000000000001</v>
      </c>
      <c r="H661" s="4">
        <v>0.14549180327868899</v>
      </c>
      <c r="I661" s="4">
        <v>4.4999999999999998E-2</v>
      </c>
      <c r="J661" s="4">
        <v>3.2000000000000001E-2</v>
      </c>
      <c r="K661" s="5">
        <v>100</v>
      </c>
      <c r="L661" s="5">
        <v>100</v>
      </c>
      <c r="M661" s="5">
        <v>100</v>
      </c>
      <c r="N661" s="5">
        <v>100</v>
      </c>
      <c r="O661" s="2">
        <v>0.18272163681529441</v>
      </c>
      <c r="P661" s="2">
        <v>0.15722918405434622</v>
      </c>
      <c r="Q661" s="2">
        <v>4.6043938501406846E-2</v>
      </c>
      <c r="R661" s="2">
        <v>3.2523191705560062E-2</v>
      </c>
    </row>
    <row r="662" spans="1:18" x14ac:dyDescent="0.3">
      <c r="A662" s="7">
        <v>556</v>
      </c>
      <c r="B662" s="7">
        <v>44</v>
      </c>
      <c r="C662" s="7">
        <v>0</v>
      </c>
      <c r="D662" s="7">
        <v>0</v>
      </c>
      <c r="E662" s="20" t="str">
        <f t="shared" si="10"/>
        <v>00</v>
      </c>
      <c r="F662" s="21">
        <v>1.3040884170675899</v>
      </c>
      <c r="G662" s="4">
        <v>0.12</v>
      </c>
      <c r="H662" s="4">
        <v>0.108870967741935</v>
      </c>
      <c r="I662" s="4">
        <v>3.7999999999999999E-2</v>
      </c>
      <c r="J662" s="4">
        <v>5.5E-2</v>
      </c>
      <c r="K662" s="5">
        <v>100</v>
      </c>
      <c r="L662" s="5">
        <v>100</v>
      </c>
      <c r="M662" s="5">
        <v>100</v>
      </c>
      <c r="N662" s="5">
        <v>100</v>
      </c>
      <c r="O662" s="2">
        <v>0.12783337150988489</v>
      </c>
      <c r="P662" s="2">
        <v>0.11526604464722888</v>
      </c>
      <c r="Q662" s="2">
        <v>3.8740828316430595E-2</v>
      </c>
      <c r="R662" s="2">
        <v>5.6570351488394351E-2</v>
      </c>
    </row>
    <row r="663" spans="1:18" x14ac:dyDescent="0.3">
      <c r="A663" s="7">
        <v>404</v>
      </c>
      <c r="B663" s="7">
        <v>48</v>
      </c>
      <c r="C663" s="7">
        <v>0</v>
      </c>
      <c r="D663" s="7">
        <v>0</v>
      </c>
      <c r="E663" s="20" t="str">
        <f t="shared" si="10"/>
        <v>00</v>
      </c>
      <c r="F663" s="21">
        <v>1.3091673282623999</v>
      </c>
      <c r="G663" s="4">
        <v>0.08</v>
      </c>
      <c r="H663" s="4">
        <v>7.6612903225806495E-2</v>
      </c>
      <c r="I663" s="4">
        <v>0.04</v>
      </c>
      <c r="J663" s="4">
        <v>4.3999999999999997E-2</v>
      </c>
      <c r="K663" s="5">
        <v>100</v>
      </c>
      <c r="L663" s="5">
        <v>100</v>
      </c>
      <c r="M663" s="5">
        <v>100</v>
      </c>
      <c r="N663" s="5">
        <v>100</v>
      </c>
      <c r="O663" s="2">
        <v>8.3381608939051013E-2</v>
      </c>
      <c r="P663" s="2">
        <v>7.9706742610742579E-2</v>
      </c>
      <c r="Q663" s="2">
        <v>4.0821994520255166E-2</v>
      </c>
      <c r="R663" s="2">
        <v>4.4997365930735805E-2</v>
      </c>
    </row>
    <row r="664" spans="1:18" x14ac:dyDescent="0.3">
      <c r="A664" s="7">
        <v>917</v>
      </c>
      <c r="B664" s="7">
        <v>51</v>
      </c>
      <c r="C664" s="7">
        <v>0</v>
      </c>
      <c r="D664" s="7">
        <v>0</v>
      </c>
      <c r="E664" s="20" t="str">
        <f t="shared" si="10"/>
        <v>00</v>
      </c>
      <c r="F664" s="21">
        <v>1.3104072201489401</v>
      </c>
      <c r="G664" s="4">
        <v>0.26500000000000001</v>
      </c>
      <c r="H664" s="4">
        <v>0.25806451612903197</v>
      </c>
      <c r="I664" s="4">
        <v>4.3999999999999997E-2</v>
      </c>
      <c r="J664" s="4">
        <v>5.1999999999999998E-2</v>
      </c>
      <c r="K664" s="5">
        <v>100</v>
      </c>
      <c r="L664" s="5">
        <v>100</v>
      </c>
      <c r="M664" s="5">
        <v>100</v>
      </c>
      <c r="N664" s="5">
        <v>100</v>
      </c>
      <c r="O664" s="2">
        <v>0.3078847797693004</v>
      </c>
      <c r="P664" s="2">
        <v>0.29849298855599626</v>
      </c>
      <c r="Q664" s="2">
        <v>4.4997365930735805E-2</v>
      </c>
      <c r="R664" s="2">
        <v>5.3400776727115296E-2</v>
      </c>
    </row>
    <row r="665" spans="1:18" x14ac:dyDescent="0.3">
      <c r="A665" s="7">
        <v>981</v>
      </c>
      <c r="B665" s="7">
        <v>55</v>
      </c>
      <c r="C665" s="7">
        <v>0</v>
      </c>
      <c r="D665" s="7">
        <v>0</v>
      </c>
      <c r="E665" s="20" t="str">
        <f t="shared" si="10"/>
        <v>00</v>
      </c>
      <c r="F665" s="21">
        <v>1.31194402178556</v>
      </c>
      <c r="G665" s="4">
        <v>0.22</v>
      </c>
      <c r="H665" s="4">
        <v>0.18049792531120301</v>
      </c>
      <c r="I665" s="4">
        <v>3.1E-2</v>
      </c>
      <c r="J665" s="4">
        <v>3.9E-2</v>
      </c>
      <c r="K665" s="5">
        <v>100</v>
      </c>
      <c r="L665" s="5">
        <v>100</v>
      </c>
      <c r="M665" s="5">
        <v>100</v>
      </c>
      <c r="N665" s="5">
        <v>100</v>
      </c>
      <c r="O665" s="2">
        <v>0.24846135929849961</v>
      </c>
      <c r="P665" s="2">
        <v>0.19905834914947806</v>
      </c>
      <c r="Q665" s="2">
        <v>3.1490667091370848E-2</v>
      </c>
      <c r="R665" s="2">
        <v>3.9780870011844598E-2</v>
      </c>
    </row>
    <row r="666" spans="1:18" x14ac:dyDescent="0.3">
      <c r="A666" s="7">
        <v>938</v>
      </c>
      <c r="B666" s="7">
        <v>60</v>
      </c>
      <c r="C666" s="7">
        <v>0</v>
      </c>
      <c r="D666" s="7">
        <v>0</v>
      </c>
      <c r="E666" s="20" t="str">
        <f t="shared" si="10"/>
        <v>00</v>
      </c>
      <c r="F666" s="21">
        <v>1.31336034119066</v>
      </c>
      <c r="G666" s="4">
        <v>0.17899999999999999</v>
      </c>
      <c r="H666" s="4">
        <v>0.15291750503018101</v>
      </c>
      <c r="I666" s="4">
        <v>4.9000000000000002E-2</v>
      </c>
      <c r="J666" s="4">
        <v>5.7000000000000002E-2</v>
      </c>
      <c r="K666" s="5">
        <v>100</v>
      </c>
      <c r="L666" s="5">
        <v>100</v>
      </c>
      <c r="M666" s="5">
        <v>100</v>
      </c>
      <c r="N666" s="5">
        <v>100</v>
      </c>
      <c r="O666" s="2">
        <v>0.1972321695297089</v>
      </c>
      <c r="P666" s="2">
        <v>0.16595719241424717</v>
      </c>
      <c r="Q666" s="2">
        <v>5.024121643674679E-2</v>
      </c>
      <c r="R666" s="2">
        <v>5.8688996348679613E-2</v>
      </c>
    </row>
    <row r="667" spans="1:18" x14ac:dyDescent="0.3">
      <c r="A667" s="7">
        <v>605</v>
      </c>
      <c r="B667" s="7">
        <v>62</v>
      </c>
      <c r="C667" s="7">
        <v>0</v>
      </c>
      <c r="D667" s="7">
        <v>0</v>
      </c>
      <c r="E667" s="20" t="str">
        <f t="shared" si="10"/>
        <v>00</v>
      </c>
      <c r="F667" s="21">
        <v>1.31370955753078</v>
      </c>
      <c r="G667" s="4">
        <v>0.47399999999999998</v>
      </c>
      <c r="H667" s="4">
        <v>0.44161358811040302</v>
      </c>
      <c r="I667" s="4">
        <v>0.38900000000000001</v>
      </c>
      <c r="J667" s="4">
        <v>0.34899999999999998</v>
      </c>
      <c r="K667" s="5">
        <v>100</v>
      </c>
      <c r="L667" s="5">
        <v>100</v>
      </c>
      <c r="M667" s="5">
        <v>100</v>
      </c>
      <c r="N667" s="5">
        <v>100</v>
      </c>
      <c r="O667" s="2">
        <v>0.64245406624442714</v>
      </c>
      <c r="P667" s="2">
        <v>0.58270406183865264</v>
      </c>
      <c r="Q667" s="2">
        <v>0.49265831981054176</v>
      </c>
      <c r="R667" s="2">
        <v>0.42924563677356775</v>
      </c>
    </row>
    <row r="668" spans="1:18" x14ac:dyDescent="0.3">
      <c r="A668" s="7">
        <v>353</v>
      </c>
      <c r="B668" s="7">
        <v>104</v>
      </c>
      <c r="C668" s="7">
        <v>0</v>
      </c>
      <c r="D668" s="7">
        <v>0</v>
      </c>
      <c r="E668" s="20" t="str">
        <f t="shared" si="10"/>
        <v>00</v>
      </c>
      <c r="F668" s="21">
        <v>1.31396884606565</v>
      </c>
      <c r="G668" s="4">
        <v>0.50700000000000001</v>
      </c>
      <c r="H668" s="4">
        <v>0.49486652977412698</v>
      </c>
      <c r="I668" s="4">
        <v>5.2999999999999999E-2</v>
      </c>
      <c r="J668" s="4">
        <v>3.5000000000000003E-2</v>
      </c>
      <c r="K668" s="5">
        <v>0</v>
      </c>
      <c r="L668" s="5">
        <v>100</v>
      </c>
      <c r="M668" s="5">
        <v>100</v>
      </c>
      <c r="N668" s="5">
        <v>100</v>
      </c>
      <c r="O668" s="2">
        <v>0.70724610493944695</v>
      </c>
      <c r="P668" s="2">
        <v>0.68293258715022642</v>
      </c>
      <c r="Q668" s="2">
        <v>5.4456185796058855E-2</v>
      </c>
      <c r="R668" s="2">
        <v>3.562717764315116E-2</v>
      </c>
    </row>
    <row r="669" spans="1:18" x14ac:dyDescent="0.3">
      <c r="A669" s="7">
        <v>373</v>
      </c>
      <c r="B669" s="7">
        <v>49</v>
      </c>
      <c r="C669" s="7">
        <v>0</v>
      </c>
      <c r="D669" s="7">
        <v>0</v>
      </c>
      <c r="E669" s="20" t="str">
        <f t="shared" si="10"/>
        <v>00</v>
      </c>
      <c r="F669" s="21">
        <v>1.31792314105289</v>
      </c>
      <c r="G669" s="4">
        <v>0.36</v>
      </c>
      <c r="H669" s="4">
        <v>0.33262260127931798</v>
      </c>
      <c r="I669" s="4">
        <v>2.7E-2</v>
      </c>
      <c r="J669" s="4">
        <v>4.5999999999999999E-2</v>
      </c>
      <c r="K669" s="5">
        <v>100</v>
      </c>
      <c r="L669" s="5">
        <v>100</v>
      </c>
      <c r="M669" s="5">
        <v>100</v>
      </c>
      <c r="N669" s="5">
        <v>100</v>
      </c>
      <c r="O669" s="2">
        <v>0.44628710262841947</v>
      </c>
      <c r="P669" s="2">
        <v>0.40439957790612657</v>
      </c>
      <c r="Q669" s="2">
        <v>2.7371196796132015E-2</v>
      </c>
      <c r="R669" s="2">
        <v>4.7091607533850569E-2</v>
      </c>
    </row>
    <row r="670" spans="1:18" x14ac:dyDescent="0.3">
      <c r="A670" s="7">
        <v>874</v>
      </c>
      <c r="B670" s="7">
        <v>56</v>
      </c>
      <c r="C670" s="7">
        <v>0</v>
      </c>
      <c r="D670" s="7">
        <v>0</v>
      </c>
      <c r="E670" s="20" t="str">
        <f t="shared" si="10"/>
        <v>00</v>
      </c>
      <c r="F670" s="21">
        <v>1.33321650997271</v>
      </c>
      <c r="G670" s="4">
        <v>0.20300000000000001</v>
      </c>
      <c r="H670" s="4">
        <v>0.176829268292683</v>
      </c>
      <c r="I670" s="4">
        <v>3.3000000000000002E-2</v>
      </c>
      <c r="J670" s="4">
        <v>4.3999999999999997E-2</v>
      </c>
      <c r="K670" s="5">
        <v>100</v>
      </c>
      <c r="L670" s="5">
        <v>100</v>
      </c>
      <c r="M670" s="5">
        <v>100</v>
      </c>
      <c r="N670" s="5">
        <v>100</v>
      </c>
      <c r="O670" s="2">
        <v>0.2269006001919221</v>
      </c>
      <c r="P670" s="2">
        <v>0.19459164938576903</v>
      </c>
      <c r="Q670" s="2">
        <v>3.3556783528842754E-2</v>
      </c>
      <c r="R670" s="2">
        <v>4.4997365930735805E-2</v>
      </c>
    </row>
    <row r="671" spans="1:18" x14ac:dyDescent="0.3">
      <c r="A671" s="7">
        <v>975</v>
      </c>
      <c r="B671" s="7">
        <v>51</v>
      </c>
      <c r="C671" s="7">
        <v>0</v>
      </c>
      <c r="D671" s="7">
        <v>0</v>
      </c>
      <c r="E671" s="20" t="str">
        <f t="shared" si="10"/>
        <v>00</v>
      </c>
      <c r="F671" s="21">
        <v>1.3371629981597399</v>
      </c>
      <c r="G671" s="4">
        <v>0.14499999999999999</v>
      </c>
      <c r="H671" s="4">
        <v>0.11387163561076601</v>
      </c>
      <c r="I671" s="4">
        <v>4.7E-2</v>
      </c>
      <c r="J671" s="4">
        <v>5.0999999999999997E-2</v>
      </c>
      <c r="K671" s="5">
        <v>100</v>
      </c>
      <c r="L671" s="5">
        <v>100</v>
      </c>
      <c r="M671" s="5">
        <v>100</v>
      </c>
      <c r="N671" s="5">
        <v>100</v>
      </c>
      <c r="O671" s="2">
        <v>0.15665381004537685</v>
      </c>
      <c r="P671" s="2">
        <v>0.1208934580707758</v>
      </c>
      <c r="Q671" s="2">
        <v>4.8140375327934984E-2</v>
      </c>
      <c r="R671" s="2">
        <v>5.2346480372209236E-2</v>
      </c>
    </row>
    <row r="672" spans="1:18" x14ac:dyDescent="0.3">
      <c r="A672" s="7">
        <v>879</v>
      </c>
      <c r="B672" s="7">
        <v>55</v>
      </c>
      <c r="C672" s="7">
        <v>0</v>
      </c>
      <c r="D672" s="7">
        <v>0</v>
      </c>
      <c r="E672" s="20" t="str">
        <f t="shared" si="10"/>
        <v>00</v>
      </c>
      <c r="F672" s="21">
        <v>1.3405498569357299</v>
      </c>
      <c r="G672" s="4">
        <v>0.16700000000000001</v>
      </c>
      <c r="H672" s="4">
        <v>0.16564417177914101</v>
      </c>
      <c r="I672" s="4">
        <v>4.4999999999999998E-2</v>
      </c>
      <c r="J672" s="4">
        <v>5.2999999999999999E-2</v>
      </c>
      <c r="K672" s="5">
        <v>100</v>
      </c>
      <c r="L672" s="5">
        <v>100</v>
      </c>
      <c r="M672" s="5">
        <v>100</v>
      </c>
      <c r="N672" s="5">
        <v>100</v>
      </c>
      <c r="O672" s="2">
        <v>0.18272163681529441</v>
      </c>
      <c r="P672" s="2">
        <v>0.18109531507071025</v>
      </c>
      <c r="Q672" s="2">
        <v>4.6043938501406846E-2</v>
      </c>
      <c r="R672" s="2">
        <v>5.4456185796058855E-2</v>
      </c>
    </row>
    <row r="673" spans="1:18" x14ac:dyDescent="0.3">
      <c r="A673" s="7">
        <v>38</v>
      </c>
      <c r="B673" s="7">
        <v>48</v>
      </c>
      <c r="C673" s="7">
        <v>0</v>
      </c>
      <c r="D673" s="7">
        <v>0</v>
      </c>
      <c r="E673" s="20" t="str">
        <f t="shared" si="10"/>
        <v>00</v>
      </c>
      <c r="F673" s="21">
        <v>1.34515284199709</v>
      </c>
      <c r="G673" s="4">
        <v>0.16800000000000001</v>
      </c>
      <c r="H673" s="4">
        <v>0.13617886178861799</v>
      </c>
      <c r="I673" s="4">
        <v>5.2999999999999999E-2</v>
      </c>
      <c r="J673" s="4">
        <v>3.5999999999999997E-2</v>
      </c>
      <c r="K673" s="5">
        <v>100</v>
      </c>
      <c r="L673" s="5">
        <v>100</v>
      </c>
      <c r="M673" s="5">
        <v>100</v>
      </c>
      <c r="N673" s="5">
        <v>100</v>
      </c>
      <c r="O673" s="2">
        <v>0.1839228381609285</v>
      </c>
      <c r="P673" s="2">
        <v>0.14638954756789133</v>
      </c>
      <c r="Q673" s="2">
        <v>5.4456185796058855E-2</v>
      </c>
      <c r="R673" s="2">
        <v>3.666398437159147E-2</v>
      </c>
    </row>
    <row r="674" spans="1:18" x14ac:dyDescent="0.3">
      <c r="A674" s="7">
        <v>92</v>
      </c>
      <c r="B674" s="7">
        <v>44</v>
      </c>
      <c r="C674" s="7">
        <v>0</v>
      </c>
      <c r="D674" s="7">
        <v>0</v>
      </c>
      <c r="E674" s="20" t="str">
        <f t="shared" si="10"/>
        <v>00</v>
      </c>
      <c r="F674" s="21">
        <v>1.3485324333478801</v>
      </c>
      <c r="G674" s="4">
        <v>0.157</v>
      </c>
      <c r="H674" s="4">
        <v>0.125252525252525</v>
      </c>
      <c r="I674" s="4">
        <v>4.2000000000000003E-2</v>
      </c>
      <c r="J674" s="4">
        <v>3.7999999999999999E-2</v>
      </c>
      <c r="K674" s="5">
        <v>100</v>
      </c>
      <c r="L674" s="5">
        <v>100</v>
      </c>
      <c r="M674" s="5">
        <v>100</v>
      </c>
      <c r="N674" s="5">
        <v>100</v>
      </c>
      <c r="O674" s="2">
        <v>0.17078832098028163</v>
      </c>
      <c r="P674" s="2">
        <v>0.13382003456620012</v>
      </c>
      <c r="Q674" s="2">
        <v>4.290750101127655E-2</v>
      </c>
      <c r="R674" s="2">
        <v>3.8740828316430595E-2</v>
      </c>
    </row>
    <row r="675" spans="1:18" x14ac:dyDescent="0.3">
      <c r="A675" s="7">
        <v>824</v>
      </c>
      <c r="B675" s="7">
        <v>51</v>
      </c>
      <c r="C675" s="7">
        <v>0</v>
      </c>
      <c r="D675" s="7">
        <v>0</v>
      </c>
      <c r="E675" s="20" t="str">
        <f t="shared" si="10"/>
        <v>00</v>
      </c>
      <c r="F675" s="21">
        <v>1.3506818087522701</v>
      </c>
      <c r="G675" s="4">
        <v>0.63500000000000001</v>
      </c>
      <c r="H675" s="4">
        <v>0.439353099730458</v>
      </c>
      <c r="I675" s="4">
        <v>3.5000000000000003E-2</v>
      </c>
      <c r="J675" s="4">
        <v>5.2999999999999999E-2</v>
      </c>
      <c r="K675" s="5">
        <v>0</v>
      </c>
      <c r="L675" s="5">
        <v>100</v>
      </c>
      <c r="M675" s="5">
        <v>100</v>
      </c>
      <c r="N675" s="5">
        <v>100</v>
      </c>
      <c r="O675" s="2">
        <v>1.0078579253996456</v>
      </c>
      <c r="P675" s="2">
        <v>0.57866398290611676</v>
      </c>
      <c r="Q675" s="2">
        <v>3.562717764315116E-2</v>
      </c>
      <c r="R675" s="2">
        <v>5.4456185796058855E-2</v>
      </c>
    </row>
    <row r="676" spans="1:18" x14ac:dyDescent="0.3">
      <c r="A676" s="7">
        <v>416</v>
      </c>
      <c r="B676" s="7">
        <v>48</v>
      </c>
      <c r="C676" s="7">
        <v>0</v>
      </c>
      <c r="D676" s="7">
        <v>0</v>
      </c>
      <c r="E676" s="20" t="str">
        <f t="shared" si="10"/>
        <v>00</v>
      </c>
      <c r="F676" s="21">
        <v>1.3566759817415299</v>
      </c>
      <c r="G676" s="4">
        <v>0.40899999999999997</v>
      </c>
      <c r="H676" s="4">
        <v>0.329646017699115</v>
      </c>
      <c r="I676" s="4">
        <v>4.5999999999999999E-2</v>
      </c>
      <c r="J676" s="4">
        <v>3.9E-2</v>
      </c>
      <c r="K676" s="5">
        <v>100</v>
      </c>
      <c r="L676" s="5">
        <v>100</v>
      </c>
      <c r="M676" s="5">
        <v>100</v>
      </c>
      <c r="N676" s="5">
        <v>100</v>
      </c>
      <c r="O676" s="2">
        <v>0.52593926157603887</v>
      </c>
      <c r="P676" s="2">
        <v>0.39994937432286187</v>
      </c>
      <c r="Q676" s="2">
        <v>4.7091607533850569E-2</v>
      </c>
      <c r="R676" s="2">
        <v>3.9780870011844598E-2</v>
      </c>
    </row>
    <row r="677" spans="1:18" x14ac:dyDescent="0.3">
      <c r="A677" s="7">
        <v>264</v>
      </c>
      <c r="B677" s="7">
        <v>77</v>
      </c>
      <c r="C677" s="7">
        <v>0</v>
      </c>
      <c r="D677" s="7">
        <v>0</v>
      </c>
      <c r="E677" s="20" t="str">
        <f t="shared" si="10"/>
        <v>00</v>
      </c>
      <c r="F677" s="21">
        <v>1.3651238824379399</v>
      </c>
      <c r="G677" s="4">
        <v>0.30099999999999999</v>
      </c>
      <c r="H677" s="4">
        <v>0.23362445414847199</v>
      </c>
      <c r="I677" s="4">
        <v>4.9000000000000002E-2</v>
      </c>
      <c r="J677" s="4">
        <v>5.0999999999999997E-2</v>
      </c>
      <c r="K677" s="5">
        <v>100</v>
      </c>
      <c r="L677" s="5">
        <v>100</v>
      </c>
      <c r="M677" s="5">
        <v>100</v>
      </c>
      <c r="N677" s="5">
        <v>100</v>
      </c>
      <c r="O677" s="2">
        <v>0.35810453674832671</v>
      </c>
      <c r="P677" s="2">
        <v>0.26608296064831966</v>
      </c>
      <c r="Q677" s="2">
        <v>5.024121643674679E-2</v>
      </c>
      <c r="R677" s="2">
        <v>5.2346480372209236E-2</v>
      </c>
    </row>
    <row r="678" spans="1:18" x14ac:dyDescent="0.3">
      <c r="A678" s="7">
        <v>463</v>
      </c>
      <c r="B678" s="7">
        <v>57</v>
      </c>
      <c r="C678" s="7">
        <v>0</v>
      </c>
      <c r="D678" s="7">
        <v>0</v>
      </c>
      <c r="E678" s="20" t="str">
        <f t="shared" si="10"/>
        <v>00</v>
      </c>
      <c r="F678" s="21">
        <v>1.3734675562248699</v>
      </c>
      <c r="G678" s="4">
        <v>0.29099999999999998</v>
      </c>
      <c r="H678" s="4">
        <v>0.32359081419624203</v>
      </c>
      <c r="I678" s="4">
        <v>4.2999999999999997E-2</v>
      </c>
      <c r="J678" s="4">
        <v>4.5999999999999999E-2</v>
      </c>
      <c r="K678" s="5">
        <v>100</v>
      </c>
      <c r="L678" s="5">
        <v>100</v>
      </c>
      <c r="M678" s="5">
        <v>100</v>
      </c>
      <c r="N678" s="5">
        <v>100</v>
      </c>
      <c r="O678" s="2">
        <v>0.34389975245000942</v>
      </c>
      <c r="P678" s="2">
        <v>0.39095708161858561</v>
      </c>
      <c r="Q678" s="2">
        <v>4.3951887529182831E-2</v>
      </c>
      <c r="R678" s="2">
        <v>4.7091607533850569E-2</v>
      </c>
    </row>
    <row r="679" spans="1:18" x14ac:dyDescent="0.3">
      <c r="A679" s="7">
        <v>839</v>
      </c>
      <c r="B679" s="7">
        <v>354</v>
      </c>
      <c r="C679" s="7">
        <v>0</v>
      </c>
      <c r="D679" s="7">
        <v>0</v>
      </c>
      <c r="E679" s="20" t="str">
        <f t="shared" si="10"/>
        <v>00</v>
      </c>
      <c r="F679" s="21">
        <v>1.3778122488075899</v>
      </c>
      <c r="G679" s="4">
        <v>0.28599999999999998</v>
      </c>
      <c r="H679" s="4">
        <v>0.26652892561983499</v>
      </c>
      <c r="I679" s="4">
        <v>4.4999999999999998E-2</v>
      </c>
      <c r="J679" s="4">
        <v>0.04</v>
      </c>
      <c r="K679" s="5">
        <v>100</v>
      </c>
      <c r="L679" s="5">
        <v>100</v>
      </c>
      <c r="M679" s="5">
        <v>100</v>
      </c>
      <c r="N679" s="5">
        <v>100</v>
      </c>
      <c r="O679" s="2">
        <v>0.33687231664255274</v>
      </c>
      <c r="P679" s="2">
        <v>0.30996711724121628</v>
      </c>
      <c r="Q679" s="2">
        <v>4.6043938501406846E-2</v>
      </c>
      <c r="R679" s="2">
        <v>4.0821994520255166E-2</v>
      </c>
    </row>
    <row r="680" spans="1:18" x14ac:dyDescent="0.3">
      <c r="A680" s="7">
        <v>322</v>
      </c>
      <c r="B680" s="7">
        <v>52</v>
      </c>
      <c r="C680" s="7">
        <v>0</v>
      </c>
      <c r="D680" s="7">
        <v>0</v>
      </c>
      <c r="E680" s="20" t="str">
        <f t="shared" si="10"/>
        <v>00</v>
      </c>
      <c r="F680" s="21">
        <v>1.3835497718215299</v>
      </c>
      <c r="G680" s="4">
        <v>0.14799999999999999</v>
      </c>
      <c r="H680" s="4">
        <v>9.8121085594989596E-2</v>
      </c>
      <c r="I680" s="4">
        <v>3.7999999999999999E-2</v>
      </c>
      <c r="J680" s="4">
        <v>4.2000000000000003E-2</v>
      </c>
      <c r="K680" s="5">
        <v>100</v>
      </c>
      <c r="L680" s="5">
        <v>100</v>
      </c>
      <c r="M680" s="5">
        <v>100</v>
      </c>
      <c r="N680" s="5">
        <v>100</v>
      </c>
      <c r="O680" s="2">
        <v>0.16016875215282134</v>
      </c>
      <c r="P680" s="2">
        <v>0.10327500916680492</v>
      </c>
      <c r="Q680" s="2">
        <v>3.8740828316430595E-2</v>
      </c>
      <c r="R680" s="2">
        <v>4.290750101127655E-2</v>
      </c>
    </row>
    <row r="681" spans="1:18" x14ac:dyDescent="0.3">
      <c r="A681" s="7">
        <v>238</v>
      </c>
      <c r="B681" s="7">
        <v>60</v>
      </c>
      <c r="C681" s="7">
        <v>0</v>
      </c>
      <c r="D681" s="7">
        <v>0</v>
      </c>
      <c r="E681" s="20" t="str">
        <f t="shared" si="10"/>
        <v>00</v>
      </c>
      <c r="F681" s="21">
        <v>1.38910708221202</v>
      </c>
      <c r="G681" s="4">
        <v>0.13900000000000001</v>
      </c>
      <c r="H681" s="4">
        <v>0.133064516129032</v>
      </c>
      <c r="I681" s="4">
        <v>3.2000000000000001E-2</v>
      </c>
      <c r="J681" s="4">
        <v>4.2999999999999997E-2</v>
      </c>
      <c r="K681" s="5">
        <v>100</v>
      </c>
      <c r="L681" s="5">
        <v>100</v>
      </c>
      <c r="M681" s="5">
        <v>100</v>
      </c>
      <c r="N681" s="5">
        <v>100</v>
      </c>
      <c r="O681" s="2">
        <v>0.14966077455440627</v>
      </c>
      <c r="P681" s="2">
        <v>0.1427907180373191</v>
      </c>
      <c r="Q681" s="2">
        <v>3.2523191705560062E-2</v>
      </c>
      <c r="R681" s="2">
        <v>4.3951887529182831E-2</v>
      </c>
    </row>
    <row r="682" spans="1:18" x14ac:dyDescent="0.3">
      <c r="A682" s="7">
        <v>174</v>
      </c>
      <c r="B682" s="7">
        <v>101</v>
      </c>
      <c r="C682" s="7">
        <v>0</v>
      </c>
      <c r="D682" s="7">
        <v>0</v>
      </c>
      <c r="E682" s="20" t="str">
        <f t="shared" si="10"/>
        <v>00</v>
      </c>
      <c r="F682" s="21">
        <v>1.39375399307615</v>
      </c>
      <c r="G682" s="4">
        <v>0.46600000000000003</v>
      </c>
      <c r="H682" s="4">
        <v>0.43449781659388598</v>
      </c>
      <c r="I682" s="4">
        <v>0.02</v>
      </c>
      <c r="J682" s="4">
        <v>3.3000000000000002E-2</v>
      </c>
      <c r="K682" s="5">
        <v>100</v>
      </c>
      <c r="L682" s="5">
        <v>100</v>
      </c>
      <c r="M682" s="5">
        <v>100</v>
      </c>
      <c r="N682" s="5">
        <v>100</v>
      </c>
      <c r="O682" s="2">
        <v>0.62735944002194211</v>
      </c>
      <c r="P682" s="2">
        <v>0.57004112241464633</v>
      </c>
      <c r="Q682" s="2">
        <v>2.0202707317519466E-2</v>
      </c>
      <c r="R682" s="2">
        <v>3.3556783528842754E-2</v>
      </c>
    </row>
    <row r="683" spans="1:18" x14ac:dyDescent="0.3">
      <c r="A683" s="7">
        <v>335</v>
      </c>
      <c r="B683" s="7">
        <v>38</v>
      </c>
      <c r="C683" s="7">
        <v>0</v>
      </c>
      <c r="D683" s="7">
        <v>0</v>
      </c>
      <c r="E683" s="20" t="str">
        <f t="shared" si="10"/>
        <v>00</v>
      </c>
      <c r="F683" s="21">
        <v>1.39555882608195</v>
      </c>
      <c r="G683" s="4">
        <v>0.13200000000000001</v>
      </c>
      <c r="H683" s="4">
        <v>0.12701612903225801</v>
      </c>
      <c r="I683" s="4">
        <v>4.3999999999999997E-2</v>
      </c>
      <c r="J683" s="4">
        <v>4.5999999999999999E-2</v>
      </c>
      <c r="K683" s="5">
        <v>100</v>
      </c>
      <c r="L683" s="5">
        <v>100</v>
      </c>
      <c r="M683" s="5">
        <v>100</v>
      </c>
      <c r="N683" s="5">
        <v>100</v>
      </c>
      <c r="O683" s="2">
        <v>0.14156356432178688</v>
      </c>
      <c r="P683" s="2">
        <v>0.13583819872243758</v>
      </c>
      <c r="Q683" s="2">
        <v>4.4997365930735805E-2</v>
      </c>
      <c r="R683" s="2">
        <v>4.7091607533850569E-2</v>
      </c>
    </row>
    <row r="684" spans="1:18" x14ac:dyDescent="0.3">
      <c r="A684" s="7">
        <v>485</v>
      </c>
      <c r="B684" s="7">
        <v>57</v>
      </c>
      <c r="C684" s="7">
        <v>0</v>
      </c>
      <c r="D684" s="7">
        <v>0</v>
      </c>
      <c r="E684" s="20" t="str">
        <f t="shared" si="10"/>
        <v>00</v>
      </c>
      <c r="F684" s="21">
        <v>1.3966045954847699</v>
      </c>
      <c r="G684" s="4">
        <v>9.6000000000000002E-2</v>
      </c>
      <c r="H684" s="4">
        <v>0.100200400801603</v>
      </c>
      <c r="I684" s="4">
        <v>4.1000000000000002E-2</v>
      </c>
      <c r="J684" s="4">
        <v>3.9E-2</v>
      </c>
      <c r="K684" s="5">
        <v>100</v>
      </c>
      <c r="L684" s="5">
        <v>100</v>
      </c>
      <c r="M684" s="5">
        <v>100</v>
      </c>
      <c r="N684" s="5">
        <v>100</v>
      </c>
      <c r="O684" s="2">
        <v>0.10092591858996053</v>
      </c>
      <c r="P684" s="2">
        <v>0.10558320800926412</v>
      </c>
      <c r="Q684" s="2">
        <v>4.1864204098698871E-2</v>
      </c>
      <c r="R684" s="2">
        <v>3.9780870011844598E-2</v>
      </c>
    </row>
    <row r="685" spans="1:18" x14ac:dyDescent="0.3">
      <c r="A685" s="7">
        <v>969</v>
      </c>
      <c r="B685" s="7">
        <v>42</v>
      </c>
      <c r="C685" s="7">
        <v>0</v>
      </c>
      <c r="D685" s="7">
        <v>0</v>
      </c>
      <c r="E685" s="20" t="str">
        <f t="shared" si="10"/>
        <v>00</v>
      </c>
      <c r="F685" s="21">
        <v>1.4074559478422399</v>
      </c>
      <c r="G685" s="4">
        <v>0.13700000000000001</v>
      </c>
      <c r="H685" s="4">
        <v>0.12273641851106599</v>
      </c>
      <c r="I685" s="4">
        <v>0.03</v>
      </c>
      <c r="J685" s="4">
        <v>4.5999999999999999E-2</v>
      </c>
      <c r="K685" s="5">
        <v>100</v>
      </c>
      <c r="L685" s="5">
        <v>100</v>
      </c>
      <c r="M685" s="5">
        <v>100</v>
      </c>
      <c r="N685" s="5">
        <v>100</v>
      </c>
      <c r="O685" s="2">
        <v>0.14734058789870913</v>
      </c>
      <c r="P685" s="2">
        <v>0.13094778274759394</v>
      </c>
      <c r="Q685" s="2">
        <v>3.0459207484708574E-2</v>
      </c>
      <c r="R685" s="2">
        <v>4.7091607533850569E-2</v>
      </c>
    </row>
    <row r="686" spans="1:18" x14ac:dyDescent="0.3">
      <c r="A686" s="7">
        <v>400</v>
      </c>
      <c r="B686" s="7">
        <v>48</v>
      </c>
      <c r="C686" s="7">
        <v>0</v>
      </c>
      <c r="D686" s="7">
        <v>0</v>
      </c>
      <c r="E686" s="20" t="str">
        <f t="shared" si="10"/>
        <v>00</v>
      </c>
      <c r="F686" s="21">
        <v>1.4137877582384999</v>
      </c>
      <c r="G686" s="4">
        <v>0.152</v>
      </c>
      <c r="H686" s="4">
        <v>0.162324649298597</v>
      </c>
      <c r="I686" s="4">
        <v>4.1000000000000002E-2</v>
      </c>
      <c r="J686" s="4">
        <v>5.8000000000000003E-2</v>
      </c>
      <c r="K686" s="5">
        <v>100</v>
      </c>
      <c r="L686" s="5">
        <v>100</v>
      </c>
      <c r="M686" s="5">
        <v>100</v>
      </c>
      <c r="N686" s="5">
        <v>100</v>
      </c>
      <c r="O686" s="2">
        <v>0.16487464319023401</v>
      </c>
      <c r="P686" s="2">
        <v>0.17712466322676215</v>
      </c>
      <c r="Q686" s="2">
        <v>4.1864204098698871E-2</v>
      </c>
      <c r="R686" s="2">
        <v>5.9750004405774049E-2</v>
      </c>
    </row>
    <row r="687" spans="1:18" x14ac:dyDescent="0.3">
      <c r="A687" s="7">
        <v>114</v>
      </c>
      <c r="B687" s="7">
        <v>122</v>
      </c>
      <c r="C687" s="7">
        <v>0</v>
      </c>
      <c r="D687" s="7">
        <v>0</v>
      </c>
      <c r="E687" s="20" t="str">
        <f t="shared" si="10"/>
        <v>00</v>
      </c>
      <c r="F687" s="21">
        <v>1.4237482148265901</v>
      </c>
      <c r="G687" s="4">
        <v>0.35099999999999998</v>
      </c>
      <c r="H687" s="4">
        <v>0.27593818984547502</v>
      </c>
      <c r="I687" s="4">
        <v>3.9E-2</v>
      </c>
      <c r="J687" s="4">
        <v>6.7000000000000004E-2</v>
      </c>
      <c r="K687" s="5">
        <v>100</v>
      </c>
      <c r="L687" s="5">
        <v>100</v>
      </c>
      <c r="M687" s="5">
        <v>100</v>
      </c>
      <c r="N687" s="5">
        <v>100</v>
      </c>
      <c r="O687" s="2">
        <v>0.43232256227804705</v>
      </c>
      <c r="P687" s="2">
        <v>0.32287851709889087</v>
      </c>
      <c r="Q687" s="2">
        <v>3.9780870011844598E-2</v>
      </c>
      <c r="R687" s="2">
        <v>6.9350078134793172E-2</v>
      </c>
    </row>
    <row r="688" spans="1:18" x14ac:dyDescent="0.3">
      <c r="A688" s="7">
        <v>988</v>
      </c>
      <c r="B688" s="7">
        <v>44</v>
      </c>
      <c r="C688" s="7">
        <v>0</v>
      </c>
      <c r="D688" s="7">
        <v>0</v>
      </c>
      <c r="E688" s="20" t="str">
        <f t="shared" si="10"/>
        <v>00</v>
      </c>
      <c r="F688" s="21">
        <v>1.4252167140079699</v>
      </c>
      <c r="G688" s="4">
        <v>0.17699999999999999</v>
      </c>
      <c r="H688" s="4">
        <v>0.148148148148148</v>
      </c>
      <c r="I688" s="4">
        <v>4.2999999999999997E-2</v>
      </c>
      <c r="J688" s="4">
        <v>5.1999999999999998E-2</v>
      </c>
      <c r="K688" s="5">
        <v>100</v>
      </c>
      <c r="L688" s="5">
        <v>100</v>
      </c>
      <c r="M688" s="5">
        <v>100</v>
      </c>
      <c r="N688" s="5">
        <v>100</v>
      </c>
      <c r="O688" s="2">
        <v>0.19479907830506729</v>
      </c>
      <c r="P688" s="2">
        <v>0.16034265007517925</v>
      </c>
      <c r="Q688" s="2">
        <v>4.3951887529182831E-2</v>
      </c>
      <c r="R688" s="2">
        <v>5.3400776727115296E-2</v>
      </c>
    </row>
    <row r="689" spans="1:18" x14ac:dyDescent="0.3">
      <c r="A689" s="7">
        <v>705</v>
      </c>
      <c r="B689" s="7">
        <v>97</v>
      </c>
      <c r="C689" s="7">
        <v>0</v>
      </c>
      <c r="D689" s="7">
        <v>0</v>
      </c>
      <c r="E689" s="20" t="str">
        <f t="shared" si="10"/>
        <v>00</v>
      </c>
      <c r="F689" s="21">
        <v>1.43101406648612</v>
      </c>
      <c r="G689" s="4">
        <v>8.5000000000000006E-2</v>
      </c>
      <c r="H689" s="4">
        <v>9.4188376753506997E-2</v>
      </c>
      <c r="I689" s="4">
        <v>3.9E-2</v>
      </c>
      <c r="J689" s="4">
        <v>3.4000000000000002E-2</v>
      </c>
      <c r="K689" s="5">
        <v>100</v>
      </c>
      <c r="L689" s="5">
        <v>100</v>
      </c>
      <c r="M689" s="5">
        <v>100</v>
      </c>
      <c r="N689" s="5">
        <v>100</v>
      </c>
      <c r="O689" s="2">
        <v>8.8831213706615703E-2</v>
      </c>
      <c r="P689" s="2">
        <v>9.8923915919287453E-2</v>
      </c>
      <c r="Q689" s="2">
        <v>3.9780870011844598E-2</v>
      </c>
      <c r="R689" s="2">
        <v>3.459144476961909E-2</v>
      </c>
    </row>
    <row r="690" spans="1:18" x14ac:dyDescent="0.3">
      <c r="A690" s="7">
        <v>760</v>
      </c>
      <c r="B690" s="7">
        <v>54</v>
      </c>
      <c r="C690" s="7">
        <v>0</v>
      </c>
      <c r="D690" s="7">
        <v>0</v>
      </c>
      <c r="E690" s="20" t="str">
        <f t="shared" si="10"/>
        <v>00</v>
      </c>
      <c r="F690" s="21">
        <v>1.4326351548723399</v>
      </c>
      <c r="G690" s="4">
        <v>0.28999999999999998</v>
      </c>
      <c r="H690" s="4">
        <v>0.25635593220338998</v>
      </c>
      <c r="I690" s="4">
        <v>4.7E-2</v>
      </c>
      <c r="J690" s="4">
        <v>4.4999999999999998E-2</v>
      </c>
      <c r="K690" s="5">
        <v>100</v>
      </c>
      <c r="L690" s="5">
        <v>100</v>
      </c>
      <c r="M690" s="5">
        <v>100</v>
      </c>
      <c r="N690" s="5">
        <v>100</v>
      </c>
      <c r="O690" s="2">
        <v>0.34249030894677601</v>
      </c>
      <c r="P690" s="2">
        <v>0.2961927621196897</v>
      </c>
      <c r="Q690" s="2">
        <v>4.8140375327934984E-2</v>
      </c>
      <c r="R690" s="2">
        <v>4.6043938501406846E-2</v>
      </c>
    </row>
    <row r="691" spans="1:18" x14ac:dyDescent="0.3">
      <c r="A691" s="7">
        <v>718</v>
      </c>
      <c r="B691" s="7">
        <v>37</v>
      </c>
      <c r="C691" s="7">
        <v>0</v>
      </c>
      <c r="D691" s="7">
        <v>0</v>
      </c>
      <c r="E691" s="20" t="str">
        <f t="shared" si="10"/>
        <v>00</v>
      </c>
      <c r="F691" s="21">
        <v>1.4389742019395499</v>
      </c>
      <c r="G691" s="4">
        <v>7.1999999999999995E-2</v>
      </c>
      <c r="H691" s="4">
        <v>7.0281124497991995E-2</v>
      </c>
      <c r="I691" s="4">
        <v>0.04</v>
      </c>
      <c r="J691" s="4">
        <v>4.5999999999999999E-2</v>
      </c>
      <c r="K691" s="5">
        <v>100</v>
      </c>
      <c r="L691" s="5">
        <v>100</v>
      </c>
      <c r="M691" s="5">
        <v>100</v>
      </c>
      <c r="N691" s="5">
        <v>100</v>
      </c>
      <c r="O691" s="2">
        <v>7.4723546195936422E-2</v>
      </c>
      <c r="P691" s="2">
        <v>7.2873022938418838E-2</v>
      </c>
      <c r="Q691" s="2">
        <v>4.0821994520255166E-2</v>
      </c>
      <c r="R691" s="2">
        <v>4.7091607533850569E-2</v>
      </c>
    </row>
    <row r="692" spans="1:18" x14ac:dyDescent="0.3">
      <c r="A692" s="7">
        <v>767</v>
      </c>
      <c r="B692" s="7">
        <v>41</v>
      </c>
      <c r="C692" s="7">
        <v>0</v>
      </c>
      <c r="D692" s="7">
        <v>0</v>
      </c>
      <c r="E692" s="20" t="str">
        <f t="shared" si="10"/>
        <v>00</v>
      </c>
      <c r="F692" s="21">
        <v>1.4397191766664701</v>
      </c>
      <c r="G692" s="4">
        <v>0.251</v>
      </c>
      <c r="H692" s="4">
        <v>0.231884057971014</v>
      </c>
      <c r="I692" s="4">
        <v>0.19</v>
      </c>
      <c r="J692" s="4">
        <v>0.15</v>
      </c>
      <c r="K692" s="5">
        <v>100</v>
      </c>
      <c r="L692" s="5">
        <v>100</v>
      </c>
      <c r="M692" s="5">
        <v>100</v>
      </c>
      <c r="N692" s="5">
        <v>100</v>
      </c>
      <c r="O692" s="2">
        <v>0.28901629546491758</v>
      </c>
      <c r="P692" s="2">
        <v>0.26381459104513688</v>
      </c>
      <c r="Q692" s="2">
        <v>0.21072103131565253</v>
      </c>
      <c r="R692" s="2">
        <v>0.16251892949777494</v>
      </c>
    </row>
    <row r="693" spans="1:18" x14ac:dyDescent="0.3">
      <c r="A693" s="7">
        <v>331</v>
      </c>
      <c r="B693" s="7">
        <v>42</v>
      </c>
      <c r="C693" s="7">
        <v>0</v>
      </c>
      <c r="D693" s="7">
        <v>0</v>
      </c>
      <c r="E693" s="20" t="str">
        <f t="shared" si="10"/>
        <v>00</v>
      </c>
      <c r="F693" s="21">
        <v>1.4466329429381399</v>
      </c>
      <c r="G693" s="4">
        <v>5.8000000000000003E-2</v>
      </c>
      <c r="H693" s="4">
        <v>6.4386317907444701E-2</v>
      </c>
      <c r="I693" s="4">
        <v>8.5999999999999993E-2</v>
      </c>
      <c r="J693" s="4">
        <v>8.3000000000000004E-2</v>
      </c>
      <c r="K693" s="5">
        <v>100</v>
      </c>
      <c r="L693" s="5">
        <v>100</v>
      </c>
      <c r="M693" s="5">
        <v>100</v>
      </c>
      <c r="N693" s="5">
        <v>100</v>
      </c>
      <c r="O693" s="2">
        <v>5.9750004405774049E-2</v>
      </c>
      <c r="P693" s="2">
        <v>6.6552620509272395E-2</v>
      </c>
      <c r="Q693" s="2">
        <v>8.9924707527987008E-2</v>
      </c>
      <c r="R693" s="2">
        <v>8.6647806725672169E-2</v>
      </c>
    </row>
    <row r="694" spans="1:18" x14ac:dyDescent="0.3">
      <c r="A694" s="7">
        <v>703</v>
      </c>
      <c r="B694" s="7">
        <v>176</v>
      </c>
      <c r="C694" s="7">
        <v>0</v>
      </c>
      <c r="D694" s="7">
        <v>0</v>
      </c>
      <c r="E694" s="20" t="str">
        <f t="shared" si="10"/>
        <v>00</v>
      </c>
      <c r="F694" s="21">
        <v>1.45397581474964</v>
      </c>
      <c r="G694" s="4">
        <v>0.27</v>
      </c>
      <c r="H694" s="4">
        <v>0.25609756097560998</v>
      </c>
      <c r="I694" s="4">
        <v>4.8000000000000001E-2</v>
      </c>
      <c r="J694" s="4">
        <v>4.1000000000000002E-2</v>
      </c>
      <c r="K694" s="5">
        <v>100</v>
      </c>
      <c r="L694" s="5">
        <v>100</v>
      </c>
      <c r="M694" s="5">
        <v>100</v>
      </c>
      <c r="N694" s="5">
        <v>100</v>
      </c>
      <c r="O694" s="2">
        <v>0.31471074483970024</v>
      </c>
      <c r="P694" s="2">
        <v>0.29584538309094216</v>
      </c>
      <c r="Q694" s="2">
        <v>4.9190244190771781E-2</v>
      </c>
      <c r="R694" s="2">
        <v>4.1864204098698871E-2</v>
      </c>
    </row>
    <row r="695" spans="1:18" x14ac:dyDescent="0.3">
      <c r="A695" s="7">
        <v>188</v>
      </c>
      <c r="B695" s="7">
        <v>60</v>
      </c>
      <c r="C695" s="7">
        <v>0</v>
      </c>
      <c r="D695" s="7">
        <v>0</v>
      </c>
      <c r="E695" s="20" t="str">
        <f t="shared" si="10"/>
        <v>00</v>
      </c>
      <c r="F695" s="21">
        <v>1.45704583857093</v>
      </c>
      <c r="G695" s="4">
        <v>0.33200000000000002</v>
      </c>
      <c r="H695" s="4">
        <v>0.300207039337474</v>
      </c>
      <c r="I695" s="4">
        <v>2.9000000000000001E-2</v>
      </c>
      <c r="J695" s="4">
        <v>3.2000000000000001E-2</v>
      </c>
      <c r="K695" s="5">
        <v>100</v>
      </c>
      <c r="L695" s="5">
        <v>100</v>
      </c>
      <c r="M695" s="5">
        <v>100</v>
      </c>
      <c r="N695" s="5">
        <v>100</v>
      </c>
      <c r="O695" s="2">
        <v>0.40346710544549141</v>
      </c>
      <c r="P695" s="2">
        <v>0.35697075816955381</v>
      </c>
      <c r="Q695" s="2">
        <v>2.9428810690812168E-2</v>
      </c>
      <c r="R695" s="2">
        <v>3.2523191705560062E-2</v>
      </c>
    </row>
    <row r="696" spans="1:18" x14ac:dyDescent="0.3">
      <c r="A696" s="7">
        <v>541</v>
      </c>
      <c r="B696" s="7">
        <v>300</v>
      </c>
      <c r="C696" s="7">
        <v>0</v>
      </c>
      <c r="D696" s="7">
        <v>0</v>
      </c>
      <c r="E696" s="20" t="str">
        <f t="shared" si="10"/>
        <v>00</v>
      </c>
      <c r="F696" s="21">
        <v>1.4599663052815499</v>
      </c>
      <c r="G696" s="4">
        <v>0.152</v>
      </c>
      <c r="H696" s="4">
        <v>0.14285714285714299</v>
      </c>
      <c r="I696" s="4">
        <v>3.3000000000000002E-2</v>
      </c>
      <c r="J696" s="4">
        <v>2.3E-2</v>
      </c>
      <c r="K696" s="5">
        <v>100</v>
      </c>
      <c r="L696" s="5">
        <v>100</v>
      </c>
      <c r="M696" s="5">
        <v>100</v>
      </c>
      <c r="N696" s="5">
        <v>100</v>
      </c>
      <c r="O696" s="2">
        <v>0.16487464319023401</v>
      </c>
      <c r="P696" s="2">
        <v>0.1541506798272585</v>
      </c>
      <c r="Q696" s="2">
        <v>3.3556783528842754E-2</v>
      </c>
      <c r="R696" s="2">
        <v>2.3268626939354331E-2</v>
      </c>
    </row>
    <row r="697" spans="1:18" x14ac:dyDescent="0.3">
      <c r="A697" s="7">
        <v>51</v>
      </c>
      <c r="B697" s="7">
        <v>38</v>
      </c>
      <c r="C697" s="7">
        <v>0</v>
      </c>
      <c r="D697" s="7">
        <v>0</v>
      </c>
      <c r="E697" s="20" t="str">
        <f t="shared" si="10"/>
        <v>00</v>
      </c>
      <c r="F697" s="21">
        <v>1.4839422717672801</v>
      </c>
      <c r="G697" s="4">
        <v>0.17399999999999999</v>
      </c>
      <c r="H697" s="4">
        <v>0.15541922290388499</v>
      </c>
      <c r="I697" s="4">
        <v>5.6000000000000001E-2</v>
      </c>
      <c r="J697" s="4">
        <v>5.3999999999999999E-2</v>
      </c>
      <c r="K697" s="5">
        <v>100</v>
      </c>
      <c r="L697" s="5">
        <v>100</v>
      </c>
      <c r="M697" s="5">
        <v>100</v>
      </c>
      <c r="N697" s="5">
        <v>100</v>
      </c>
      <c r="O697" s="2">
        <v>0.1911605054611589</v>
      </c>
      <c r="P697" s="2">
        <v>0.1689148965138387</v>
      </c>
      <c r="Q697" s="2">
        <v>5.7629112836636416E-2</v>
      </c>
      <c r="R697" s="2">
        <v>5.5512709930258829E-2</v>
      </c>
    </row>
    <row r="698" spans="1:18" x14ac:dyDescent="0.3">
      <c r="A698" s="7">
        <v>139</v>
      </c>
      <c r="B698" s="7">
        <v>35</v>
      </c>
      <c r="C698" s="7">
        <v>0</v>
      </c>
      <c r="D698" s="7">
        <v>0</v>
      </c>
      <c r="E698" s="20" t="str">
        <f t="shared" si="10"/>
        <v>00</v>
      </c>
      <c r="F698" s="21">
        <v>1.49801218273412</v>
      </c>
      <c r="G698" s="4">
        <v>0.10199999999999999</v>
      </c>
      <c r="H698" s="4">
        <v>0.10621242484969901</v>
      </c>
      <c r="I698" s="4">
        <v>3.5000000000000003E-2</v>
      </c>
      <c r="J698" s="4">
        <v>3.7999999999999999E-2</v>
      </c>
      <c r="K698" s="5">
        <v>100</v>
      </c>
      <c r="L698" s="5">
        <v>100</v>
      </c>
      <c r="M698" s="5">
        <v>100</v>
      </c>
      <c r="N698" s="5">
        <v>100</v>
      </c>
      <c r="O698" s="2">
        <v>0.10758521067993743</v>
      </c>
      <c r="P698" s="2">
        <v>0.1122871437314541</v>
      </c>
      <c r="Q698" s="2">
        <v>3.562717764315116E-2</v>
      </c>
      <c r="R698" s="2">
        <v>3.8740828316430595E-2</v>
      </c>
    </row>
    <row r="699" spans="1:18" x14ac:dyDescent="0.3">
      <c r="A699" s="7">
        <v>901</v>
      </c>
      <c r="B699" s="7">
        <v>81</v>
      </c>
      <c r="C699" s="7">
        <v>0</v>
      </c>
      <c r="D699" s="7">
        <v>0</v>
      </c>
      <c r="E699" s="20" t="str">
        <f t="shared" si="10"/>
        <v>00</v>
      </c>
      <c r="F699" s="21">
        <v>1.50976457949656</v>
      </c>
      <c r="G699" s="4">
        <v>5.0999999999999997E-2</v>
      </c>
      <c r="H699" s="4">
        <v>4.4534412955465598E-2</v>
      </c>
      <c r="I699" s="4">
        <v>0.02</v>
      </c>
      <c r="J699" s="4">
        <v>3.3000000000000002E-2</v>
      </c>
      <c r="K699" s="5">
        <v>100</v>
      </c>
      <c r="L699" s="5">
        <v>100</v>
      </c>
      <c r="M699" s="5">
        <v>100</v>
      </c>
      <c r="N699" s="5">
        <v>100</v>
      </c>
      <c r="O699" s="2">
        <v>5.2346480372209236E-2</v>
      </c>
      <c r="P699" s="2">
        <v>4.5556531602367105E-2</v>
      </c>
      <c r="Q699" s="2">
        <v>2.0202707317519466E-2</v>
      </c>
      <c r="R699" s="2">
        <v>3.3556783528842754E-2</v>
      </c>
    </row>
    <row r="700" spans="1:18" x14ac:dyDescent="0.3">
      <c r="A700" s="7">
        <v>189</v>
      </c>
      <c r="B700" s="7">
        <v>129</v>
      </c>
      <c r="C700" s="7">
        <v>0</v>
      </c>
      <c r="D700" s="7">
        <v>0</v>
      </c>
      <c r="E700" s="20" t="str">
        <f t="shared" si="10"/>
        <v>00</v>
      </c>
      <c r="F700" s="21">
        <v>1.5098050423186</v>
      </c>
      <c r="G700" s="4">
        <v>0.251</v>
      </c>
      <c r="H700" s="4">
        <v>0.238289205702648</v>
      </c>
      <c r="I700" s="4">
        <v>6.8000000000000005E-2</v>
      </c>
      <c r="J700" s="4">
        <v>4.3999999999999997E-2</v>
      </c>
      <c r="K700" s="5">
        <v>100</v>
      </c>
      <c r="L700" s="5">
        <v>100</v>
      </c>
      <c r="M700" s="5">
        <v>100</v>
      </c>
      <c r="N700" s="5">
        <v>100</v>
      </c>
      <c r="O700" s="2">
        <v>0.28901629546491758</v>
      </c>
      <c r="P700" s="2">
        <v>0.27218833037998907</v>
      </c>
      <c r="Q700" s="2">
        <v>7.0422464296545931E-2</v>
      </c>
      <c r="R700" s="2">
        <v>4.4997365930735805E-2</v>
      </c>
    </row>
    <row r="701" spans="1:18" x14ac:dyDescent="0.3">
      <c r="A701" s="7">
        <v>737</v>
      </c>
      <c r="B701" s="7">
        <v>32</v>
      </c>
      <c r="C701" s="7">
        <v>0</v>
      </c>
      <c r="D701" s="7">
        <v>0</v>
      </c>
      <c r="E701" s="20" t="str">
        <f t="shared" si="10"/>
        <v>00</v>
      </c>
      <c r="F701" s="21">
        <v>1.5294178760327299</v>
      </c>
      <c r="G701" s="4">
        <v>0.115</v>
      </c>
      <c r="H701" s="4">
        <v>0.115151515151515</v>
      </c>
      <c r="I701" s="4">
        <v>4.4999999999999998E-2</v>
      </c>
      <c r="J701" s="4">
        <v>5.5E-2</v>
      </c>
      <c r="K701" s="5">
        <v>100</v>
      </c>
      <c r="L701" s="5">
        <v>100</v>
      </c>
      <c r="M701" s="5">
        <v>100</v>
      </c>
      <c r="N701" s="5">
        <v>100</v>
      </c>
      <c r="O701" s="2">
        <v>0.12216763397420753</v>
      </c>
      <c r="P701" s="2">
        <v>0.12233885219224401</v>
      </c>
      <c r="Q701" s="2">
        <v>4.6043938501406846E-2</v>
      </c>
      <c r="R701" s="2">
        <v>5.6570351488394351E-2</v>
      </c>
    </row>
    <row r="702" spans="1:18" x14ac:dyDescent="0.3">
      <c r="A702" s="7">
        <v>708</v>
      </c>
      <c r="B702" s="7">
        <v>37</v>
      </c>
      <c r="C702" s="7">
        <v>0</v>
      </c>
      <c r="D702" s="7">
        <v>0</v>
      </c>
      <c r="E702" s="20" t="str">
        <f t="shared" si="10"/>
        <v>00</v>
      </c>
      <c r="F702" s="21">
        <v>1.5311155018178899</v>
      </c>
      <c r="G702" s="4">
        <v>0.193</v>
      </c>
      <c r="H702" s="4">
        <v>0.19795918367346901</v>
      </c>
      <c r="I702" s="4">
        <v>0.06</v>
      </c>
      <c r="J702" s="4">
        <v>8.2000000000000003E-2</v>
      </c>
      <c r="K702" s="5">
        <v>100</v>
      </c>
      <c r="L702" s="5">
        <v>100</v>
      </c>
      <c r="M702" s="5">
        <v>100</v>
      </c>
      <c r="N702" s="5">
        <v>100</v>
      </c>
      <c r="O702" s="2">
        <v>0.21443161071218833</v>
      </c>
      <c r="P702" s="2">
        <v>0.22059577923541054</v>
      </c>
      <c r="Q702" s="2">
        <v>6.1875403718087529E-2</v>
      </c>
      <c r="R702" s="2">
        <v>8.5557888361646545E-2</v>
      </c>
    </row>
    <row r="703" spans="1:18" x14ac:dyDescent="0.3">
      <c r="A703" s="7">
        <v>237</v>
      </c>
      <c r="B703" s="7">
        <v>250</v>
      </c>
      <c r="C703" s="7">
        <v>0</v>
      </c>
      <c r="D703" s="7">
        <v>0</v>
      </c>
      <c r="E703" s="20" t="str">
        <f t="shared" si="10"/>
        <v>00</v>
      </c>
      <c r="F703" s="21">
        <v>1.54073008871746</v>
      </c>
      <c r="G703" s="4">
        <v>0.218</v>
      </c>
      <c r="H703" s="4">
        <v>0.187628865979381</v>
      </c>
      <c r="I703" s="4">
        <v>5.3999999999999999E-2</v>
      </c>
      <c r="J703" s="4">
        <v>6.5000000000000002E-2</v>
      </c>
      <c r="K703" s="5">
        <v>100</v>
      </c>
      <c r="L703" s="5">
        <v>100</v>
      </c>
      <c r="M703" s="5">
        <v>100</v>
      </c>
      <c r="N703" s="5">
        <v>100</v>
      </c>
      <c r="O703" s="2">
        <v>0.24590053843682594</v>
      </c>
      <c r="P703" s="2">
        <v>0.20779798163954882</v>
      </c>
      <c r="Q703" s="2">
        <v>5.5512709930258829E-2</v>
      </c>
      <c r="R703" s="2">
        <v>6.720874969344999E-2</v>
      </c>
    </row>
    <row r="704" spans="1:18" x14ac:dyDescent="0.3">
      <c r="A704" s="7">
        <v>789</v>
      </c>
      <c r="B704" s="7">
        <v>28</v>
      </c>
      <c r="C704" s="7">
        <v>0</v>
      </c>
      <c r="D704" s="7">
        <v>0</v>
      </c>
      <c r="E704" s="20" t="str">
        <f t="shared" si="10"/>
        <v>00</v>
      </c>
      <c r="F704" s="21">
        <v>1.54561021892541</v>
      </c>
      <c r="G704" s="4">
        <v>9.8000000000000004E-2</v>
      </c>
      <c r="H704" s="4">
        <v>8.8353413654618504E-2</v>
      </c>
      <c r="I704" s="4">
        <v>2.8000000000000001E-2</v>
      </c>
      <c r="J704" s="4">
        <v>4.7E-2</v>
      </c>
      <c r="K704" s="5">
        <v>100</v>
      </c>
      <c r="L704" s="5">
        <v>100</v>
      </c>
      <c r="M704" s="5">
        <v>100</v>
      </c>
      <c r="N704" s="5">
        <v>100</v>
      </c>
      <c r="O704" s="2">
        <v>0.10314075891951337</v>
      </c>
      <c r="P704" s="2">
        <v>9.250287898330492E-2</v>
      </c>
      <c r="Q704" s="2">
        <v>2.8399474521698002E-2</v>
      </c>
      <c r="R704" s="2">
        <v>4.8140375327934984E-2</v>
      </c>
    </row>
    <row r="705" spans="1:18" x14ac:dyDescent="0.3">
      <c r="A705" s="7">
        <v>837</v>
      </c>
      <c r="B705" s="7">
        <v>39</v>
      </c>
      <c r="C705" s="7">
        <v>0</v>
      </c>
      <c r="D705" s="7">
        <v>0</v>
      </c>
      <c r="E705" s="20" t="str">
        <f t="shared" si="10"/>
        <v>00</v>
      </c>
      <c r="F705" s="21">
        <v>1.5456556612624199</v>
      </c>
      <c r="G705" s="4">
        <v>0.45800000000000002</v>
      </c>
      <c r="H705" s="4">
        <v>0.44025157232704398</v>
      </c>
      <c r="I705" s="4">
        <v>6.3E-2</v>
      </c>
      <c r="J705" s="4">
        <v>0.06</v>
      </c>
      <c r="K705" s="5">
        <v>100</v>
      </c>
      <c r="L705" s="5">
        <v>100</v>
      </c>
      <c r="M705" s="5">
        <v>100</v>
      </c>
      <c r="N705" s="5">
        <v>100</v>
      </c>
      <c r="O705" s="2">
        <v>0.61248927754249083</v>
      </c>
      <c r="P705" s="2">
        <v>0.58026783248809155</v>
      </c>
      <c r="Q705" s="2">
        <v>6.5071996743714805E-2</v>
      </c>
      <c r="R705" s="2">
        <v>6.1875403718087529E-2</v>
      </c>
    </row>
    <row r="706" spans="1:18" x14ac:dyDescent="0.3">
      <c r="A706" s="7">
        <v>354</v>
      </c>
      <c r="B706" s="7">
        <v>51</v>
      </c>
      <c r="C706" s="7">
        <v>0</v>
      </c>
      <c r="D706" s="7">
        <v>0</v>
      </c>
      <c r="E706" s="20" t="str">
        <f t="shared" ref="E706:E769" si="11">_xlfn.CONCAT(C706,D706)</f>
        <v>00</v>
      </c>
      <c r="F706" s="21">
        <v>1.5481838867976301</v>
      </c>
      <c r="G706" s="4">
        <v>0.11</v>
      </c>
      <c r="H706" s="4">
        <v>0.103658536585366</v>
      </c>
      <c r="I706" s="4">
        <v>4.3999999999999997E-2</v>
      </c>
      <c r="J706" s="4">
        <v>5.3999999999999999E-2</v>
      </c>
      <c r="K706" s="5">
        <v>100</v>
      </c>
      <c r="L706" s="5">
        <v>100</v>
      </c>
      <c r="M706" s="5">
        <v>100</v>
      </c>
      <c r="N706" s="5">
        <v>100</v>
      </c>
      <c r="O706" s="2">
        <v>0.11653381625595151</v>
      </c>
      <c r="P706" s="2">
        <v>0.10943384104546222</v>
      </c>
      <c r="Q706" s="2">
        <v>4.4997365930735805E-2</v>
      </c>
      <c r="R706" s="2">
        <v>5.5512709930258829E-2</v>
      </c>
    </row>
    <row r="707" spans="1:18" x14ac:dyDescent="0.3">
      <c r="A707" s="7">
        <v>88</v>
      </c>
      <c r="B707" s="7">
        <v>32</v>
      </c>
      <c r="C707" s="7">
        <v>0</v>
      </c>
      <c r="D707" s="7">
        <v>0</v>
      </c>
      <c r="E707" s="20" t="str">
        <f t="shared" si="11"/>
        <v>00</v>
      </c>
      <c r="F707" s="21">
        <v>1.54820774825681</v>
      </c>
      <c r="G707" s="4">
        <v>0.14799999999999999</v>
      </c>
      <c r="H707" s="4">
        <v>0.14979757085020201</v>
      </c>
      <c r="I707" s="4">
        <v>6.6000000000000003E-2</v>
      </c>
      <c r="J707" s="4">
        <v>6.5000000000000002E-2</v>
      </c>
      <c r="K707" s="5">
        <v>100</v>
      </c>
      <c r="L707" s="5">
        <v>100</v>
      </c>
      <c r="M707" s="5">
        <v>100</v>
      </c>
      <c r="N707" s="5">
        <v>100</v>
      </c>
      <c r="O707" s="2">
        <v>0.16016875215282134</v>
      </c>
      <c r="P707" s="2">
        <v>0.16228080591050795</v>
      </c>
      <c r="Q707" s="2">
        <v>6.827884075329449E-2</v>
      </c>
      <c r="R707" s="2">
        <v>6.720874969344999E-2</v>
      </c>
    </row>
    <row r="708" spans="1:18" x14ac:dyDescent="0.3">
      <c r="A708" s="7">
        <v>195</v>
      </c>
      <c r="B708" s="7">
        <v>41</v>
      </c>
      <c r="C708" s="7">
        <v>0</v>
      </c>
      <c r="D708" s="7">
        <v>0</v>
      </c>
      <c r="E708" s="20" t="str">
        <f t="shared" si="11"/>
        <v>00</v>
      </c>
      <c r="F708" s="21">
        <v>1.5627533654977599</v>
      </c>
      <c r="G708" s="4">
        <v>8.5000000000000006E-2</v>
      </c>
      <c r="H708" s="4">
        <v>9.2184368737474903E-2</v>
      </c>
      <c r="I708" s="4">
        <v>6.6000000000000003E-2</v>
      </c>
      <c r="J708" s="4">
        <v>6.3E-2</v>
      </c>
      <c r="K708" s="5">
        <v>100</v>
      </c>
      <c r="L708" s="5">
        <v>100</v>
      </c>
      <c r="M708" s="5">
        <v>100</v>
      </c>
      <c r="N708" s="5">
        <v>100</v>
      </c>
      <c r="O708" s="2">
        <v>8.8831213706615703E-2</v>
      </c>
      <c r="P708" s="2">
        <v>9.671397026848462E-2</v>
      </c>
      <c r="Q708" s="2">
        <v>6.827884075329449E-2</v>
      </c>
      <c r="R708" s="2">
        <v>6.5071996743714805E-2</v>
      </c>
    </row>
    <row r="709" spans="1:18" x14ac:dyDescent="0.3">
      <c r="A709" s="7">
        <v>8</v>
      </c>
      <c r="B709" s="7">
        <v>27</v>
      </c>
      <c r="C709" s="7">
        <v>0</v>
      </c>
      <c r="D709" s="7">
        <v>0</v>
      </c>
      <c r="E709" s="20" t="str">
        <f t="shared" si="11"/>
        <v>00</v>
      </c>
      <c r="F709" s="21">
        <v>1.5670826936681099</v>
      </c>
      <c r="G709" s="4">
        <v>9.6000000000000002E-2</v>
      </c>
      <c r="H709" s="4">
        <v>0.10420841683366699</v>
      </c>
      <c r="I709" s="4">
        <v>0.04</v>
      </c>
      <c r="J709" s="4">
        <v>4.7E-2</v>
      </c>
      <c r="K709" s="5">
        <v>100</v>
      </c>
      <c r="L709" s="5">
        <v>100</v>
      </c>
      <c r="M709" s="5">
        <v>100</v>
      </c>
      <c r="N709" s="5">
        <v>100</v>
      </c>
      <c r="O709" s="2">
        <v>0.10092591858996053</v>
      </c>
      <c r="P709" s="2">
        <v>0.11004750113794945</v>
      </c>
      <c r="Q709" s="2">
        <v>4.0821994520255166E-2</v>
      </c>
      <c r="R709" s="2">
        <v>4.8140375327934984E-2</v>
      </c>
    </row>
    <row r="710" spans="1:18" x14ac:dyDescent="0.3">
      <c r="A710" s="7">
        <v>746</v>
      </c>
      <c r="B710" s="7">
        <v>60</v>
      </c>
      <c r="C710" s="7">
        <v>0</v>
      </c>
      <c r="D710" s="7">
        <v>0</v>
      </c>
      <c r="E710" s="20" t="str">
        <f t="shared" si="11"/>
        <v>00</v>
      </c>
      <c r="F710" s="21">
        <v>1.56760792537515</v>
      </c>
      <c r="G710" s="4">
        <v>0.21299999999999999</v>
      </c>
      <c r="H710" s="4">
        <v>0.226262626262626</v>
      </c>
      <c r="I710" s="4">
        <v>5.1999999999999998E-2</v>
      </c>
      <c r="J710" s="4">
        <v>0.06</v>
      </c>
      <c r="K710" s="5">
        <v>100</v>
      </c>
      <c r="L710" s="5">
        <v>100</v>
      </c>
      <c r="M710" s="5">
        <v>100</v>
      </c>
      <c r="N710" s="5">
        <v>100</v>
      </c>
      <c r="O710" s="2">
        <v>0.23952703056473379</v>
      </c>
      <c r="P710" s="2">
        <v>0.25652277338804391</v>
      </c>
      <c r="Q710" s="2">
        <v>5.3400776727115296E-2</v>
      </c>
      <c r="R710" s="2">
        <v>6.1875403718087529E-2</v>
      </c>
    </row>
    <row r="711" spans="1:18" x14ac:dyDescent="0.3">
      <c r="A711" s="7">
        <v>551</v>
      </c>
      <c r="B711" s="7">
        <v>52</v>
      </c>
      <c r="C711" s="7">
        <v>0</v>
      </c>
      <c r="D711" s="7">
        <v>0</v>
      </c>
      <c r="E711" s="20" t="str">
        <f t="shared" si="11"/>
        <v>00</v>
      </c>
      <c r="F711" s="21">
        <v>1.58149339687618</v>
      </c>
      <c r="G711" s="4">
        <v>0.10299999999999999</v>
      </c>
      <c r="H711" s="4">
        <v>6.7510548523206704E-2</v>
      </c>
      <c r="I711" s="4">
        <v>0.64200000000000002</v>
      </c>
      <c r="J711" s="4">
        <v>0.41299999999999998</v>
      </c>
      <c r="K711" s="5">
        <v>100</v>
      </c>
      <c r="L711" s="5">
        <v>100</v>
      </c>
      <c r="M711" s="5">
        <v>0</v>
      </c>
      <c r="N711" s="5">
        <v>100</v>
      </c>
      <c r="O711" s="2">
        <v>0.10869941692334091</v>
      </c>
      <c r="P711" s="2">
        <v>6.9897439617378321E-2</v>
      </c>
      <c r="Q711" s="2">
        <v>1.0272222925814367</v>
      </c>
      <c r="R711" s="2">
        <v>0.53273045915404071</v>
      </c>
    </row>
    <row r="712" spans="1:18" x14ac:dyDescent="0.3">
      <c r="A712" s="7">
        <v>656</v>
      </c>
      <c r="B712" s="7">
        <v>30</v>
      </c>
      <c r="C712" s="7">
        <v>0</v>
      </c>
      <c r="D712" s="7">
        <v>0</v>
      </c>
      <c r="E712" s="20" t="str">
        <f t="shared" si="11"/>
        <v>00</v>
      </c>
      <c r="F712" s="21">
        <v>1.5847535436707401</v>
      </c>
      <c r="G712" s="4">
        <v>0.16900000000000001</v>
      </c>
      <c r="H712" s="4">
        <v>0.162977867203219</v>
      </c>
      <c r="I712" s="4">
        <v>0.495</v>
      </c>
      <c r="J712" s="4">
        <v>0.51</v>
      </c>
      <c r="K712" s="5">
        <v>100</v>
      </c>
      <c r="L712" s="5">
        <v>100</v>
      </c>
      <c r="M712" s="5">
        <v>100</v>
      </c>
      <c r="N712" s="5">
        <v>0</v>
      </c>
      <c r="O712" s="2">
        <v>0.18512548412668892</v>
      </c>
      <c r="P712" s="2">
        <v>0.17790476583536499</v>
      </c>
      <c r="Q712" s="2">
        <v>0.68319684970677719</v>
      </c>
      <c r="R712" s="2">
        <v>0.71334988787746478</v>
      </c>
    </row>
    <row r="713" spans="1:18" x14ac:dyDescent="0.3">
      <c r="A713" s="7">
        <v>888</v>
      </c>
      <c r="B713" s="7">
        <v>27</v>
      </c>
      <c r="C713" s="7">
        <v>0</v>
      </c>
      <c r="D713" s="7">
        <v>0</v>
      </c>
      <c r="E713" s="20" t="str">
        <f t="shared" si="11"/>
        <v>00</v>
      </c>
      <c r="F713" s="21">
        <v>1.5954280888313801</v>
      </c>
      <c r="G713" s="4">
        <v>0.16300000000000001</v>
      </c>
      <c r="H713" s="4">
        <v>0.13877551020408199</v>
      </c>
      <c r="I713" s="4">
        <v>5.2999999999999999E-2</v>
      </c>
      <c r="J713" s="4">
        <v>0.05</v>
      </c>
      <c r="K713" s="5">
        <v>100</v>
      </c>
      <c r="L713" s="5">
        <v>100</v>
      </c>
      <c r="M713" s="5">
        <v>100</v>
      </c>
      <c r="N713" s="5">
        <v>100</v>
      </c>
      <c r="O713" s="2">
        <v>0.17793120849266178</v>
      </c>
      <c r="P713" s="2">
        <v>0.14940007706866087</v>
      </c>
      <c r="Q713" s="2">
        <v>5.4456185796058855E-2</v>
      </c>
      <c r="R713" s="2">
        <v>5.1293294387550578E-2</v>
      </c>
    </row>
    <row r="714" spans="1:18" x14ac:dyDescent="0.3">
      <c r="A714" s="7">
        <v>378</v>
      </c>
      <c r="B714" s="7">
        <v>40</v>
      </c>
      <c r="C714" s="7">
        <v>0</v>
      </c>
      <c r="D714" s="7">
        <v>0</v>
      </c>
      <c r="E714" s="20" t="str">
        <f t="shared" si="11"/>
        <v>00</v>
      </c>
      <c r="F714" s="21">
        <v>1.59899689740685</v>
      </c>
      <c r="G714" s="4">
        <v>0.16300000000000001</v>
      </c>
      <c r="H714" s="4">
        <v>0.157894736842105</v>
      </c>
      <c r="I714" s="4">
        <v>6.3E-2</v>
      </c>
      <c r="J714" s="4">
        <v>5.3999999999999999E-2</v>
      </c>
      <c r="K714" s="5">
        <v>100</v>
      </c>
      <c r="L714" s="5">
        <v>100</v>
      </c>
      <c r="M714" s="5">
        <v>100</v>
      </c>
      <c r="N714" s="5">
        <v>100</v>
      </c>
      <c r="O714" s="2">
        <v>0.17793120849266178</v>
      </c>
      <c r="P714" s="2">
        <v>0.1718502569266589</v>
      </c>
      <c r="Q714" s="2">
        <v>6.5071996743714805E-2</v>
      </c>
      <c r="R714" s="2">
        <v>5.5512709930258829E-2</v>
      </c>
    </row>
    <row r="715" spans="1:18" x14ac:dyDescent="0.3">
      <c r="A715" s="7">
        <v>87</v>
      </c>
      <c r="B715" s="7">
        <v>64</v>
      </c>
      <c r="C715" s="7">
        <v>0</v>
      </c>
      <c r="D715" s="7">
        <v>0</v>
      </c>
      <c r="E715" s="20" t="str">
        <f t="shared" si="11"/>
        <v>00</v>
      </c>
      <c r="F715" s="21">
        <v>1.6034109524920701</v>
      </c>
      <c r="G715" s="4">
        <v>0.11</v>
      </c>
      <c r="H715" s="4">
        <v>0.124248496993988</v>
      </c>
      <c r="I715" s="4">
        <v>3.9E-2</v>
      </c>
      <c r="J715" s="4">
        <v>4.2999999999999997E-2</v>
      </c>
      <c r="K715" s="5">
        <v>100</v>
      </c>
      <c r="L715" s="5">
        <v>100</v>
      </c>
      <c r="M715" s="5">
        <v>100</v>
      </c>
      <c r="N715" s="5">
        <v>100</v>
      </c>
      <c r="O715" s="2">
        <v>0.11653381625595151</v>
      </c>
      <c r="P715" s="2">
        <v>0.13267290065592852</v>
      </c>
      <c r="Q715" s="2">
        <v>3.9780870011844598E-2</v>
      </c>
      <c r="R715" s="2">
        <v>4.3951887529182831E-2</v>
      </c>
    </row>
    <row r="716" spans="1:18" x14ac:dyDescent="0.3">
      <c r="A716" s="7">
        <v>494</v>
      </c>
      <c r="B716" s="7">
        <v>26</v>
      </c>
      <c r="C716" s="7">
        <v>0</v>
      </c>
      <c r="D716" s="7">
        <v>0</v>
      </c>
      <c r="E716" s="20" t="str">
        <f t="shared" si="11"/>
        <v>00</v>
      </c>
      <c r="F716" s="21">
        <v>1.60489258412299</v>
      </c>
      <c r="G716" s="4">
        <v>0.29099999999999998</v>
      </c>
      <c r="H716" s="4">
        <v>0.27935222672064802</v>
      </c>
      <c r="I716" s="4">
        <v>7.4999999999999997E-2</v>
      </c>
      <c r="J716" s="4">
        <v>5.7000000000000002E-2</v>
      </c>
      <c r="K716" s="5">
        <v>100</v>
      </c>
      <c r="L716" s="5">
        <v>100</v>
      </c>
      <c r="M716" s="5">
        <v>100</v>
      </c>
      <c r="N716" s="5">
        <v>100</v>
      </c>
      <c r="O716" s="2">
        <v>0.34389975245000942</v>
      </c>
      <c r="P716" s="2">
        <v>0.32760478633589246</v>
      </c>
      <c r="Q716" s="2">
        <v>7.7961541469711806E-2</v>
      </c>
      <c r="R716" s="2">
        <v>5.8688996348679613E-2</v>
      </c>
    </row>
    <row r="717" spans="1:18" x14ac:dyDescent="0.3">
      <c r="A717" s="7">
        <v>450</v>
      </c>
      <c r="B717" s="7">
        <v>40</v>
      </c>
      <c r="C717" s="7">
        <v>0</v>
      </c>
      <c r="D717" s="7">
        <v>0</v>
      </c>
      <c r="E717" s="20" t="str">
        <f t="shared" si="11"/>
        <v>00</v>
      </c>
      <c r="F717" s="21">
        <v>1.60960999897767</v>
      </c>
      <c r="G717" s="4">
        <v>0.20100000000000001</v>
      </c>
      <c r="H717" s="4">
        <v>0.145790554414784</v>
      </c>
      <c r="I717" s="4">
        <v>2.4E-2</v>
      </c>
      <c r="J717" s="4">
        <v>3.6999999999999998E-2</v>
      </c>
      <c r="K717" s="5">
        <v>100</v>
      </c>
      <c r="L717" s="5">
        <v>100</v>
      </c>
      <c r="M717" s="5">
        <v>100</v>
      </c>
      <c r="N717" s="5">
        <v>100</v>
      </c>
      <c r="O717" s="2">
        <v>0.22439433321586247</v>
      </c>
      <c r="P717" s="2">
        <v>0.15757886282132599</v>
      </c>
      <c r="Q717" s="2">
        <v>2.4292692569044587E-2</v>
      </c>
      <c r="R717" s="2">
        <v>3.7701867184011528E-2</v>
      </c>
    </row>
    <row r="718" spans="1:18" x14ac:dyDescent="0.3">
      <c r="A718" s="7">
        <v>118</v>
      </c>
      <c r="B718" s="7">
        <v>280</v>
      </c>
      <c r="C718" s="7">
        <v>0</v>
      </c>
      <c r="D718" s="7">
        <v>0</v>
      </c>
      <c r="E718" s="20" t="str">
        <f t="shared" si="11"/>
        <v>00</v>
      </c>
      <c r="F718" s="21">
        <v>1.6268451999595299</v>
      </c>
      <c r="G718" s="4">
        <v>0.129</v>
      </c>
      <c r="H718" s="4">
        <v>0.12727272727272701</v>
      </c>
      <c r="I718" s="4">
        <v>8.2000000000000003E-2</v>
      </c>
      <c r="J718" s="4">
        <v>7.4999999999999997E-2</v>
      </c>
      <c r="K718" s="5">
        <v>100</v>
      </c>
      <c r="L718" s="5">
        <v>100</v>
      </c>
      <c r="M718" s="5">
        <v>100</v>
      </c>
      <c r="N718" s="5">
        <v>100</v>
      </c>
      <c r="O718" s="2">
        <v>0.13811330212963427</v>
      </c>
      <c r="P718" s="2">
        <v>0.13613217432457966</v>
      </c>
      <c r="Q718" s="2">
        <v>8.5557888361646545E-2</v>
      </c>
      <c r="R718" s="2">
        <v>7.7961541469711806E-2</v>
      </c>
    </row>
    <row r="719" spans="1:18" x14ac:dyDescent="0.3">
      <c r="A719" s="7">
        <v>488</v>
      </c>
      <c r="B719" s="7">
        <v>27</v>
      </c>
      <c r="C719" s="7">
        <v>0</v>
      </c>
      <c r="D719" s="7">
        <v>0</v>
      </c>
      <c r="E719" s="20" t="str">
        <f t="shared" si="11"/>
        <v>00</v>
      </c>
      <c r="F719" s="21">
        <v>1.63052215000391</v>
      </c>
      <c r="G719" s="4">
        <v>0.23100000000000001</v>
      </c>
      <c r="H719" s="4">
        <v>0.208502024291498</v>
      </c>
      <c r="I719" s="4">
        <v>7.4999999999999997E-2</v>
      </c>
      <c r="J719" s="4">
        <v>8.3000000000000004E-2</v>
      </c>
      <c r="K719" s="5">
        <v>100</v>
      </c>
      <c r="L719" s="5">
        <v>100</v>
      </c>
      <c r="M719" s="5">
        <v>100</v>
      </c>
      <c r="N719" s="5">
        <v>100</v>
      </c>
      <c r="O719" s="2">
        <v>0.26266430947649305</v>
      </c>
      <c r="P719" s="2">
        <v>0.23382795720255675</v>
      </c>
      <c r="Q719" s="2">
        <v>7.7961541469711806E-2</v>
      </c>
      <c r="R719" s="2">
        <v>8.6647806725672169E-2</v>
      </c>
    </row>
    <row r="720" spans="1:18" x14ac:dyDescent="0.3">
      <c r="A720" s="7">
        <v>622</v>
      </c>
      <c r="B720" s="7">
        <v>35</v>
      </c>
      <c r="C720" s="7">
        <v>0</v>
      </c>
      <c r="D720" s="7">
        <v>0</v>
      </c>
      <c r="E720" s="20" t="str">
        <f t="shared" si="11"/>
        <v>00</v>
      </c>
      <c r="F720" s="21">
        <v>1.63138280660558</v>
      </c>
      <c r="G720" s="4">
        <v>0.1</v>
      </c>
      <c r="H720" s="4">
        <v>9.7560975609756101E-2</v>
      </c>
      <c r="I720" s="4">
        <v>3.7999999999999999E-2</v>
      </c>
      <c r="J720" s="4">
        <v>4.2999999999999997E-2</v>
      </c>
      <c r="K720" s="5">
        <v>100</v>
      </c>
      <c r="L720" s="5">
        <v>100</v>
      </c>
      <c r="M720" s="5">
        <v>100</v>
      </c>
      <c r="N720" s="5">
        <v>100</v>
      </c>
      <c r="O720" s="2">
        <v>0.10536051565782628</v>
      </c>
      <c r="P720" s="2">
        <v>0.10265415406008334</v>
      </c>
      <c r="Q720" s="2">
        <v>3.8740828316430595E-2</v>
      </c>
      <c r="R720" s="2">
        <v>4.3951887529182831E-2</v>
      </c>
    </row>
    <row r="721" spans="1:18" x14ac:dyDescent="0.3">
      <c r="A721" s="7">
        <v>126</v>
      </c>
      <c r="B721" s="7">
        <v>27</v>
      </c>
      <c r="C721" s="7">
        <v>0</v>
      </c>
      <c r="D721" s="7">
        <v>0</v>
      </c>
      <c r="E721" s="20" t="str">
        <f t="shared" si="11"/>
        <v>00</v>
      </c>
      <c r="F721" s="21">
        <v>1.6358123554442301</v>
      </c>
      <c r="G721" s="4">
        <v>6.8000000000000005E-2</v>
      </c>
      <c r="H721" s="4">
        <v>7.4148296593186405E-2</v>
      </c>
      <c r="I721" s="4">
        <v>3.7999999999999999E-2</v>
      </c>
      <c r="J721" s="4">
        <v>4.5999999999999999E-2</v>
      </c>
      <c r="K721" s="5">
        <v>100</v>
      </c>
      <c r="L721" s="5">
        <v>100</v>
      </c>
      <c r="M721" s="5">
        <v>100</v>
      </c>
      <c r="N721" s="5">
        <v>100</v>
      </c>
      <c r="O721" s="2">
        <v>7.0422464296545931E-2</v>
      </c>
      <c r="P721" s="2">
        <v>7.70412046697799E-2</v>
      </c>
      <c r="Q721" s="2">
        <v>3.8740828316430595E-2</v>
      </c>
      <c r="R721" s="2">
        <v>4.7091607533850569E-2</v>
      </c>
    </row>
    <row r="722" spans="1:18" x14ac:dyDescent="0.3">
      <c r="A722" s="7">
        <v>296</v>
      </c>
      <c r="B722" s="7">
        <v>26</v>
      </c>
      <c r="C722" s="7">
        <v>0</v>
      </c>
      <c r="D722" s="7">
        <v>0</v>
      </c>
      <c r="E722" s="20" t="str">
        <f t="shared" si="11"/>
        <v>00</v>
      </c>
      <c r="F722" s="21">
        <v>1.65210558210653</v>
      </c>
      <c r="G722" s="4">
        <v>0.21299999999999999</v>
      </c>
      <c r="H722" s="4">
        <v>0.15433403805496801</v>
      </c>
      <c r="I722" s="4">
        <v>0.06</v>
      </c>
      <c r="J722" s="4">
        <v>7.0999999999999994E-2</v>
      </c>
      <c r="K722" s="5">
        <v>100</v>
      </c>
      <c r="L722" s="5">
        <v>100</v>
      </c>
      <c r="M722" s="5">
        <v>100</v>
      </c>
      <c r="N722" s="5">
        <v>100</v>
      </c>
      <c r="O722" s="2">
        <v>0.23952703056473379</v>
      </c>
      <c r="P722" s="2">
        <v>0.16763084138395068</v>
      </c>
      <c r="Q722" s="2">
        <v>6.1875403718087529E-2</v>
      </c>
      <c r="R722" s="2">
        <v>7.3646540168298483E-2</v>
      </c>
    </row>
    <row r="723" spans="1:18" x14ac:dyDescent="0.3">
      <c r="A723" s="7">
        <v>844</v>
      </c>
      <c r="B723" s="7">
        <v>279</v>
      </c>
      <c r="C723" s="7">
        <v>0</v>
      </c>
      <c r="D723" s="7">
        <v>0</v>
      </c>
      <c r="E723" s="20" t="str">
        <f t="shared" si="11"/>
        <v>00</v>
      </c>
      <c r="F723" s="21">
        <v>1.65867162236281</v>
      </c>
      <c r="G723" s="4">
        <v>9.6000000000000002E-2</v>
      </c>
      <c r="H723" s="4">
        <v>9.6192384769539105E-2</v>
      </c>
      <c r="I723" s="4">
        <v>0.05</v>
      </c>
      <c r="J723" s="4">
        <v>5.0999999999999997E-2</v>
      </c>
      <c r="K723" s="5">
        <v>100</v>
      </c>
      <c r="L723" s="5">
        <v>100</v>
      </c>
      <c r="M723" s="5">
        <v>100</v>
      </c>
      <c r="N723" s="5">
        <v>100</v>
      </c>
      <c r="O723" s="2">
        <v>0.10092591858996053</v>
      </c>
      <c r="P723" s="2">
        <v>0.10113875624884031</v>
      </c>
      <c r="Q723" s="2">
        <v>5.1293294387550578E-2</v>
      </c>
      <c r="R723" s="2">
        <v>5.2346480372209236E-2</v>
      </c>
    </row>
    <row r="724" spans="1:18" x14ac:dyDescent="0.3">
      <c r="A724" s="7">
        <v>13</v>
      </c>
      <c r="B724" s="7">
        <v>129</v>
      </c>
      <c r="C724" s="7">
        <v>0</v>
      </c>
      <c r="D724" s="7">
        <v>0</v>
      </c>
      <c r="E724" s="20" t="str">
        <f t="shared" si="11"/>
        <v>00</v>
      </c>
      <c r="F724" s="21">
        <v>1.6603654771737899</v>
      </c>
      <c r="G724" s="4">
        <v>9.6000000000000002E-2</v>
      </c>
      <c r="H724" s="4">
        <v>9.4949494949495006E-2</v>
      </c>
      <c r="I724" s="4">
        <v>5.7000000000000002E-2</v>
      </c>
      <c r="J724" s="4">
        <v>6.0999999999999999E-2</v>
      </c>
      <c r="K724" s="5">
        <v>100</v>
      </c>
      <c r="L724" s="5">
        <v>100</v>
      </c>
      <c r="M724" s="5">
        <v>100</v>
      </c>
      <c r="N724" s="5">
        <v>100</v>
      </c>
      <c r="O724" s="2">
        <v>0.10092591858996053</v>
      </c>
      <c r="P724" s="2">
        <v>9.9764530153705205E-2</v>
      </c>
      <c r="Q724" s="2">
        <v>5.8688996348679613E-2</v>
      </c>
      <c r="R724" s="2">
        <v>6.2939799773874081E-2</v>
      </c>
    </row>
    <row r="725" spans="1:18" x14ac:dyDescent="0.3">
      <c r="A725" s="7">
        <v>89</v>
      </c>
      <c r="B725" s="7">
        <v>169</v>
      </c>
      <c r="C725" s="7">
        <v>0</v>
      </c>
      <c r="D725" s="7">
        <v>0</v>
      </c>
      <c r="E725" s="20" t="str">
        <f t="shared" si="11"/>
        <v>00</v>
      </c>
      <c r="F725" s="21">
        <v>1.66057063160129</v>
      </c>
      <c r="G725" s="4">
        <v>0.06</v>
      </c>
      <c r="H725" s="4">
        <v>7.4148296593186405E-2</v>
      </c>
      <c r="I725" s="4">
        <v>2.7E-2</v>
      </c>
      <c r="J725" s="4">
        <v>3.6999999999999998E-2</v>
      </c>
      <c r="K725" s="5">
        <v>100</v>
      </c>
      <c r="L725" s="5">
        <v>100</v>
      </c>
      <c r="M725" s="5">
        <v>100</v>
      </c>
      <c r="N725" s="5">
        <v>100</v>
      </c>
      <c r="O725" s="2">
        <v>6.1875403718087529E-2</v>
      </c>
      <c r="P725" s="2">
        <v>7.70412046697799E-2</v>
      </c>
      <c r="Q725" s="2">
        <v>2.7371196796132015E-2</v>
      </c>
      <c r="R725" s="2">
        <v>3.7701867184011528E-2</v>
      </c>
    </row>
    <row r="726" spans="1:18" x14ac:dyDescent="0.3">
      <c r="A726" s="7">
        <v>472</v>
      </c>
      <c r="B726" s="7">
        <v>125</v>
      </c>
      <c r="C726" s="7">
        <v>0</v>
      </c>
      <c r="D726" s="7">
        <v>0</v>
      </c>
      <c r="E726" s="20" t="str">
        <f t="shared" si="11"/>
        <v>00</v>
      </c>
      <c r="F726" s="21">
        <v>1.6650415140677299</v>
      </c>
      <c r="G726" s="4">
        <v>0.11899999999999999</v>
      </c>
      <c r="H726" s="4">
        <v>0.119433198380567</v>
      </c>
      <c r="I726" s="4">
        <v>4.1000000000000002E-2</v>
      </c>
      <c r="J726" s="4">
        <v>4.4999999999999998E-2</v>
      </c>
      <c r="K726" s="5">
        <v>100</v>
      </c>
      <c r="L726" s="5">
        <v>100</v>
      </c>
      <c r="M726" s="5">
        <v>100</v>
      </c>
      <c r="N726" s="5">
        <v>100</v>
      </c>
      <c r="O726" s="2">
        <v>0.12669765304595754</v>
      </c>
      <c r="P726" s="2">
        <v>0.12718948609923861</v>
      </c>
      <c r="Q726" s="2">
        <v>4.1864204098698871E-2</v>
      </c>
      <c r="R726" s="2">
        <v>4.6043938501406846E-2</v>
      </c>
    </row>
    <row r="727" spans="1:18" x14ac:dyDescent="0.3">
      <c r="A727" s="7">
        <v>636</v>
      </c>
      <c r="B727" s="7">
        <v>26</v>
      </c>
      <c r="C727" s="7">
        <v>0</v>
      </c>
      <c r="D727" s="7">
        <v>0</v>
      </c>
      <c r="E727" s="20" t="str">
        <f t="shared" si="11"/>
        <v>00</v>
      </c>
      <c r="F727" s="21">
        <v>1.67121651446019</v>
      </c>
      <c r="G727" s="4">
        <v>0.28199999999999997</v>
      </c>
      <c r="H727" s="4">
        <v>0.24042553191489399</v>
      </c>
      <c r="I727" s="4">
        <v>7.0000000000000007E-2</v>
      </c>
      <c r="J727" s="4">
        <v>5.2999999999999999E-2</v>
      </c>
      <c r="K727" s="5">
        <v>100</v>
      </c>
      <c r="L727" s="5">
        <v>100</v>
      </c>
      <c r="M727" s="5">
        <v>100</v>
      </c>
      <c r="N727" s="5">
        <v>100</v>
      </c>
      <c r="O727" s="2">
        <v>0.33128570993391293</v>
      </c>
      <c r="P727" s="2">
        <v>0.27499691292446571</v>
      </c>
      <c r="Q727" s="2">
        <v>7.2570692834835498E-2</v>
      </c>
      <c r="R727" s="2">
        <v>5.4456185796058855E-2</v>
      </c>
    </row>
    <row r="728" spans="1:18" x14ac:dyDescent="0.3">
      <c r="A728" s="7">
        <v>515</v>
      </c>
      <c r="B728" s="7">
        <v>29</v>
      </c>
      <c r="C728" s="7">
        <v>0</v>
      </c>
      <c r="D728" s="7">
        <v>0</v>
      </c>
      <c r="E728" s="20" t="str">
        <f t="shared" si="11"/>
        <v>00</v>
      </c>
      <c r="F728" s="21">
        <v>1.68261384135723</v>
      </c>
      <c r="G728" s="4">
        <v>0.30199999999999999</v>
      </c>
      <c r="H728" s="4">
        <v>0.26680672268907601</v>
      </c>
      <c r="I728" s="4">
        <v>6.6000000000000003E-2</v>
      </c>
      <c r="J728" s="4">
        <v>7.1999999999999995E-2</v>
      </c>
      <c r="K728" s="5">
        <v>100</v>
      </c>
      <c r="L728" s="5">
        <v>100</v>
      </c>
      <c r="M728" s="5">
        <v>100</v>
      </c>
      <c r="N728" s="5">
        <v>100</v>
      </c>
      <c r="O728" s="2">
        <v>0.35953617621976464</v>
      </c>
      <c r="P728" s="2">
        <v>0.31034593202899335</v>
      </c>
      <c r="Q728" s="2">
        <v>6.827884075329449E-2</v>
      </c>
      <c r="R728" s="2">
        <v>7.4723546195936422E-2</v>
      </c>
    </row>
    <row r="729" spans="1:18" x14ac:dyDescent="0.3">
      <c r="A729" s="7">
        <v>932</v>
      </c>
      <c r="B729" s="7">
        <v>39</v>
      </c>
      <c r="C729" s="7">
        <v>0</v>
      </c>
      <c r="D729" s="7">
        <v>0</v>
      </c>
      <c r="E729" s="20" t="str">
        <f t="shared" si="11"/>
        <v>00</v>
      </c>
      <c r="F729" s="21">
        <v>1.6947794573776001</v>
      </c>
      <c r="G729" s="4">
        <v>0.20699999999999999</v>
      </c>
      <c r="H729" s="4">
        <v>0.203629032258065</v>
      </c>
      <c r="I729" s="4">
        <v>7.5999999999999998E-2</v>
      </c>
      <c r="J729" s="4">
        <v>9.6000000000000002E-2</v>
      </c>
      <c r="K729" s="5">
        <v>100</v>
      </c>
      <c r="L729" s="5">
        <v>100</v>
      </c>
      <c r="M729" s="5">
        <v>100</v>
      </c>
      <c r="N729" s="5">
        <v>100</v>
      </c>
      <c r="O729" s="2">
        <v>0.23193205734728903</v>
      </c>
      <c r="P729" s="2">
        <v>0.22769016182380616</v>
      </c>
      <c r="Q729" s="2">
        <v>7.9043207340452851E-2</v>
      </c>
      <c r="R729" s="2">
        <v>0.10092591858996053</v>
      </c>
    </row>
    <row r="730" spans="1:18" x14ac:dyDescent="0.3">
      <c r="A730" s="7">
        <v>255</v>
      </c>
      <c r="B730" s="7">
        <v>182</v>
      </c>
      <c r="C730" s="7">
        <v>0</v>
      </c>
      <c r="D730" s="7">
        <v>0</v>
      </c>
      <c r="E730" s="20" t="str">
        <f t="shared" si="11"/>
        <v>00</v>
      </c>
      <c r="F730" s="21">
        <v>1.70209270063411</v>
      </c>
      <c r="G730" s="4">
        <v>0.54</v>
      </c>
      <c r="H730" s="4">
        <v>0.422885572139304</v>
      </c>
      <c r="I730" s="4">
        <v>0.19500000000000001</v>
      </c>
      <c r="J730" s="4">
        <v>0.17100000000000001</v>
      </c>
      <c r="K730" s="5">
        <v>0</v>
      </c>
      <c r="L730" s="5">
        <v>100</v>
      </c>
      <c r="M730" s="5">
        <v>100</v>
      </c>
      <c r="N730" s="5">
        <v>100</v>
      </c>
      <c r="O730" s="2">
        <v>0.7765287894989964</v>
      </c>
      <c r="P730" s="2">
        <v>0.54971471695271201</v>
      </c>
      <c r="Q730" s="2">
        <v>0.21691300156357377</v>
      </c>
      <c r="R730" s="2">
        <v>0.18753512384684212</v>
      </c>
    </row>
    <row r="731" spans="1:18" x14ac:dyDescent="0.3">
      <c r="A731" s="7">
        <v>298</v>
      </c>
      <c r="B731" s="7">
        <v>33</v>
      </c>
      <c r="C731" s="7">
        <v>0</v>
      </c>
      <c r="D731" s="7">
        <v>0</v>
      </c>
      <c r="E731" s="20" t="str">
        <f t="shared" si="11"/>
        <v>00</v>
      </c>
      <c r="F731" s="21">
        <v>1.74540037043791</v>
      </c>
      <c r="G731" s="4">
        <v>0.127</v>
      </c>
      <c r="H731" s="4">
        <v>0.10685483870967701</v>
      </c>
      <c r="I731" s="4">
        <v>5.6000000000000001E-2</v>
      </c>
      <c r="J731" s="4">
        <v>6.0999999999999999E-2</v>
      </c>
      <c r="K731" s="5">
        <v>100</v>
      </c>
      <c r="L731" s="5">
        <v>100</v>
      </c>
      <c r="M731" s="5">
        <v>100</v>
      </c>
      <c r="N731" s="5">
        <v>100</v>
      </c>
      <c r="O731" s="2">
        <v>0.13581972314253485</v>
      </c>
      <c r="P731" s="2">
        <v>0.11300615667979143</v>
      </c>
      <c r="Q731" s="2">
        <v>5.7629112836636416E-2</v>
      </c>
      <c r="R731" s="2">
        <v>6.2939799773874081E-2</v>
      </c>
    </row>
    <row r="732" spans="1:18" x14ac:dyDescent="0.3">
      <c r="A732" s="7">
        <v>655</v>
      </c>
      <c r="B732" s="7">
        <v>144</v>
      </c>
      <c r="C732" s="7">
        <v>0</v>
      </c>
      <c r="D732" s="7">
        <v>0</v>
      </c>
      <c r="E732" s="20" t="str">
        <f t="shared" si="11"/>
        <v>00</v>
      </c>
      <c r="F732" s="21">
        <v>1.75668429916312</v>
      </c>
      <c r="G732" s="4">
        <v>0.69</v>
      </c>
      <c r="H732" s="4">
        <v>0.631465517241379</v>
      </c>
      <c r="I732" s="4">
        <v>6.4000000000000001E-2</v>
      </c>
      <c r="J732" s="4">
        <v>6.0999999999999999E-2</v>
      </c>
      <c r="K732" s="5">
        <v>0</v>
      </c>
      <c r="L732" s="5">
        <v>0</v>
      </c>
      <c r="M732" s="5">
        <v>100</v>
      </c>
      <c r="N732" s="5">
        <v>100</v>
      </c>
      <c r="O732" s="2">
        <v>1.1711829815029449</v>
      </c>
      <c r="P732" s="2">
        <v>0.99822099572359457</v>
      </c>
      <c r="Q732" s="2">
        <v>6.613980250454507E-2</v>
      </c>
      <c r="R732" s="2">
        <v>6.2939799773874081E-2</v>
      </c>
    </row>
    <row r="733" spans="1:18" x14ac:dyDescent="0.3">
      <c r="A733" s="7">
        <v>56</v>
      </c>
      <c r="B733" s="7">
        <v>31</v>
      </c>
      <c r="C733" s="7">
        <v>0</v>
      </c>
      <c r="D733" s="7">
        <v>0</v>
      </c>
      <c r="E733" s="20" t="str">
        <f t="shared" si="11"/>
        <v>00</v>
      </c>
      <c r="F733" s="21">
        <v>1.7629393239692399</v>
      </c>
      <c r="G733" s="4">
        <v>0.224</v>
      </c>
      <c r="H733" s="4">
        <v>0.189075630252101</v>
      </c>
      <c r="I733" s="4">
        <v>4.3999999999999997E-2</v>
      </c>
      <c r="J733" s="4">
        <v>6.0999999999999999E-2</v>
      </c>
      <c r="K733" s="5">
        <v>100</v>
      </c>
      <c r="L733" s="5">
        <v>100</v>
      </c>
      <c r="M733" s="5">
        <v>100</v>
      </c>
      <c r="N733" s="5">
        <v>100</v>
      </c>
      <c r="O733" s="2">
        <v>0.25360275879891825</v>
      </c>
      <c r="P733" s="2">
        <v>0.20958048476658941</v>
      </c>
      <c r="Q733" s="2">
        <v>4.4997365930735805E-2</v>
      </c>
      <c r="R733" s="2">
        <v>6.2939799773874081E-2</v>
      </c>
    </row>
    <row r="734" spans="1:18" x14ac:dyDescent="0.3">
      <c r="A734" s="7">
        <v>277</v>
      </c>
      <c r="B734" s="7">
        <v>25</v>
      </c>
      <c r="C734" s="7">
        <v>0</v>
      </c>
      <c r="D734" s="7">
        <v>0</v>
      </c>
      <c r="E734" s="20" t="str">
        <f t="shared" si="11"/>
        <v>00</v>
      </c>
      <c r="F734" s="21">
        <v>1.7697204888050799</v>
      </c>
      <c r="G734" s="4">
        <v>0.25</v>
      </c>
      <c r="H734" s="4">
        <v>0.223577235772358</v>
      </c>
      <c r="I734" s="4">
        <v>7.9000000000000001E-2</v>
      </c>
      <c r="J734" s="4">
        <v>7.6999999999999999E-2</v>
      </c>
      <c r="K734" s="5">
        <v>100</v>
      </c>
      <c r="L734" s="5">
        <v>100</v>
      </c>
      <c r="M734" s="5">
        <v>100</v>
      </c>
      <c r="N734" s="5">
        <v>100</v>
      </c>
      <c r="O734" s="2">
        <v>0.2876820724517809</v>
      </c>
      <c r="P734" s="2">
        <v>0.2530581078857333</v>
      </c>
      <c r="Q734" s="2">
        <v>8.2295242726830156E-2</v>
      </c>
      <c r="R734" s="2">
        <v>8.0126044479284855E-2</v>
      </c>
    </row>
    <row r="735" spans="1:18" x14ac:dyDescent="0.3">
      <c r="A735" s="7">
        <v>260</v>
      </c>
      <c r="B735" s="7">
        <v>60</v>
      </c>
      <c r="C735" s="7">
        <v>0</v>
      </c>
      <c r="D735" s="7">
        <v>0</v>
      </c>
      <c r="E735" s="20" t="str">
        <f t="shared" si="11"/>
        <v>00</v>
      </c>
      <c r="F735" s="21">
        <v>1.7770162362277699</v>
      </c>
      <c r="G735" s="4">
        <v>0.13300000000000001</v>
      </c>
      <c r="H735" s="4">
        <v>0.148148148148148</v>
      </c>
      <c r="I735" s="4">
        <v>6.6000000000000003E-2</v>
      </c>
      <c r="J735" s="4">
        <v>6.5000000000000002E-2</v>
      </c>
      <c r="K735" s="5">
        <v>100</v>
      </c>
      <c r="L735" s="5">
        <v>100</v>
      </c>
      <c r="M735" s="5">
        <v>100</v>
      </c>
      <c r="N735" s="5">
        <v>100</v>
      </c>
      <c r="O735" s="2">
        <v>0.1427163022015952</v>
      </c>
      <c r="P735" s="2">
        <v>0.16034265007517925</v>
      </c>
      <c r="Q735" s="2">
        <v>6.827884075329449E-2</v>
      </c>
      <c r="R735" s="2">
        <v>6.720874969344999E-2</v>
      </c>
    </row>
    <row r="736" spans="1:18" x14ac:dyDescent="0.3">
      <c r="A736" s="7">
        <v>412</v>
      </c>
      <c r="B736" s="7">
        <v>18</v>
      </c>
      <c r="C736" s="7">
        <v>0</v>
      </c>
      <c r="D736" s="7">
        <v>0</v>
      </c>
      <c r="E736" s="20" t="str">
        <f t="shared" si="11"/>
        <v>00</v>
      </c>
      <c r="F736" s="21">
        <v>1.7932973688966001</v>
      </c>
      <c r="G736" s="4">
        <v>0.08</v>
      </c>
      <c r="H736" s="4">
        <v>7.63052208835341E-2</v>
      </c>
      <c r="I736" s="4">
        <v>4.5999999999999999E-2</v>
      </c>
      <c r="J736" s="4">
        <v>0.04</v>
      </c>
      <c r="K736" s="5">
        <v>100</v>
      </c>
      <c r="L736" s="5">
        <v>100</v>
      </c>
      <c r="M736" s="5">
        <v>100</v>
      </c>
      <c r="N736" s="5">
        <v>100</v>
      </c>
      <c r="O736" s="2">
        <v>8.3381608939051013E-2</v>
      </c>
      <c r="P736" s="2">
        <v>7.9373587541512192E-2</v>
      </c>
      <c r="Q736" s="2">
        <v>4.7091607533850569E-2</v>
      </c>
      <c r="R736" s="2">
        <v>4.0821994520255166E-2</v>
      </c>
    </row>
    <row r="737" spans="1:18" x14ac:dyDescent="0.3">
      <c r="A737" s="7">
        <v>414</v>
      </c>
      <c r="B737" s="7">
        <v>22</v>
      </c>
      <c r="C737" s="7">
        <v>0</v>
      </c>
      <c r="D737" s="7">
        <v>0</v>
      </c>
      <c r="E737" s="20" t="str">
        <f t="shared" si="11"/>
        <v>00</v>
      </c>
      <c r="F737" s="21">
        <v>1.7988958240378301</v>
      </c>
      <c r="G737" s="4">
        <v>9.9000000000000005E-2</v>
      </c>
      <c r="H737" s="4">
        <v>9.4758064516129004E-2</v>
      </c>
      <c r="I737" s="4">
        <v>0.04</v>
      </c>
      <c r="J737" s="4">
        <v>4.3999999999999997E-2</v>
      </c>
      <c r="K737" s="5">
        <v>100</v>
      </c>
      <c r="L737" s="5">
        <v>100</v>
      </c>
      <c r="M737" s="5">
        <v>100</v>
      </c>
      <c r="N737" s="5">
        <v>100</v>
      </c>
      <c r="O737" s="2">
        <v>0.10425002137379911</v>
      </c>
      <c r="P737" s="2">
        <v>9.9553038982673162E-2</v>
      </c>
      <c r="Q737" s="2">
        <v>4.0821994520255166E-2</v>
      </c>
      <c r="R737" s="2">
        <v>4.4997365930735805E-2</v>
      </c>
    </row>
    <row r="738" spans="1:18" x14ac:dyDescent="0.3">
      <c r="A738" s="7">
        <v>645</v>
      </c>
      <c r="B738" s="7">
        <v>20</v>
      </c>
      <c r="C738" s="7">
        <v>0</v>
      </c>
      <c r="D738" s="7">
        <v>0</v>
      </c>
      <c r="E738" s="20" t="str">
        <f t="shared" si="11"/>
        <v>00</v>
      </c>
      <c r="F738" s="21">
        <v>1.8114656477615301</v>
      </c>
      <c r="G738" s="4">
        <v>0.17299999999999999</v>
      </c>
      <c r="H738" s="4">
        <v>0.154786150712831</v>
      </c>
      <c r="I738" s="4">
        <v>4.7E-2</v>
      </c>
      <c r="J738" s="4">
        <v>3.5999999999999997E-2</v>
      </c>
      <c r="K738" s="5">
        <v>100</v>
      </c>
      <c r="L738" s="5">
        <v>100</v>
      </c>
      <c r="M738" s="5">
        <v>100</v>
      </c>
      <c r="N738" s="5">
        <v>100</v>
      </c>
      <c r="O738" s="2">
        <v>0.1899505839584458</v>
      </c>
      <c r="P738" s="2">
        <v>0.16816560756382229</v>
      </c>
      <c r="Q738" s="2">
        <v>4.8140375327934984E-2</v>
      </c>
      <c r="R738" s="2">
        <v>3.666398437159147E-2</v>
      </c>
    </row>
    <row r="739" spans="1:18" x14ac:dyDescent="0.3">
      <c r="A739" s="7">
        <v>524</v>
      </c>
      <c r="B739" s="7">
        <v>16</v>
      </c>
      <c r="C739" s="7">
        <v>0</v>
      </c>
      <c r="D739" s="7">
        <v>0</v>
      </c>
      <c r="E739" s="20" t="str">
        <f t="shared" si="11"/>
        <v>00</v>
      </c>
      <c r="F739" s="21">
        <v>1.8420187770906999</v>
      </c>
      <c r="G739" s="4">
        <v>0.23799999999999999</v>
      </c>
      <c r="H739" s="4">
        <v>0.177966101694915</v>
      </c>
      <c r="I739" s="4">
        <v>0.20300000000000001</v>
      </c>
      <c r="J739" s="4">
        <v>0.216</v>
      </c>
      <c r="K739" s="5">
        <v>100</v>
      </c>
      <c r="L739" s="5">
        <v>100</v>
      </c>
      <c r="M739" s="5">
        <v>100</v>
      </c>
      <c r="N739" s="5">
        <v>100</v>
      </c>
      <c r="O739" s="2">
        <v>0.27180872329549077</v>
      </c>
      <c r="P739" s="2">
        <v>0.19597364596228162</v>
      </c>
      <c r="Q739" s="2">
        <v>0.2269006001919221</v>
      </c>
      <c r="R739" s="2">
        <v>0.24334625863172918</v>
      </c>
    </row>
    <row r="740" spans="1:18" x14ac:dyDescent="0.3">
      <c r="A740" s="7">
        <v>811</v>
      </c>
      <c r="B740" s="7">
        <v>48</v>
      </c>
      <c r="C740" s="7">
        <v>0</v>
      </c>
      <c r="D740" s="7">
        <v>0</v>
      </c>
      <c r="E740" s="20" t="str">
        <f t="shared" si="11"/>
        <v>00</v>
      </c>
      <c r="F740" s="21">
        <v>1.8442880428950299</v>
      </c>
      <c r="G740" s="4">
        <v>0.161</v>
      </c>
      <c r="H740" s="4">
        <v>0.149193548387097</v>
      </c>
      <c r="I740" s="4">
        <v>6.0999999999999999E-2</v>
      </c>
      <c r="J740" s="4">
        <v>6.4000000000000001E-2</v>
      </c>
      <c r="K740" s="5">
        <v>100</v>
      </c>
      <c r="L740" s="5">
        <v>100</v>
      </c>
      <c r="M740" s="5">
        <v>100</v>
      </c>
      <c r="N740" s="5">
        <v>100</v>
      </c>
      <c r="O740" s="2">
        <v>0.17554457251493091</v>
      </c>
      <c r="P740" s="2">
        <v>0.16157061268891593</v>
      </c>
      <c r="Q740" s="2">
        <v>6.2939799773874081E-2</v>
      </c>
      <c r="R740" s="2">
        <v>6.613980250454507E-2</v>
      </c>
    </row>
    <row r="741" spans="1:18" x14ac:dyDescent="0.3">
      <c r="A741" s="7">
        <v>251</v>
      </c>
      <c r="B741" s="7">
        <v>23</v>
      </c>
      <c r="C741" s="7">
        <v>0</v>
      </c>
      <c r="D741" s="7">
        <v>0</v>
      </c>
      <c r="E741" s="20" t="str">
        <f t="shared" si="11"/>
        <v>00</v>
      </c>
      <c r="F741" s="21">
        <v>1.85138565296911</v>
      </c>
      <c r="G741" s="4">
        <v>0.09</v>
      </c>
      <c r="H741" s="4">
        <v>0.10420841683366699</v>
      </c>
      <c r="I741" s="4">
        <v>6.8000000000000005E-2</v>
      </c>
      <c r="J741" s="4">
        <v>4.7E-2</v>
      </c>
      <c r="K741" s="5">
        <v>100</v>
      </c>
      <c r="L741" s="5">
        <v>100</v>
      </c>
      <c r="M741" s="5">
        <v>100</v>
      </c>
      <c r="N741" s="5">
        <v>100</v>
      </c>
      <c r="O741" s="2">
        <v>9.431067947124129E-2</v>
      </c>
      <c r="P741" s="2">
        <v>0.11004750113794945</v>
      </c>
      <c r="Q741" s="2">
        <v>7.0422464296545931E-2</v>
      </c>
      <c r="R741" s="2">
        <v>4.8140375327934984E-2</v>
      </c>
    </row>
    <row r="742" spans="1:18" x14ac:dyDescent="0.3">
      <c r="A742" s="7">
        <v>115</v>
      </c>
      <c r="B742" s="7">
        <v>21</v>
      </c>
      <c r="C742" s="7">
        <v>0</v>
      </c>
      <c r="D742" s="7">
        <v>0</v>
      </c>
      <c r="E742" s="20" t="str">
        <f t="shared" si="11"/>
        <v>00</v>
      </c>
      <c r="F742" s="21">
        <v>1.8539583603249099</v>
      </c>
      <c r="G742" s="4">
        <v>0.23300000000000001</v>
      </c>
      <c r="H742" s="4">
        <v>0.172786177105832</v>
      </c>
      <c r="I742" s="4">
        <v>6.6000000000000003E-2</v>
      </c>
      <c r="J742" s="4">
        <v>5.5E-2</v>
      </c>
      <c r="K742" s="5">
        <v>100</v>
      </c>
      <c r="L742" s="5">
        <v>100</v>
      </c>
      <c r="M742" s="5">
        <v>100</v>
      </c>
      <c r="N742" s="5">
        <v>100</v>
      </c>
      <c r="O742" s="2">
        <v>0.26526847761488087</v>
      </c>
      <c r="P742" s="2">
        <v>0.18969206490558865</v>
      </c>
      <c r="Q742" s="2">
        <v>6.827884075329449E-2</v>
      </c>
      <c r="R742" s="2">
        <v>5.6570351488394351E-2</v>
      </c>
    </row>
    <row r="743" spans="1:18" x14ac:dyDescent="0.3">
      <c r="A743" s="7">
        <v>356</v>
      </c>
      <c r="B743" s="7">
        <v>55</v>
      </c>
      <c r="C743" s="7">
        <v>0</v>
      </c>
      <c r="D743" s="7">
        <v>0</v>
      </c>
      <c r="E743" s="20" t="str">
        <f t="shared" si="11"/>
        <v>00</v>
      </c>
      <c r="F743" s="21">
        <v>1.8846826025238199</v>
      </c>
      <c r="G743" s="4">
        <v>8.2000000000000003E-2</v>
      </c>
      <c r="H743" s="4">
        <v>8.2995951417004096E-2</v>
      </c>
      <c r="I743" s="4">
        <v>5.7000000000000002E-2</v>
      </c>
      <c r="J743" s="4">
        <v>4.8000000000000001E-2</v>
      </c>
      <c r="K743" s="5">
        <v>100</v>
      </c>
      <c r="L743" s="5">
        <v>100</v>
      </c>
      <c r="M743" s="5">
        <v>100</v>
      </c>
      <c r="N743" s="5">
        <v>100</v>
      </c>
      <c r="O743" s="2">
        <v>8.5557888361646545E-2</v>
      </c>
      <c r="P743" s="2">
        <v>8.664339170488855E-2</v>
      </c>
      <c r="Q743" s="2">
        <v>5.8688996348679613E-2</v>
      </c>
      <c r="R743" s="2">
        <v>4.9190244190771781E-2</v>
      </c>
    </row>
    <row r="744" spans="1:18" x14ac:dyDescent="0.3">
      <c r="A744" s="7">
        <v>906</v>
      </c>
      <c r="B744" s="7">
        <v>28</v>
      </c>
      <c r="C744" s="7">
        <v>0</v>
      </c>
      <c r="D744" s="7">
        <v>0</v>
      </c>
      <c r="E744" s="20" t="str">
        <f t="shared" si="11"/>
        <v>00</v>
      </c>
      <c r="F744" s="21">
        <v>1.9050605317750899</v>
      </c>
      <c r="G744" s="4">
        <v>0.316</v>
      </c>
      <c r="H744" s="4">
        <v>0.23913043478260901</v>
      </c>
      <c r="I744" s="4">
        <v>3.6999999999999998E-2</v>
      </c>
      <c r="J744" s="4">
        <v>4.5999999999999999E-2</v>
      </c>
      <c r="K744" s="5">
        <v>100</v>
      </c>
      <c r="L744" s="5">
        <v>100</v>
      </c>
      <c r="M744" s="5">
        <v>100</v>
      </c>
      <c r="N744" s="5">
        <v>100</v>
      </c>
      <c r="O744" s="2">
        <v>0.37979736135958669</v>
      </c>
      <c r="P744" s="2">
        <v>0.27329333499968167</v>
      </c>
      <c r="Q744" s="2">
        <v>3.7701867184011528E-2</v>
      </c>
      <c r="R744" s="2">
        <v>4.7091607533850569E-2</v>
      </c>
    </row>
    <row r="745" spans="1:18" x14ac:dyDescent="0.3">
      <c r="A745" s="7">
        <v>550</v>
      </c>
      <c r="B745" s="7">
        <v>372</v>
      </c>
      <c r="C745" s="7">
        <v>0</v>
      </c>
      <c r="D745" s="7">
        <v>0</v>
      </c>
      <c r="E745" s="20" t="str">
        <f t="shared" si="11"/>
        <v>00</v>
      </c>
      <c r="F745" s="21">
        <v>1.94307891301794</v>
      </c>
      <c r="G745" s="4">
        <v>0.17</v>
      </c>
      <c r="H745" s="4">
        <v>0.14256198347107399</v>
      </c>
      <c r="I745" s="4">
        <v>9.1999999999999998E-2</v>
      </c>
      <c r="J745" s="4">
        <v>9.6000000000000002E-2</v>
      </c>
      <c r="K745" s="5">
        <v>100</v>
      </c>
      <c r="L745" s="5">
        <v>100</v>
      </c>
      <c r="M745" s="5">
        <v>100</v>
      </c>
      <c r="N745" s="5">
        <v>100</v>
      </c>
      <c r="O745" s="2">
        <v>0.18632957819149348</v>
      </c>
      <c r="P745" s="2">
        <v>0.15380638648593292</v>
      </c>
      <c r="Q745" s="2">
        <v>9.6510900380843728E-2</v>
      </c>
      <c r="R745" s="2">
        <v>0.10092591858996053</v>
      </c>
    </row>
    <row r="746" spans="1:18" x14ac:dyDescent="0.3">
      <c r="A746" s="7">
        <v>212</v>
      </c>
      <c r="B746" s="7">
        <v>57</v>
      </c>
      <c r="C746" s="7">
        <v>0</v>
      </c>
      <c r="D746" s="7">
        <v>0</v>
      </c>
      <c r="E746" s="20" t="str">
        <f t="shared" si="11"/>
        <v>00</v>
      </c>
      <c r="F746" s="21">
        <v>1.9512698753016899</v>
      </c>
      <c r="G746" s="4">
        <v>0.23200000000000001</v>
      </c>
      <c r="H746" s="4">
        <v>0.249492900608519</v>
      </c>
      <c r="I746" s="4">
        <v>7.3999999999999996E-2</v>
      </c>
      <c r="J746" s="4">
        <v>0.08</v>
      </c>
      <c r="K746" s="5">
        <v>100</v>
      </c>
      <c r="L746" s="5">
        <v>100</v>
      </c>
      <c r="M746" s="5">
        <v>100</v>
      </c>
      <c r="N746" s="5">
        <v>100</v>
      </c>
      <c r="O746" s="2">
        <v>0.26396554583446485</v>
      </c>
      <c r="P746" s="2">
        <v>0.28700616840441967</v>
      </c>
      <c r="Q746" s="2">
        <v>7.6881044335957618E-2</v>
      </c>
      <c r="R746" s="2">
        <v>8.3381608939051013E-2</v>
      </c>
    </row>
    <row r="747" spans="1:18" x14ac:dyDescent="0.3">
      <c r="A747" s="7">
        <v>4</v>
      </c>
      <c r="B747" s="7">
        <v>19</v>
      </c>
      <c r="C747" s="7">
        <v>0</v>
      </c>
      <c r="D747" s="7">
        <v>0</v>
      </c>
      <c r="E747" s="20" t="str">
        <f t="shared" si="11"/>
        <v>00</v>
      </c>
      <c r="F747" s="21">
        <v>1.9789982176640699</v>
      </c>
      <c r="G747" s="4">
        <v>0.29099999999999998</v>
      </c>
      <c r="H747" s="4">
        <v>0.25051759834368498</v>
      </c>
      <c r="I747" s="4">
        <v>6.8000000000000005E-2</v>
      </c>
      <c r="J747" s="4">
        <v>7.0000000000000007E-2</v>
      </c>
      <c r="K747" s="5">
        <v>100</v>
      </c>
      <c r="L747" s="5">
        <v>100</v>
      </c>
      <c r="M747" s="5">
        <v>100</v>
      </c>
      <c r="N747" s="5">
        <v>100</v>
      </c>
      <c r="O747" s="2">
        <v>0.34389975245000942</v>
      </c>
      <c r="P747" s="2">
        <v>0.28837244182680111</v>
      </c>
      <c r="Q747" s="2">
        <v>7.0422464296545931E-2</v>
      </c>
      <c r="R747" s="2">
        <v>7.2570692834835498E-2</v>
      </c>
    </row>
    <row r="748" spans="1:18" x14ac:dyDescent="0.3">
      <c r="A748" s="7">
        <v>991</v>
      </c>
      <c r="B748" s="7">
        <v>12</v>
      </c>
      <c r="C748" s="7">
        <v>0</v>
      </c>
      <c r="D748" s="7">
        <v>0</v>
      </c>
      <c r="E748" s="20" t="str">
        <f t="shared" si="11"/>
        <v>00</v>
      </c>
      <c r="F748" s="21">
        <v>2.03951848723954</v>
      </c>
      <c r="G748" s="4">
        <v>7.1999999999999995E-2</v>
      </c>
      <c r="H748" s="4">
        <v>6.2753036437247001E-2</v>
      </c>
      <c r="I748" s="4">
        <v>6.8000000000000005E-2</v>
      </c>
      <c r="J748" s="4">
        <v>6.9000000000000006E-2</v>
      </c>
      <c r="K748" s="5">
        <v>100</v>
      </c>
      <c r="L748" s="5">
        <v>100</v>
      </c>
      <c r="M748" s="5">
        <v>100</v>
      </c>
      <c r="N748" s="5">
        <v>100</v>
      </c>
      <c r="O748" s="2">
        <v>7.4723546195936422E-2</v>
      </c>
      <c r="P748" s="2">
        <v>6.4808463101688529E-2</v>
      </c>
      <c r="Q748" s="2">
        <v>7.0422464296545931E-2</v>
      </c>
      <c r="R748" s="2">
        <v>7.1496001705069923E-2</v>
      </c>
    </row>
    <row r="749" spans="1:18" x14ac:dyDescent="0.3">
      <c r="A749" s="7">
        <v>402</v>
      </c>
      <c r="B749" s="7">
        <v>18</v>
      </c>
      <c r="C749" s="7">
        <v>0</v>
      </c>
      <c r="D749" s="7">
        <v>0</v>
      </c>
      <c r="E749" s="20" t="str">
        <f t="shared" si="11"/>
        <v>00</v>
      </c>
      <c r="F749" s="21">
        <v>2.0551336728713898</v>
      </c>
      <c r="G749" s="4">
        <v>0.13800000000000001</v>
      </c>
      <c r="H749" s="4">
        <v>0.13008130081300801</v>
      </c>
      <c r="I749" s="4">
        <v>8.3000000000000004E-2</v>
      </c>
      <c r="J749" s="4">
        <v>8.8999999999999996E-2</v>
      </c>
      <c r="K749" s="5">
        <v>100</v>
      </c>
      <c r="L749" s="5">
        <v>100</v>
      </c>
      <c r="M749" s="5">
        <v>100</v>
      </c>
      <c r="N749" s="5">
        <v>100</v>
      </c>
      <c r="O749" s="2">
        <v>0.14850000831844395</v>
      </c>
      <c r="P749" s="2">
        <v>0.13935552091051112</v>
      </c>
      <c r="Q749" s="2">
        <v>8.6647806725672169E-2</v>
      </c>
      <c r="R749" s="2">
        <v>9.3212381722178703E-2</v>
      </c>
    </row>
    <row r="750" spans="1:18" x14ac:dyDescent="0.3">
      <c r="A750" s="7">
        <v>300</v>
      </c>
      <c r="B750" s="7">
        <v>112</v>
      </c>
      <c r="C750" s="7">
        <v>0</v>
      </c>
      <c r="D750" s="7">
        <v>0</v>
      </c>
      <c r="E750" s="20" t="str">
        <f t="shared" si="11"/>
        <v>00</v>
      </c>
      <c r="F750" s="21">
        <v>2.1173433352708599</v>
      </c>
      <c r="G750" s="4">
        <v>0.14299999999999999</v>
      </c>
      <c r="H750" s="4">
        <v>0.12219959266802401</v>
      </c>
      <c r="I750" s="4">
        <v>5.1999999999999998E-2</v>
      </c>
      <c r="J750" s="4">
        <v>7.8E-2</v>
      </c>
      <c r="K750" s="5">
        <v>100</v>
      </c>
      <c r="L750" s="5">
        <v>100</v>
      </c>
      <c r="M750" s="5">
        <v>100</v>
      </c>
      <c r="N750" s="5">
        <v>100</v>
      </c>
      <c r="O750" s="2">
        <v>0.15431736038435728</v>
      </c>
      <c r="P750" s="2">
        <v>0.13033603769077234</v>
      </c>
      <c r="Q750" s="2">
        <v>5.3400776727115296E-2</v>
      </c>
      <c r="R750" s="2">
        <v>8.1210055425543173E-2</v>
      </c>
    </row>
    <row r="751" spans="1:18" x14ac:dyDescent="0.3">
      <c r="A751" s="7">
        <v>680</v>
      </c>
      <c r="B751" s="7">
        <v>10</v>
      </c>
      <c r="C751" s="7">
        <v>0</v>
      </c>
      <c r="D751" s="7">
        <v>0</v>
      </c>
      <c r="E751" s="20" t="str">
        <f t="shared" si="11"/>
        <v>00</v>
      </c>
      <c r="F751" s="21">
        <v>2.1236321793603299</v>
      </c>
      <c r="G751" s="4">
        <v>0.29099999999999998</v>
      </c>
      <c r="H751" s="4">
        <v>0.30595482546201203</v>
      </c>
      <c r="I751" s="4">
        <v>7.5999999999999998E-2</v>
      </c>
      <c r="J751" s="4">
        <v>7.0999999999999994E-2</v>
      </c>
      <c r="K751" s="5">
        <v>100</v>
      </c>
      <c r="L751" s="5">
        <v>100</v>
      </c>
      <c r="M751" s="5">
        <v>100</v>
      </c>
      <c r="N751" s="5">
        <v>100</v>
      </c>
      <c r="O751" s="2">
        <v>0.34389975245000942</v>
      </c>
      <c r="P751" s="2">
        <v>0.36521822759957057</v>
      </c>
      <c r="Q751" s="2">
        <v>7.9043207340452851E-2</v>
      </c>
      <c r="R751" s="2">
        <v>7.3646540168298483E-2</v>
      </c>
    </row>
    <row r="752" spans="1:18" x14ac:dyDescent="0.3">
      <c r="A752" s="7">
        <v>306</v>
      </c>
      <c r="B752" s="7">
        <v>65</v>
      </c>
      <c r="C752" s="7">
        <v>0</v>
      </c>
      <c r="D752" s="7">
        <v>0</v>
      </c>
      <c r="E752" s="20" t="str">
        <f t="shared" si="11"/>
        <v>00</v>
      </c>
      <c r="F752" s="21">
        <v>2.1482876064288399</v>
      </c>
      <c r="G752" s="4">
        <v>0.2</v>
      </c>
      <c r="H752" s="4">
        <v>0.164904862579281</v>
      </c>
      <c r="I752" s="4">
        <v>7.2999999999999995E-2</v>
      </c>
      <c r="J752" s="4">
        <v>7.1999999999999995E-2</v>
      </c>
      <c r="K752" s="5">
        <v>100</v>
      </c>
      <c r="L752" s="5">
        <v>100</v>
      </c>
      <c r="M752" s="5">
        <v>100</v>
      </c>
      <c r="N752" s="5">
        <v>100</v>
      </c>
      <c r="O752" s="2">
        <v>0.22314355131420971</v>
      </c>
      <c r="P752" s="2">
        <v>0.18020962359081094</v>
      </c>
      <c r="Q752" s="2">
        <v>7.5801713416281849E-2</v>
      </c>
      <c r="R752" s="2">
        <v>7.4723546195936422E-2</v>
      </c>
    </row>
    <row r="753" spans="1:18" x14ac:dyDescent="0.3">
      <c r="A753" s="7">
        <v>369</v>
      </c>
      <c r="B753" s="7">
        <v>10</v>
      </c>
      <c r="C753" s="7">
        <v>0</v>
      </c>
      <c r="D753" s="7">
        <v>0</v>
      </c>
      <c r="E753" s="20" t="str">
        <f t="shared" si="11"/>
        <v>00</v>
      </c>
      <c r="F753" s="21">
        <v>2.1485443986756501</v>
      </c>
      <c r="G753" s="4">
        <v>0.17199999999999999</v>
      </c>
      <c r="H753" s="4">
        <v>0.178137651821862</v>
      </c>
      <c r="I753" s="4">
        <v>9.4E-2</v>
      </c>
      <c r="J753" s="4">
        <v>8.1000000000000003E-2</v>
      </c>
      <c r="K753" s="5">
        <v>100</v>
      </c>
      <c r="L753" s="5">
        <v>100</v>
      </c>
      <c r="M753" s="5">
        <v>100</v>
      </c>
      <c r="N753" s="5">
        <v>100</v>
      </c>
      <c r="O753" s="2">
        <v>0.18874212459687728</v>
      </c>
      <c r="P753" s="2">
        <v>0.19618235758618949</v>
      </c>
      <c r="Q753" s="2">
        <v>9.8715972939157695E-2</v>
      </c>
      <c r="R753" s="2">
        <v>8.4469156626449965E-2</v>
      </c>
    </row>
    <row r="754" spans="1:18" x14ac:dyDescent="0.3">
      <c r="A754" s="7">
        <v>956</v>
      </c>
      <c r="B754" s="7">
        <v>19</v>
      </c>
      <c r="C754" s="7">
        <v>0</v>
      </c>
      <c r="D754" s="7">
        <v>0</v>
      </c>
      <c r="E754" s="20" t="str">
        <f t="shared" si="11"/>
        <v>00</v>
      </c>
      <c r="F754" s="21">
        <v>2.1514512909124099</v>
      </c>
      <c r="G754" s="4">
        <v>8.1000000000000003E-2</v>
      </c>
      <c r="H754" s="4">
        <v>7.2289156626505993E-2</v>
      </c>
      <c r="I754" s="4">
        <v>4.2999999999999997E-2</v>
      </c>
      <c r="J754" s="4">
        <v>4.5999999999999999E-2</v>
      </c>
      <c r="K754" s="5">
        <v>100</v>
      </c>
      <c r="L754" s="5">
        <v>100</v>
      </c>
      <c r="M754" s="5">
        <v>100</v>
      </c>
      <c r="N754" s="5">
        <v>100</v>
      </c>
      <c r="O754" s="2">
        <v>8.4469156626449965E-2</v>
      </c>
      <c r="P754" s="2">
        <v>7.5035185942914084E-2</v>
      </c>
      <c r="Q754" s="2">
        <v>4.3951887529182831E-2</v>
      </c>
      <c r="R754" s="2">
        <v>4.7091607533850569E-2</v>
      </c>
    </row>
    <row r="755" spans="1:18" x14ac:dyDescent="0.3">
      <c r="A755" s="7">
        <v>537</v>
      </c>
      <c r="B755" s="7">
        <v>55</v>
      </c>
      <c r="C755" s="7">
        <v>0</v>
      </c>
      <c r="D755" s="7">
        <v>0</v>
      </c>
      <c r="E755" s="20" t="str">
        <f t="shared" si="11"/>
        <v>00</v>
      </c>
      <c r="F755" s="21">
        <v>2.1667771258801101</v>
      </c>
      <c r="G755" s="4">
        <v>7.4999999999999997E-2</v>
      </c>
      <c r="H755" s="4">
        <v>7.2289156626505993E-2</v>
      </c>
      <c r="I755" s="4">
        <v>5.8999999999999997E-2</v>
      </c>
      <c r="J755" s="4">
        <v>4.1000000000000002E-2</v>
      </c>
      <c r="K755" s="5">
        <v>100</v>
      </c>
      <c r="L755" s="5">
        <v>100</v>
      </c>
      <c r="M755" s="5">
        <v>100</v>
      </c>
      <c r="N755" s="5">
        <v>100</v>
      </c>
      <c r="O755" s="2">
        <v>7.7961541469711806E-2</v>
      </c>
      <c r="P755" s="2">
        <v>7.5035185942914084E-2</v>
      </c>
      <c r="Q755" s="2">
        <v>6.0812139396757357E-2</v>
      </c>
      <c r="R755" s="2">
        <v>4.1864204098698871E-2</v>
      </c>
    </row>
    <row r="756" spans="1:18" x14ac:dyDescent="0.3">
      <c r="A756" s="7">
        <v>129</v>
      </c>
      <c r="B756" s="7">
        <v>13</v>
      </c>
      <c r="C756" s="7">
        <v>0</v>
      </c>
      <c r="D756" s="7">
        <v>0</v>
      </c>
      <c r="E756" s="20" t="str">
        <f t="shared" si="11"/>
        <v>00</v>
      </c>
      <c r="F756" s="21">
        <v>2.1799823815063899</v>
      </c>
      <c r="G756" s="4">
        <v>0.20699999999999999</v>
      </c>
      <c r="H756" s="4">
        <v>0.15677966101694901</v>
      </c>
      <c r="I756" s="4">
        <v>4.4999999999999998E-2</v>
      </c>
      <c r="J756" s="4">
        <v>5.8999999999999997E-2</v>
      </c>
      <c r="K756" s="5">
        <v>100</v>
      </c>
      <c r="L756" s="5">
        <v>100</v>
      </c>
      <c r="M756" s="5">
        <v>100</v>
      </c>
      <c r="N756" s="5">
        <v>100</v>
      </c>
      <c r="O756" s="2">
        <v>0.23193205734728903</v>
      </c>
      <c r="P756" s="2">
        <v>0.17052698030111743</v>
      </c>
      <c r="Q756" s="2">
        <v>4.6043938501406846E-2</v>
      </c>
      <c r="R756" s="2">
        <v>6.0812139396757357E-2</v>
      </c>
    </row>
    <row r="757" spans="1:18" x14ac:dyDescent="0.3">
      <c r="A757" s="7">
        <v>344</v>
      </c>
      <c r="B757" s="7">
        <v>184</v>
      </c>
      <c r="C757" s="7">
        <v>0</v>
      </c>
      <c r="D757" s="7">
        <v>0</v>
      </c>
      <c r="E757" s="20" t="str">
        <f t="shared" si="11"/>
        <v>00</v>
      </c>
      <c r="F757" s="21">
        <v>2.2052138714854399</v>
      </c>
      <c r="G757" s="4">
        <v>0.125</v>
      </c>
      <c r="H757" s="4">
        <v>0.119675456389452</v>
      </c>
      <c r="I757" s="4">
        <v>6.4000000000000001E-2</v>
      </c>
      <c r="J757" s="4">
        <v>5.5E-2</v>
      </c>
      <c r="K757" s="5">
        <v>100</v>
      </c>
      <c r="L757" s="5">
        <v>100</v>
      </c>
      <c r="M757" s="5">
        <v>100</v>
      </c>
      <c r="N757" s="5">
        <v>100</v>
      </c>
      <c r="O757" s="2">
        <v>0.13353139262452263</v>
      </c>
      <c r="P757" s="2">
        <v>0.12746463994228485</v>
      </c>
      <c r="Q757" s="2">
        <v>6.613980250454507E-2</v>
      </c>
      <c r="R757" s="2">
        <v>5.6570351488394351E-2</v>
      </c>
    </row>
    <row r="758" spans="1:18" x14ac:dyDescent="0.3">
      <c r="A758" s="7">
        <v>822</v>
      </c>
      <c r="B758" s="7">
        <v>14</v>
      </c>
      <c r="C758" s="7">
        <v>0</v>
      </c>
      <c r="D758" s="7">
        <v>0</v>
      </c>
      <c r="E758" s="20" t="str">
        <f t="shared" si="11"/>
        <v>00</v>
      </c>
      <c r="F758" s="21">
        <v>2.2233223314484798</v>
      </c>
      <c r="G758" s="4">
        <v>7.6999999999999999E-2</v>
      </c>
      <c r="H758" s="4">
        <v>8.4168336673346694E-2</v>
      </c>
      <c r="I758" s="4">
        <v>6.9000000000000006E-2</v>
      </c>
      <c r="J758" s="4">
        <v>4.2999999999999997E-2</v>
      </c>
      <c r="K758" s="5">
        <v>100</v>
      </c>
      <c r="L758" s="5">
        <v>100</v>
      </c>
      <c r="M758" s="5">
        <v>100</v>
      </c>
      <c r="N758" s="5">
        <v>100</v>
      </c>
      <c r="O758" s="2">
        <v>8.0126044479284855E-2</v>
      </c>
      <c r="P758" s="2">
        <v>8.7922704857313932E-2</v>
      </c>
      <c r="Q758" s="2">
        <v>7.1496001705069923E-2</v>
      </c>
      <c r="R758" s="2">
        <v>4.3951887529182831E-2</v>
      </c>
    </row>
    <row r="759" spans="1:18" x14ac:dyDescent="0.3">
      <c r="A759" s="7">
        <v>401</v>
      </c>
      <c r="B759" s="7">
        <v>13</v>
      </c>
      <c r="C759" s="7">
        <v>0</v>
      </c>
      <c r="D759" s="7">
        <v>0</v>
      </c>
      <c r="E759" s="20" t="str">
        <f t="shared" si="11"/>
        <v>00</v>
      </c>
      <c r="F759" s="21">
        <v>2.25598880303684</v>
      </c>
      <c r="G759" s="4">
        <v>0.128</v>
      </c>
      <c r="H759" s="4">
        <v>0.120481927710843</v>
      </c>
      <c r="I759" s="4">
        <v>0.08</v>
      </c>
      <c r="J759" s="4">
        <v>6.6000000000000003E-2</v>
      </c>
      <c r="K759" s="5">
        <v>100</v>
      </c>
      <c r="L759" s="5">
        <v>100</v>
      </c>
      <c r="M759" s="5">
        <v>100</v>
      </c>
      <c r="N759" s="5">
        <v>100</v>
      </c>
      <c r="O759" s="2">
        <v>0.13696585507315742</v>
      </c>
      <c r="P759" s="2">
        <v>0.12838116664820634</v>
      </c>
      <c r="Q759" s="2">
        <v>8.3381608939051013E-2</v>
      </c>
      <c r="R759" s="2">
        <v>6.827884075329449E-2</v>
      </c>
    </row>
    <row r="760" spans="1:18" x14ac:dyDescent="0.3">
      <c r="A760" s="7">
        <v>795</v>
      </c>
      <c r="B760" s="7">
        <v>11</v>
      </c>
      <c r="C760" s="7">
        <v>0</v>
      </c>
      <c r="D760" s="7">
        <v>0</v>
      </c>
      <c r="E760" s="20" t="str">
        <f t="shared" si="11"/>
        <v>00</v>
      </c>
      <c r="F760" s="21">
        <v>2.2839049307180899</v>
      </c>
      <c r="G760" s="4">
        <v>5.0999999999999997E-2</v>
      </c>
      <c r="H760" s="4">
        <v>4.8289738430583498E-2</v>
      </c>
      <c r="I760" s="4">
        <v>0.05</v>
      </c>
      <c r="J760" s="4">
        <v>5.5E-2</v>
      </c>
      <c r="K760" s="5">
        <v>100</v>
      </c>
      <c r="L760" s="5">
        <v>100</v>
      </c>
      <c r="M760" s="5">
        <v>100</v>
      </c>
      <c r="N760" s="5">
        <v>100</v>
      </c>
      <c r="O760" s="2">
        <v>5.2346480372209236E-2</v>
      </c>
      <c r="P760" s="2">
        <v>4.9494637604695739E-2</v>
      </c>
      <c r="Q760" s="2">
        <v>5.1293294387550578E-2</v>
      </c>
      <c r="R760" s="2">
        <v>5.6570351488394351E-2</v>
      </c>
    </row>
    <row r="761" spans="1:18" x14ac:dyDescent="0.3">
      <c r="A761" s="7">
        <v>999</v>
      </c>
      <c r="B761" s="7">
        <v>5</v>
      </c>
      <c r="C761" s="7">
        <v>0</v>
      </c>
      <c r="D761" s="7">
        <v>0</v>
      </c>
      <c r="E761" s="20" t="str">
        <f t="shared" si="11"/>
        <v>00</v>
      </c>
      <c r="F761" s="21">
        <v>2.3048036470361901</v>
      </c>
      <c r="G761" s="4">
        <v>0.26200000000000001</v>
      </c>
      <c r="H761" s="4">
        <v>0.240963855421687</v>
      </c>
      <c r="I761" s="4">
        <v>0.14000000000000001</v>
      </c>
      <c r="J761" s="4">
        <v>9.7000000000000003E-2</v>
      </c>
      <c r="K761" s="5">
        <v>100</v>
      </c>
      <c r="L761" s="5">
        <v>100</v>
      </c>
      <c r="M761" s="5">
        <v>100</v>
      </c>
      <c r="N761" s="5">
        <v>100</v>
      </c>
      <c r="O761" s="2">
        <v>0.30381145438166457</v>
      </c>
      <c r="P761" s="2">
        <v>0.27570588140506552</v>
      </c>
      <c r="Q761" s="2">
        <v>0.15082288973458366</v>
      </c>
      <c r="R761" s="2">
        <v>0.10203272556515161</v>
      </c>
    </row>
    <row r="762" spans="1:18" x14ac:dyDescent="0.3">
      <c r="A762" s="7">
        <v>867</v>
      </c>
      <c r="B762" s="7">
        <v>8</v>
      </c>
      <c r="C762" s="7">
        <v>0</v>
      </c>
      <c r="D762" s="7">
        <v>0</v>
      </c>
      <c r="E762" s="20" t="str">
        <f t="shared" si="11"/>
        <v>00</v>
      </c>
      <c r="F762" s="21">
        <v>2.3061495653753599</v>
      </c>
      <c r="G762" s="4">
        <v>7.9000000000000001E-2</v>
      </c>
      <c r="H762" s="4">
        <v>9.6385542168674704E-2</v>
      </c>
      <c r="I762" s="4">
        <v>6.4000000000000001E-2</v>
      </c>
      <c r="J762" s="4">
        <v>5.5E-2</v>
      </c>
      <c r="K762" s="5">
        <v>100</v>
      </c>
      <c r="L762" s="5">
        <v>100</v>
      </c>
      <c r="M762" s="5">
        <v>100</v>
      </c>
      <c r="N762" s="5">
        <v>100</v>
      </c>
      <c r="O762" s="2">
        <v>8.2295242726830156E-2</v>
      </c>
      <c r="P762" s="2">
        <v>0.10135249426028746</v>
      </c>
      <c r="Q762" s="2">
        <v>6.613980250454507E-2</v>
      </c>
      <c r="R762" s="2">
        <v>5.6570351488394351E-2</v>
      </c>
    </row>
    <row r="763" spans="1:18" x14ac:dyDescent="0.3">
      <c r="A763" s="7">
        <v>774</v>
      </c>
      <c r="B763" s="7">
        <v>10</v>
      </c>
      <c r="C763" s="7">
        <v>0</v>
      </c>
      <c r="D763" s="7">
        <v>0</v>
      </c>
      <c r="E763" s="20" t="str">
        <f t="shared" si="11"/>
        <v>00</v>
      </c>
      <c r="F763" s="21">
        <v>2.4261621809812302</v>
      </c>
      <c r="G763" s="4">
        <v>8.2000000000000003E-2</v>
      </c>
      <c r="H763" s="4">
        <v>8.2494969818913494E-2</v>
      </c>
      <c r="I763" s="4">
        <v>5.3999999999999999E-2</v>
      </c>
      <c r="J763" s="4">
        <v>6.5000000000000002E-2</v>
      </c>
      <c r="K763" s="5">
        <v>100</v>
      </c>
      <c r="L763" s="5">
        <v>100</v>
      </c>
      <c r="M763" s="5">
        <v>100</v>
      </c>
      <c r="N763" s="5">
        <v>100</v>
      </c>
      <c r="O763" s="2">
        <v>8.5557888361646545E-2</v>
      </c>
      <c r="P763" s="2">
        <v>8.6097216582242633E-2</v>
      </c>
      <c r="Q763" s="2">
        <v>5.5512709930258829E-2</v>
      </c>
      <c r="R763" s="2">
        <v>6.720874969344999E-2</v>
      </c>
    </row>
    <row r="764" spans="1:18" x14ac:dyDescent="0.3">
      <c r="A764" s="7">
        <v>736</v>
      </c>
      <c r="B764" s="7">
        <v>85</v>
      </c>
      <c r="C764" s="7">
        <v>0</v>
      </c>
      <c r="D764" s="7">
        <v>0</v>
      </c>
      <c r="E764" s="20" t="str">
        <f t="shared" si="11"/>
        <v>00</v>
      </c>
      <c r="F764" s="21">
        <v>2.5036204779327602</v>
      </c>
      <c r="G764" s="4">
        <v>0.34100000000000003</v>
      </c>
      <c r="H764" s="4">
        <v>0.32172131147541</v>
      </c>
      <c r="I764" s="4">
        <v>8.8999999999999996E-2</v>
      </c>
      <c r="J764" s="4">
        <v>9.4E-2</v>
      </c>
      <c r="K764" s="5">
        <v>100</v>
      </c>
      <c r="L764" s="5">
        <v>100</v>
      </c>
      <c r="M764" s="5">
        <v>100</v>
      </c>
      <c r="N764" s="5">
        <v>100</v>
      </c>
      <c r="O764" s="2">
        <v>0.41703174447962976</v>
      </c>
      <c r="P764" s="2">
        <v>0.38819703047608461</v>
      </c>
      <c r="Q764" s="2">
        <v>9.3212381722178703E-2</v>
      </c>
      <c r="R764" s="2">
        <v>9.8715972939157695E-2</v>
      </c>
    </row>
    <row r="765" spans="1:18" x14ac:dyDescent="0.3">
      <c r="A765" s="7">
        <v>934</v>
      </c>
      <c r="B765" s="7">
        <v>127</v>
      </c>
      <c r="C765" s="7">
        <v>0</v>
      </c>
      <c r="D765" s="7">
        <v>0</v>
      </c>
      <c r="E765" s="20" t="str">
        <f t="shared" si="11"/>
        <v>00</v>
      </c>
      <c r="F765" s="21">
        <v>2.58681354773586</v>
      </c>
      <c r="G765" s="4">
        <v>0.47099999999999997</v>
      </c>
      <c r="H765" s="4">
        <v>0.411392405063291</v>
      </c>
      <c r="I765" s="4">
        <v>5.8000000000000003E-2</v>
      </c>
      <c r="J765" s="4">
        <v>8.8999999999999996E-2</v>
      </c>
      <c r="K765" s="5">
        <v>100</v>
      </c>
      <c r="L765" s="5">
        <v>100</v>
      </c>
      <c r="M765" s="5">
        <v>100</v>
      </c>
      <c r="N765" s="5">
        <v>100</v>
      </c>
      <c r="O765" s="2">
        <v>0.63676684712383758</v>
      </c>
      <c r="P765" s="2">
        <v>0.52999553987371062</v>
      </c>
      <c r="Q765" s="2">
        <v>5.9750004405774049E-2</v>
      </c>
      <c r="R765" s="2">
        <v>9.3212381722178703E-2</v>
      </c>
    </row>
    <row r="766" spans="1:18" x14ac:dyDescent="0.3">
      <c r="A766" s="7">
        <v>564</v>
      </c>
      <c r="B766" s="7">
        <v>4</v>
      </c>
      <c r="C766" s="7">
        <v>0</v>
      </c>
      <c r="D766" s="7">
        <v>0</v>
      </c>
      <c r="E766" s="20" t="str">
        <f t="shared" si="11"/>
        <v>00</v>
      </c>
      <c r="F766" s="21">
        <v>2.6664690769113299</v>
      </c>
      <c r="G766" s="4">
        <v>0.38100000000000001</v>
      </c>
      <c r="H766" s="4">
        <v>0.34029227557411301</v>
      </c>
      <c r="I766" s="4">
        <v>7.8E-2</v>
      </c>
      <c r="J766" s="4">
        <v>9.2999999999999999E-2</v>
      </c>
      <c r="K766" s="5">
        <v>100</v>
      </c>
      <c r="L766" s="5">
        <v>100</v>
      </c>
      <c r="M766" s="5">
        <v>100</v>
      </c>
      <c r="N766" s="5">
        <v>100</v>
      </c>
      <c r="O766" s="2">
        <v>0.47965000629754095</v>
      </c>
      <c r="P766" s="2">
        <v>0.41595838382400352</v>
      </c>
      <c r="Q766" s="2">
        <v>8.1210055425543173E-2</v>
      </c>
      <c r="R766" s="2">
        <v>9.7612828867000415E-2</v>
      </c>
    </row>
    <row r="767" spans="1:18" x14ac:dyDescent="0.3">
      <c r="A767" s="7">
        <v>380</v>
      </c>
      <c r="B767" s="7">
        <v>257</v>
      </c>
      <c r="C767" s="7">
        <v>0</v>
      </c>
      <c r="D767" s="7">
        <v>0</v>
      </c>
      <c r="E767" s="20" t="str">
        <f t="shared" si="11"/>
        <v>00</v>
      </c>
      <c r="F767" s="21">
        <v>2.9766150355453602</v>
      </c>
      <c r="G767" s="4">
        <v>0.34799999999999998</v>
      </c>
      <c r="H767" s="4">
        <v>0.26451612903225802</v>
      </c>
      <c r="I767" s="4">
        <v>9.1999999999999998E-2</v>
      </c>
      <c r="J767" s="4">
        <v>8.7999999999999995E-2</v>
      </c>
      <c r="K767" s="5">
        <v>100</v>
      </c>
      <c r="L767" s="5">
        <v>100</v>
      </c>
      <c r="M767" s="5">
        <v>100</v>
      </c>
      <c r="N767" s="5">
        <v>100</v>
      </c>
      <c r="O767" s="2">
        <v>0.42771071705548408</v>
      </c>
      <c r="P767" s="2">
        <v>0.307226668524751</v>
      </c>
      <c r="Q767" s="2">
        <v>9.6510900380843728E-2</v>
      </c>
      <c r="R767" s="2">
        <v>9.2115288907805626E-2</v>
      </c>
    </row>
    <row r="768" spans="1:18" x14ac:dyDescent="0.3">
      <c r="A768" s="7">
        <v>769</v>
      </c>
      <c r="B768" s="7">
        <v>1</v>
      </c>
      <c r="C768" s="7">
        <v>0</v>
      </c>
      <c r="D768" s="7">
        <v>0</v>
      </c>
      <c r="E768" s="20" t="str">
        <f t="shared" si="11"/>
        <v>00</v>
      </c>
      <c r="F768" s="21">
        <v>3.1043074600412299</v>
      </c>
      <c r="G768" s="4">
        <v>0.17599999999999999</v>
      </c>
      <c r="H768" s="4">
        <v>0.17303822937625801</v>
      </c>
      <c r="I768" s="4">
        <v>0.11</v>
      </c>
      <c r="J768" s="4">
        <v>0.12</v>
      </c>
      <c r="K768" s="5">
        <v>100</v>
      </c>
      <c r="L768" s="5">
        <v>100</v>
      </c>
      <c r="M768" s="5">
        <v>100</v>
      </c>
      <c r="N768" s="5">
        <v>100</v>
      </c>
      <c r="O768" s="2">
        <v>0.19358474907266526</v>
      </c>
      <c r="P768" s="2">
        <v>0.18999681160039469</v>
      </c>
      <c r="Q768" s="2">
        <v>0.11653381625595151</v>
      </c>
      <c r="R768" s="2">
        <v>0.12783337150988489</v>
      </c>
    </row>
    <row r="769" spans="1:18" x14ac:dyDescent="0.3">
      <c r="A769" s="7">
        <v>675</v>
      </c>
      <c r="B769" s="7">
        <v>26</v>
      </c>
      <c r="C769" s="7">
        <v>0</v>
      </c>
      <c r="D769" s="7">
        <v>0</v>
      </c>
      <c r="E769" s="20" t="str">
        <f t="shared" si="11"/>
        <v>00</v>
      </c>
      <c r="F769" s="21">
        <v>3.18614636911752</v>
      </c>
      <c r="G769" s="4">
        <v>0.19800000000000001</v>
      </c>
      <c r="H769" s="4">
        <v>0.195959595959596</v>
      </c>
      <c r="I769" s="4">
        <v>0.14899999999999999</v>
      </c>
      <c r="J769" s="4">
        <v>0.123</v>
      </c>
      <c r="K769" s="5">
        <v>100</v>
      </c>
      <c r="L769" s="5">
        <v>100</v>
      </c>
      <c r="M769" s="5">
        <v>100</v>
      </c>
      <c r="N769" s="5">
        <v>100</v>
      </c>
      <c r="O769" s="2">
        <v>0.2206466711156225</v>
      </c>
      <c r="P769" s="2">
        <v>0.21810575728425266</v>
      </c>
      <c r="Q769" s="2">
        <v>0.16134315040876293</v>
      </c>
      <c r="R769" s="2">
        <v>0.13124828660995402</v>
      </c>
    </row>
    <row r="770" spans="1:18" x14ac:dyDescent="0.3">
      <c r="A770" s="7">
        <v>423</v>
      </c>
      <c r="B770" s="7">
        <v>1</v>
      </c>
      <c r="C770" s="7">
        <v>0</v>
      </c>
      <c r="D770" s="7">
        <v>0</v>
      </c>
      <c r="E770" s="20" t="str">
        <f t="shared" ref="E770:E833" si="12">_xlfn.CONCAT(C770,D770)</f>
        <v>00</v>
      </c>
      <c r="F770" s="21">
        <v>3.2570323930010701</v>
      </c>
      <c r="G770" s="4">
        <v>0.19</v>
      </c>
      <c r="H770" s="4">
        <v>0.135483870967742</v>
      </c>
      <c r="I770" s="4">
        <v>0.91600000000000004</v>
      </c>
      <c r="J770" s="4">
        <v>0.78100000000000003</v>
      </c>
      <c r="K770" s="5">
        <v>100</v>
      </c>
      <c r="L770" s="5">
        <v>100</v>
      </c>
      <c r="M770" s="5">
        <v>0</v>
      </c>
      <c r="N770" s="5">
        <v>0</v>
      </c>
      <c r="O770" s="2">
        <v>0.21072103131565253</v>
      </c>
      <c r="P770" s="2">
        <v>0.14558531696833527</v>
      </c>
      <c r="Q770" s="2">
        <v>2.4769384801388239</v>
      </c>
      <c r="R770" s="2">
        <v>1.5186835491656363</v>
      </c>
    </row>
    <row r="771" spans="1:18" x14ac:dyDescent="0.3">
      <c r="A771" s="7">
        <v>665</v>
      </c>
      <c r="B771" s="7">
        <v>2</v>
      </c>
      <c r="C771" s="7">
        <v>0</v>
      </c>
      <c r="D771" s="7">
        <v>0</v>
      </c>
      <c r="E771" s="20" t="str">
        <f t="shared" si="12"/>
        <v>00</v>
      </c>
      <c r="F771" s="21">
        <v>3.3219996847966602</v>
      </c>
      <c r="G771" s="4">
        <v>0.47499999999999998</v>
      </c>
      <c r="H771" s="4">
        <v>0.33414634146341499</v>
      </c>
      <c r="I771" s="4">
        <v>0.151</v>
      </c>
      <c r="J771" s="4">
        <v>0.11899999999999999</v>
      </c>
      <c r="K771" s="5">
        <v>100</v>
      </c>
      <c r="L771" s="5">
        <v>100</v>
      </c>
      <c r="M771" s="5">
        <v>100</v>
      </c>
      <c r="N771" s="5">
        <v>100</v>
      </c>
      <c r="O771" s="2">
        <v>0.64435701639051324</v>
      </c>
      <c r="P771" s="2">
        <v>0.40668536451339421</v>
      </c>
      <c r="Q771" s="2">
        <v>0.16369609267078977</v>
      </c>
      <c r="R771" s="2">
        <v>0.12669765304595754</v>
      </c>
    </row>
    <row r="772" spans="1:18" x14ac:dyDescent="0.3">
      <c r="A772" s="7">
        <v>583</v>
      </c>
      <c r="B772" s="7">
        <v>346</v>
      </c>
      <c r="C772" s="7">
        <v>0</v>
      </c>
      <c r="D772" s="7">
        <v>0</v>
      </c>
      <c r="E772" s="20" t="str">
        <f t="shared" si="12"/>
        <v>00</v>
      </c>
      <c r="F772" s="21">
        <v>3.3908151060802099</v>
      </c>
      <c r="G772" s="4">
        <v>0.19500000000000001</v>
      </c>
      <c r="H772" s="4">
        <v>0.177189409368635</v>
      </c>
      <c r="I772" s="4">
        <v>0.1</v>
      </c>
      <c r="J772" s="4">
        <v>0.10199999999999999</v>
      </c>
      <c r="K772" s="5">
        <v>100</v>
      </c>
      <c r="L772" s="5">
        <v>100</v>
      </c>
      <c r="M772" s="5">
        <v>100</v>
      </c>
      <c r="N772" s="5">
        <v>100</v>
      </c>
      <c r="O772" s="2">
        <v>0.21691300156357377</v>
      </c>
      <c r="P772" s="2">
        <v>0.19502924983337003</v>
      </c>
      <c r="Q772" s="2">
        <v>0.10536051565782628</v>
      </c>
      <c r="R772" s="2">
        <v>0.10758521067993743</v>
      </c>
    </row>
    <row r="773" spans="1:18" x14ac:dyDescent="0.3">
      <c r="A773" s="7">
        <v>750</v>
      </c>
      <c r="B773" s="7">
        <v>128</v>
      </c>
      <c r="C773" s="7">
        <v>0</v>
      </c>
      <c r="D773" s="7">
        <v>0</v>
      </c>
      <c r="E773" s="20" t="str">
        <f t="shared" si="12"/>
        <v>00</v>
      </c>
      <c r="F773" s="21">
        <v>3.39347703094306</v>
      </c>
      <c r="G773" s="4">
        <v>0.30399999999999999</v>
      </c>
      <c r="H773" s="4">
        <v>0.27743271221532101</v>
      </c>
      <c r="I773" s="4">
        <v>0.154</v>
      </c>
      <c r="J773" s="4">
        <v>0.125</v>
      </c>
      <c r="K773" s="5">
        <v>100</v>
      </c>
      <c r="L773" s="5">
        <v>100</v>
      </c>
      <c r="M773" s="5">
        <v>100</v>
      </c>
      <c r="N773" s="5">
        <v>100</v>
      </c>
      <c r="O773" s="2">
        <v>0.36240561864771748</v>
      </c>
      <c r="P773" s="2">
        <v>0.32494473145014574</v>
      </c>
      <c r="Q773" s="2">
        <v>0.16723591937591381</v>
      </c>
      <c r="R773" s="2">
        <v>0.13353139262452263</v>
      </c>
    </row>
    <row r="774" spans="1:18" x14ac:dyDescent="0.3">
      <c r="A774" s="7">
        <v>772</v>
      </c>
      <c r="B774" s="7">
        <v>11</v>
      </c>
      <c r="C774" s="7">
        <v>0</v>
      </c>
      <c r="D774" s="7">
        <v>0</v>
      </c>
      <c r="E774" s="20" t="str">
        <f t="shared" si="12"/>
        <v>00</v>
      </c>
      <c r="F774" s="21">
        <v>3.5691989436332099</v>
      </c>
      <c r="G774" s="4">
        <v>0.126</v>
      </c>
      <c r="H774" s="4">
        <v>9.9593495934959406E-2</v>
      </c>
      <c r="I774" s="4">
        <v>9.1999999999999998E-2</v>
      </c>
      <c r="J774" s="4">
        <v>5.6000000000000001E-2</v>
      </c>
      <c r="K774" s="5">
        <v>100</v>
      </c>
      <c r="L774" s="5">
        <v>100</v>
      </c>
      <c r="M774" s="5">
        <v>100</v>
      </c>
      <c r="N774" s="5">
        <v>100</v>
      </c>
      <c r="O774" s="2">
        <v>0.13467490332660159</v>
      </c>
      <c r="P774" s="2">
        <v>0.1049089464471725</v>
      </c>
      <c r="Q774" s="2">
        <v>9.6510900380843728E-2</v>
      </c>
      <c r="R774" s="2">
        <v>5.7629112836636416E-2</v>
      </c>
    </row>
    <row r="775" spans="1:18" x14ac:dyDescent="0.3">
      <c r="A775" s="7">
        <v>407</v>
      </c>
      <c r="B775" s="7">
        <v>59</v>
      </c>
      <c r="C775" s="7">
        <v>0</v>
      </c>
      <c r="D775" s="7">
        <v>0</v>
      </c>
      <c r="E775" s="20" t="str">
        <f t="shared" si="12"/>
        <v>00</v>
      </c>
      <c r="F775" s="21">
        <v>3.70197842738984</v>
      </c>
      <c r="G775" s="4">
        <v>0.39800000000000002</v>
      </c>
      <c r="H775" s="4">
        <v>0.354771784232365</v>
      </c>
      <c r="I775" s="4">
        <v>7.1999999999999995E-2</v>
      </c>
      <c r="J775" s="4">
        <v>0.109</v>
      </c>
      <c r="K775" s="5">
        <v>100</v>
      </c>
      <c r="L775" s="5">
        <v>100</v>
      </c>
      <c r="M775" s="5">
        <v>100</v>
      </c>
      <c r="N775" s="5">
        <v>100</v>
      </c>
      <c r="O775" s="2">
        <v>0.50749783367331602</v>
      </c>
      <c r="P775" s="2">
        <v>0.43815120187136591</v>
      </c>
      <c r="Q775" s="2">
        <v>7.4723546195936422E-2</v>
      </c>
      <c r="R775" s="2">
        <v>0.11541085151132773</v>
      </c>
    </row>
    <row r="776" spans="1:18" x14ac:dyDescent="0.3">
      <c r="A776" s="7">
        <v>777</v>
      </c>
      <c r="B776" s="7">
        <v>197</v>
      </c>
      <c r="C776" s="7">
        <v>0</v>
      </c>
      <c r="D776" s="7">
        <v>0</v>
      </c>
      <c r="E776" s="20" t="str">
        <f t="shared" si="12"/>
        <v>00</v>
      </c>
      <c r="F776" s="21">
        <v>3.9363293507555799</v>
      </c>
      <c r="G776" s="4">
        <v>0.22700000000000001</v>
      </c>
      <c r="H776" s="4">
        <v>0.211382113821138</v>
      </c>
      <c r="I776" s="4">
        <v>0.129</v>
      </c>
      <c r="J776" s="4">
        <v>9.7000000000000003E-2</v>
      </c>
      <c r="K776" s="5">
        <v>100</v>
      </c>
      <c r="L776" s="5">
        <v>100</v>
      </c>
      <c r="M776" s="5">
        <v>100</v>
      </c>
      <c r="N776" s="5">
        <v>100</v>
      </c>
      <c r="O776" s="2">
        <v>0.25747623039471507</v>
      </c>
      <c r="P776" s="2">
        <v>0.23747337686903444</v>
      </c>
      <c r="Q776" s="2">
        <v>0.13811330212963427</v>
      </c>
      <c r="R776" s="2">
        <v>0.10203272556515161</v>
      </c>
    </row>
    <row r="777" spans="1:18" x14ac:dyDescent="0.3">
      <c r="A777" s="7">
        <v>266</v>
      </c>
      <c r="B777" s="7">
        <v>14</v>
      </c>
      <c r="C777" s="7">
        <v>0</v>
      </c>
      <c r="D777" s="7">
        <v>0</v>
      </c>
      <c r="E777" s="20" t="str">
        <f t="shared" si="12"/>
        <v>00</v>
      </c>
      <c r="F777" s="21">
        <v>4.2148711572993296</v>
      </c>
      <c r="G777" s="4">
        <v>0.13300000000000001</v>
      </c>
      <c r="H777" s="4">
        <v>0.120481927710843</v>
      </c>
      <c r="I777" s="4">
        <v>0.115</v>
      </c>
      <c r="J777" s="4">
        <v>0.113</v>
      </c>
      <c r="K777" s="5">
        <v>100</v>
      </c>
      <c r="L777" s="5">
        <v>100</v>
      </c>
      <c r="M777" s="5">
        <v>100</v>
      </c>
      <c r="N777" s="5">
        <v>100</v>
      </c>
      <c r="O777" s="2">
        <v>0.1427163022015952</v>
      </c>
      <c r="P777" s="2">
        <v>0.12838116664820634</v>
      </c>
      <c r="Q777" s="2">
        <v>0.12216763397420753</v>
      </c>
      <c r="R777" s="2">
        <v>0.11991029667255755</v>
      </c>
    </row>
    <row r="778" spans="1:18" x14ac:dyDescent="0.3">
      <c r="A778" s="7">
        <v>798</v>
      </c>
      <c r="B778" s="7">
        <v>1</v>
      </c>
      <c r="C778" s="7">
        <v>0</v>
      </c>
      <c r="D778" s="7">
        <v>0</v>
      </c>
      <c r="E778" s="20" t="str">
        <f t="shared" si="12"/>
        <v>00</v>
      </c>
      <c r="F778" s="21">
        <v>4.4104013880229003</v>
      </c>
      <c r="G778" s="4">
        <v>0.36599999999999999</v>
      </c>
      <c r="H778" s="4">
        <v>0.28175519630485002</v>
      </c>
      <c r="I778" s="4">
        <v>0.11799999999999999</v>
      </c>
      <c r="J778" s="4">
        <v>0.154</v>
      </c>
      <c r="K778" s="5">
        <v>100</v>
      </c>
      <c r="L778" s="5">
        <v>100</v>
      </c>
      <c r="M778" s="5">
        <v>100</v>
      </c>
      <c r="N778" s="5">
        <v>100</v>
      </c>
      <c r="O778" s="2">
        <v>0.45570632454491111</v>
      </c>
      <c r="P778" s="2">
        <v>0.33094481582325591</v>
      </c>
      <c r="Q778" s="2">
        <v>0.12556322297534575</v>
      </c>
      <c r="R778" s="2">
        <v>0.16723591937591381</v>
      </c>
    </row>
    <row r="779" spans="1:18" x14ac:dyDescent="0.3">
      <c r="A779" s="7">
        <v>220</v>
      </c>
      <c r="B779" s="7">
        <v>490</v>
      </c>
      <c r="C779" s="7">
        <v>0</v>
      </c>
      <c r="D779" s="7">
        <v>1</v>
      </c>
      <c r="E779" s="20" t="str">
        <f t="shared" si="12"/>
        <v>01</v>
      </c>
      <c r="F779" s="21">
        <v>9.3814122036952295E-3</v>
      </c>
      <c r="G779" s="4">
        <v>0.245</v>
      </c>
      <c r="H779" s="4">
        <v>0.22107438016528899</v>
      </c>
      <c r="I779" s="4">
        <v>1</v>
      </c>
      <c r="J779" s="4">
        <v>1</v>
      </c>
      <c r="K779" s="5">
        <v>0</v>
      </c>
      <c r="L779" s="5">
        <v>0</v>
      </c>
      <c r="M779" s="5">
        <v>100</v>
      </c>
      <c r="N779" s="5">
        <v>100</v>
      </c>
      <c r="O779" s="2">
        <v>1.4064970684374101</v>
      </c>
      <c r="P779" s="2">
        <v>1.5092560722547268</v>
      </c>
      <c r="Q779" s="2">
        <v>1.0000050000287824E-5</v>
      </c>
      <c r="R779" s="2">
        <v>1.0000050000287824E-5</v>
      </c>
    </row>
    <row r="780" spans="1:18" x14ac:dyDescent="0.3">
      <c r="A780" s="7">
        <v>138</v>
      </c>
      <c r="B780" s="7">
        <v>496</v>
      </c>
      <c r="C780" s="7">
        <v>0</v>
      </c>
      <c r="D780" s="7">
        <v>1</v>
      </c>
      <c r="E780" s="20" t="str">
        <f t="shared" si="12"/>
        <v>01</v>
      </c>
      <c r="F780" s="21">
        <v>1.2240854940970399E-2</v>
      </c>
      <c r="G780" s="4">
        <v>0.122</v>
      </c>
      <c r="H780" s="4">
        <v>0.117171717171717</v>
      </c>
      <c r="I780" s="4">
        <v>0.999</v>
      </c>
      <c r="J780" s="4">
        <v>0.999</v>
      </c>
      <c r="K780" s="5">
        <v>0</v>
      </c>
      <c r="L780" s="5">
        <v>0</v>
      </c>
      <c r="M780" s="5">
        <v>100</v>
      </c>
      <c r="N780" s="5">
        <v>100</v>
      </c>
      <c r="O780" s="2">
        <v>2.1037342342488805</v>
      </c>
      <c r="P780" s="2">
        <v>2.1441147520222725</v>
      </c>
      <c r="Q780" s="2">
        <v>1.0005003335835344E-3</v>
      </c>
      <c r="R780" s="2">
        <v>1.0005003335835344E-3</v>
      </c>
    </row>
    <row r="781" spans="1:18" x14ac:dyDescent="0.3">
      <c r="A781" s="7">
        <v>513</v>
      </c>
      <c r="B781" s="7">
        <v>482</v>
      </c>
      <c r="C781" s="7">
        <v>0</v>
      </c>
      <c r="D781" s="7">
        <v>1</v>
      </c>
      <c r="E781" s="20" t="str">
        <f t="shared" si="12"/>
        <v>01</v>
      </c>
      <c r="F781" s="21">
        <v>1.48980406698935E-2</v>
      </c>
      <c r="G781" s="4">
        <v>0.22</v>
      </c>
      <c r="H781" s="4">
        <v>0.18144329896907199</v>
      </c>
      <c r="I781" s="4">
        <v>1</v>
      </c>
      <c r="J781" s="4">
        <v>0.999</v>
      </c>
      <c r="K781" s="5">
        <v>0</v>
      </c>
      <c r="L781" s="5">
        <v>0</v>
      </c>
      <c r="M781" s="5">
        <v>100</v>
      </c>
      <c r="N781" s="5">
        <v>100</v>
      </c>
      <c r="O781" s="2">
        <v>1.5141277326297755</v>
      </c>
      <c r="P781" s="2">
        <v>1.7068120764592776</v>
      </c>
      <c r="Q781" s="2">
        <v>1.0000050000287824E-5</v>
      </c>
      <c r="R781" s="2">
        <v>1.0005003335835344E-3</v>
      </c>
    </row>
    <row r="782" spans="1:18" x14ac:dyDescent="0.3">
      <c r="A782" s="7">
        <v>807</v>
      </c>
      <c r="B782" s="7">
        <v>483</v>
      </c>
      <c r="C782" s="7">
        <v>0</v>
      </c>
      <c r="D782" s="7">
        <v>1</v>
      </c>
      <c r="E782" s="20" t="str">
        <f t="shared" si="12"/>
        <v>01</v>
      </c>
      <c r="F782" s="21">
        <v>2.03765352613921E-2</v>
      </c>
      <c r="G782" s="4">
        <v>0.29099999999999998</v>
      </c>
      <c r="H782" s="4">
        <v>0.25260960334029198</v>
      </c>
      <c r="I782" s="4">
        <v>0.97499999999999998</v>
      </c>
      <c r="J782" s="4">
        <v>0.97799999999999998</v>
      </c>
      <c r="K782" s="5">
        <v>0</v>
      </c>
      <c r="L782" s="5">
        <v>0</v>
      </c>
      <c r="M782" s="5">
        <v>100</v>
      </c>
      <c r="N782" s="5">
        <v>100</v>
      </c>
      <c r="O782" s="2">
        <v>1.2344320118106447</v>
      </c>
      <c r="P782" s="2">
        <v>1.3759100518141754</v>
      </c>
      <c r="Q782" s="2">
        <v>2.5317807984289897E-2</v>
      </c>
      <c r="R782" s="2">
        <v>2.2245608947319737E-2</v>
      </c>
    </row>
    <row r="783" spans="1:18" x14ac:dyDescent="0.3">
      <c r="A783" s="7">
        <v>700</v>
      </c>
      <c r="B783" s="7">
        <v>479</v>
      </c>
      <c r="C783" s="7">
        <v>0</v>
      </c>
      <c r="D783" s="7">
        <v>1</v>
      </c>
      <c r="E783" s="20" t="str">
        <f t="shared" si="12"/>
        <v>01</v>
      </c>
      <c r="F783" s="21">
        <v>2.6493442395481501E-2</v>
      </c>
      <c r="G783" s="4">
        <v>0.36</v>
      </c>
      <c r="H783" s="4">
        <v>0.29670329670329698</v>
      </c>
      <c r="I783" s="4">
        <v>0.997</v>
      </c>
      <c r="J783" s="4">
        <v>0.997</v>
      </c>
      <c r="K783" s="5">
        <v>0</v>
      </c>
      <c r="L783" s="5">
        <v>0</v>
      </c>
      <c r="M783" s="5">
        <v>100</v>
      </c>
      <c r="N783" s="5">
        <v>100</v>
      </c>
      <c r="O783" s="2">
        <v>1.0216512475319814</v>
      </c>
      <c r="P783" s="2">
        <v>1.21502264051252</v>
      </c>
      <c r="Q783" s="2">
        <v>3.0045090202987243E-3</v>
      </c>
      <c r="R783" s="2">
        <v>3.0045090202987243E-3</v>
      </c>
    </row>
    <row r="784" spans="1:18" x14ac:dyDescent="0.3">
      <c r="A784" s="7">
        <v>36</v>
      </c>
      <c r="B784" s="7">
        <v>476</v>
      </c>
      <c r="C784" s="7">
        <v>0</v>
      </c>
      <c r="D784" s="7">
        <v>1</v>
      </c>
      <c r="E784" s="20" t="str">
        <f t="shared" si="12"/>
        <v>01</v>
      </c>
      <c r="F784" s="21">
        <v>2.8448128030852799E-2</v>
      </c>
      <c r="G784" s="4">
        <v>0.33700000000000002</v>
      </c>
      <c r="H784" s="4">
        <v>0.335378323108384</v>
      </c>
      <c r="I784" s="4">
        <v>0.93100000000000005</v>
      </c>
      <c r="J784" s="4">
        <v>0.90700000000000003</v>
      </c>
      <c r="K784" s="5">
        <v>0</v>
      </c>
      <c r="L784" s="5">
        <v>0</v>
      </c>
      <c r="M784" s="5">
        <v>100</v>
      </c>
      <c r="N784" s="5">
        <v>100</v>
      </c>
      <c r="O784" s="2">
        <v>1.0876723486297752</v>
      </c>
      <c r="P784" s="2">
        <v>1.0924960616506749</v>
      </c>
      <c r="Q784" s="2">
        <v>7.1496001705069923E-2</v>
      </c>
      <c r="R784" s="2">
        <v>9.7612828867000415E-2</v>
      </c>
    </row>
    <row r="785" spans="1:18" x14ac:dyDescent="0.3">
      <c r="A785" s="7">
        <v>814</v>
      </c>
      <c r="B785" s="7">
        <v>464</v>
      </c>
      <c r="C785" s="7">
        <v>0</v>
      </c>
      <c r="D785" s="7">
        <v>1</v>
      </c>
      <c r="E785" s="20" t="str">
        <f t="shared" si="12"/>
        <v>01</v>
      </c>
      <c r="F785" s="21">
        <v>3.10527537409587E-2</v>
      </c>
      <c r="G785" s="4">
        <v>0.28699999999999998</v>
      </c>
      <c r="H785" s="4">
        <v>0.263048016701461</v>
      </c>
      <c r="I785" s="4">
        <v>1</v>
      </c>
      <c r="J785" s="4">
        <v>1</v>
      </c>
      <c r="K785" s="5">
        <v>0</v>
      </c>
      <c r="L785" s="5">
        <v>0</v>
      </c>
      <c r="M785" s="5">
        <v>100</v>
      </c>
      <c r="N785" s="5">
        <v>100</v>
      </c>
      <c r="O785" s="2">
        <v>1.2482730632225161</v>
      </c>
      <c r="P785" s="2">
        <v>1.3354186904594387</v>
      </c>
      <c r="Q785" s="2">
        <v>1.0000050000287824E-5</v>
      </c>
      <c r="R785" s="2">
        <v>1.0000050000287824E-5</v>
      </c>
    </row>
    <row r="786" spans="1:18" x14ac:dyDescent="0.3">
      <c r="A786" s="7">
        <v>506</v>
      </c>
      <c r="B786" s="7">
        <v>470</v>
      </c>
      <c r="C786" s="7">
        <v>0</v>
      </c>
      <c r="D786" s="7">
        <v>1</v>
      </c>
      <c r="E786" s="20" t="str">
        <f t="shared" si="12"/>
        <v>01</v>
      </c>
      <c r="F786" s="21">
        <v>3.1521380377271799E-2</v>
      </c>
      <c r="G786" s="4">
        <v>9.2999999999999999E-2</v>
      </c>
      <c r="H786" s="4">
        <v>0.1</v>
      </c>
      <c r="I786" s="4">
        <v>0.999</v>
      </c>
      <c r="J786" s="4">
        <v>1</v>
      </c>
      <c r="K786" s="5">
        <v>0</v>
      </c>
      <c r="L786" s="5">
        <v>0</v>
      </c>
      <c r="M786" s="5">
        <v>100</v>
      </c>
      <c r="N786" s="5">
        <v>100</v>
      </c>
      <c r="O786" s="2">
        <v>2.375155785828881</v>
      </c>
      <c r="P786" s="2">
        <v>2.3025850929940455</v>
      </c>
      <c r="Q786" s="2">
        <v>1.0005003335835344E-3</v>
      </c>
      <c r="R786" s="2">
        <v>1.0000050000287824E-5</v>
      </c>
    </row>
    <row r="787" spans="1:18" x14ac:dyDescent="0.3">
      <c r="A787" s="7">
        <v>624</v>
      </c>
      <c r="B787" s="7">
        <v>468</v>
      </c>
      <c r="C787" s="7">
        <v>0</v>
      </c>
      <c r="D787" s="7">
        <v>1</v>
      </c>
      <c r="E787" s="20" t="str">
        <f t="shared" si="12"/>
        <v>01</v>
      </c>
      <c r="F787" s="21">
        <v>3.1550762897901097E-2</v>
      </c>
      <c r="G787" s="4">
        <v>0.23699999999999999</v>
      </c>
      <c r="H787" s="4">
        <v>0.180851063829787</v>
      </c>
      <c r="I787" s="4">
        <v>0.999</v>
      </c>
      <c r="J787" s="4">
        <v>1</v>
      </c>
      <c r="K787" s="5">
        <v>0</v>
      </c>
      <c r="L787" s="5">
        <v>0</v>
      </c>
      <c r="M787" s="5">
        <v>100</v>
      </c>
      <c r="N787" s="5">
        <v>100</v>
      </c>
      <c r="O787" s="2">
        <v>1.439695137847006</v>
      </c>
      <c r="P787" s="2">
        <v>1.7100814382137892</v>
      </c>
      <c r="Q787" s="2">
        <v>1.0005003335835344E-3</v>
      </c>
      <c r="R787" s="2">
        <v>1.0000050000287824E-5</v>
      </c>
    </row>
    <row r="788" spans="1:18" x14ac:dyDescent="0.3">
      <c r="A788" s="7">
        <v>827</v>
      </c>
      <c r="B788" s="7">
        <v>475</v>
      </c>
      <c r="C788" s="7">
        <v>0</v>
      </c>
      <c r="D788" s="7">
        <v>1</v>
      </c>
      <c r="E788" s="20" t="str">
        <f t="shared" si="12"/>
        <v>01</v>
      </c>
      <c r="F788" s="21">
        <v>3.2180166205726002E-2</v>
      </c>
      <c r="G788" s="4">
        <v>0.182</v>
      </c>
      <c r="H788" s="4">
        <v>0.16359918200408999</v>
      </c>
      <c r="I788" s="4">
        <v>0.999</v>
      </c>
      <c r="J788" s="4">
        <v>0.999</v>
      </c>
      <c r="K788" s="5">
        <v>0</v>
      </c>
      <c r="L788" s="5">
        <v>0</v>
      </c>
      <c r="M788" s="5">
        <v>100</v>
      </c>
      <c r="N788" s="5">
        <v>100</v>
      </c>
      <c r="O788" s="2">
        <v>1.7037485919053417</v>
      </c>
      <c r="P788" s="2">
        <v>1.8103358548009905</v>
      </c>
      <c r="Q788" s="2">
        <v>1.0005003335835344E-3</v>
      </c>
      <c r="R788" s="2">
        <v>1.0005003335835344E-3</v>
      </c>
    </row>
    <row r="789" spans="1:18" x14ac:dyDescent="0.3">
      <c r="A789" s="7">
        <v>699</v>
      </c>
      <c r="B789" s="7">
        <v>480</v>
      </c>
      <c r="C789" s="7">
        <v>0</v>
      </c>
      <c r="D789" s="7">
        <v>1</v>
      </c>
      <c r="E789" s="20" t="str">
        <f t="shared" si="12"/>
        <v>01</v>
      </c>
      <c r="F789" s="21">
        <v>3.2796604758812603E-2</v>
      </c>
      <c r="G789" s="4">
        <v>0.29599999999999999</v>
      </c>
      <c r="H789" s="4">
        <v>0.27950310559006197</v>
      </c>
      <c r="I789" s="4">
        <v>1</v>
      </c>
      <c r="J789" s="4">
        <v>0.999</v>
      </c>
      <c r="K789" s="5">
        <v>0</v>
      </c>
      <c r="L789" s="5">
        <v>0</v>
      </c>
      <c r="M789" s="5">
        <v>100</v>
      </c>
      <c r="N789" s="5">
        <v>100</v>
      </c>
      <c r="O789" s="2">
        <v>1.2173958246580767</v>
      </c>
      <c r="P789" s="2">
        <v>1.2747418752141437</v>
      </c>
      <c r="Q789" s="2">
        <v>1.0000050000287824E-5</v>
      </c>
      <c r="R789" s="2">
        <v>1.0005003335835344E-3</v>
      </c>
    </row>
    <row r="790" spans="1:18" x14ac:dyDescent="0.3">
      <c r="A790" s="7">
        <v>954</v>
      </c>
      <c r="B790" s="7">
        <v>478</v>
      </c>
      <c r="C790" s="7">
        <v>0</v>
      </c>
      <c r="D790" s="7">
        <v>1</v>
      </c>
      <c r="E790" s="20" t="str">
        <f t="shared" si="12"/>
        <v>01</v>
      </c>
      <c r="F790" s="21">
        <v>3.3125629482353501E-2</v>
      </c>
      <c r="G790" s="4">
        <v>0.29799999999999999</v>
      </c>
      <c r="H790" s="4">
        <v>0.28183716075156601</v>
      </c>
      <c r="I790" s="4">
        <v>1</v>
      </c>
      <c r="J790" s="4">
        <v>0.999</v>
      </c>
      <c r="K790" s="5">
        <v>0</v>
      </c>
      <c r="L790" s="5">
        <v>0</v>
      </c>
      <c r="M790" s="5">
        <v>100</v>
      </c>
      <c r="N790" s="5">
        <v>100</v>
      </c>
      <c r="O790" s="2">
        <v>1.2106617924767327</v>
      </c>
      <c r="P790" s="2">
        <v>1.2664258189724849</v>
      </c>
      <c r="Q790" s="2">
        <v>1.0000050000287824E-5</v>
      </c>
      <c r="R790" s="2">
        <v>1.0005003335835344E-3</v>
      </c>
    </row>
    <row r="791" spans="1:18" x14ac:dyDescent="0.3">
      <c r="A791" s="7">
        <v>780</v>
      </c>
      <c r="B791" s="7">
        <v>482</v>
      </c>
      <c r="C791" s="7">
        <v>0</v>
      </c>
      <c r="D791" s="7">
        <v>1</v>
      </c>
      <c r="E791" s="20" t="str">
        <f t="shared" si="12"/>
        <v>01</v>
      </c>
      <c r="F791" s="21">
        <v>4.0127256888342601E-2</v>
      </c>
      <c r="G791" s="4">
        <v>0.20599999999999999</v>
      </c>
      <c r="H791" s="4">
        <v>0.20080321285140601</v>
      </c>
      <c r="I791" s="4">
        <v>0.999</v>
      </c>
      <c r="J791" s="4">
        <v>0.999</v>
      </c>
      <c r="K791" s="5">
        <v>0</v>
      </c>
      <c r="L791" s="5">
        <v>0</v>
      </c>
      <c r="M791" s="5">
        <v>100</v>
      </c>
      <c r="N791" s="5">
        <v>100</v>
      </c>
      <c r="O791" s="2">
        <v>1.579879110192556</v>
      </c>
      <c r="P791" s="2">
        <v>1.6054298910365596</v>
      </c>
      <c r="Q791" s="2">
        <v>1.0005003335835344E-3</v>
      </c>
      <c r="R791" s="2">
        <v>1.0005003335835344E-3</v>
      </c>
    </row>
    <row r="792" spans="1:18" x14ac:dyDescent="0.3">
      <c r="A792" s="7">
        <v>862</v>
      </c>
      <c r="B792" s="7">
        <v>466</v>
      </c>
      <c r="C792" s="7">
        <v>0</v>
      </c>
      <c r="D792" s="7">
        <v>1</v>
      </c>
      <c r="E792" s="20" t="str">
        <f t="shared" si="12"/>
        <v>01</v>
      </c>
      <c r="F792" s="21">
        <v>4.1528904212307302E-2</v>
      </c>
      <c r="G792" s="4">
        <v>0.17899999999999999</v>
      </c>
      <c r="H792" s="4">
        <v>0.18813905930470301</v>
      </c>
      <c r="I792" s="4">
        <v>0.998</v>
      </c>
      <c r="J792" s="4">
        <v>0.995</v>
      </c>
      <c r="K792" s="5">
        <v>0</v>
      </c>
      <c r="L792" s="5">
        <v>0</v>
      </c>
      <c r="M792" s="5">
        <v>100</v>
      </c>
      <c r="N792" s="5">
        <v>100</v>
      </c>
      <c r="O792" s="2">
        <v>1.7203694731413821</v>
      </c>
      <c r="P792" s="2">
        <v>1.6705739124258341</v>
      </c>
      <c r="Q792" s="2">
        <v>2.0020026706730793E-3</v>
      </c>
      <c r="R792" s="2">
        <v>5.0125418235442863E-3</v>
      </c>
    </row>
    <row r="793" spans="1:18" x14ac:dyDescent="0.3">
      <c r="A793" s="7">
        <v>160</v>
      </c>
      <c r="B793" s="7">
        <v>458</v>
      </c>
      <c r="C793" s="7">
        <v>0</v>
      </c>
      <c r="D793" s="7">
        <v>1</v>
      </c>
      <c r="E793" s="20" t="str">
        <f t="shared" si="12"/>
        <v>01</v>
      </c>
      <c r="F793" s="21">
        <v>4.1799652255178101E-2</v>
      </c>
      <c r="G793" s="4">
        <v>0.251</v>
      </c>
      <c r="H793" s="4">
        <v>0.226262626262626</v>
      </c>
      <c r="I793" s="4">
        <v>0.99299999999999999</v>
      </c>
      <c r="J793" s="4">
        <v>0.998</v>
      </c>
      <c r="K793" s="5">
        <v>0</v>
      </c>
      <c r="L793" s="5">
        <v>0</v>
      </c>
      <c r="M793" s="5">
        <v>100</v>
      </c>
      <c r="N793" s="5">
        <v>100</v>
      </c>
      <c r="O793" s="2">
        <v>1.3823023398503531</v>
      </c>
      <c r="P793" s="2">
        <v>1.486058891273597</v>
      </c>
      <c r="Q793" s="2">
        <v>7.0246149369644663E-3</v>
      </c>
      <c r="R793" s="2">
        <v>2.0020026706730793E-3</v>
      </c>
    </row>
    <row r="794" spans="1:18" x14ac:dyDescent="0.3">
      <c r="A794" s="7">
        <v>196</v>
      </c>
      <c r="B794" s="7">
        <v>458</v>
      </c>
      <c r="C794" s="7">
        <v>0</v>
      </c>
      <c r="D794" s="7">
        <v>1</v>
      </c>
      <c r="E794" s="20" t="str">
        <f t="shared" si="12"/>
        <v>01</v>
      </c>
      <c r="F794" s="21">
        <v>4.6979658735864398E-2</v>
      </c>
      <c r="G794" s="4">
        <v>0.222</v>
      </c>
      <c r="H794" s="4">
        <v>0.235412474849095</v>
      </c>
      <c r="I794" s="4">
        <v>0.998</v>
      </c>
      <c r="J794" s="4">
        <v>0.999</v>
      </c>
      <c r="K794" s="5">
        <v>0</v>
      </c>
      <c r="L794" s="5">
        <v>0</v>
      </c>
      <c r="M794" s="5">
        <v>100</v>
      </c>
      <c r="N794" s="5">
        <v>100</v>
      </c>
      <c r="O794" s="2">
        <v>1.5050778971098575</v>
      </c>
      <c r="P794" s="2">
        <v>1.4464160912988708</v>
      </c>
      <c r="Q794" s="2">
        <v>2.0020026706730793E-3</v>
      </c>
      <c r="R794" s="2">
        <v>1.0005003335835344E-3</v>
      </c>
    </row>
    <row r="795" spans="1:18" x14ac:dyDescent="0.3">
      <c r="A795" s="7">
        <v>294</v>
      </c>
      <c r="B795" s="7">
        <v>472</v>
      </c>
      <c r="C795" s="7">
        <v>0</v>
      </c>
      <c r="D795" s="7">
        <v>1</v>
      </c>
      <c r="E795" s="20" t="str">
        <f t="shared" si="12"/>
        <v>01</v>
      </c>
      <c r="F795" s="21">
        <v>5.0997326153477303E-2</v>
      </c>
      <c r="G795" s="4">
        <v>0.64300000000000002</v>
      </c>
      <c r="H795" s="4">
        <v>0.61978021978022002</v>
      </c>
      <c r="I795" s="4">
        <v>0.998</v>
      </c>
      <c r="J795" s="4">
        <v>0.997</v>
      </c>
      <c r="K795" s="5">
        <v>100</v>
      </c>
      <c r="L795" s="5">
        <v>100</v>
      </c>
      <c r="M795" s="5">
        <v>100</v>
      </c>
      <c r="N795" s="5">
        <v>100</v>
      </c>
      <c r="O795" s="2">
        <v>0.44161055474451766</v>
      </c>
      <c r="P795" s="2">
        <v>0.47839034801283642</v>
      </c>
      <c r="Q795" s="2">
        <v>2.0020026706730793E-3</v>
      </c>
      <c r="R795" s="2">
        <v>3.0045090202987243E-3</v>
      </c>
    </row>
    <row r="796" spans="1:18" x14ac:dyDescent="0.3">
      <c r="A796" s="7">
        <v>411</v>
      </c>
      <c r="B796" s="7">
        <v>445</v>
      </c>
      <c r="C796" s="7">
        <v>0</v>
      </c>
      <c r="D796" s="7">
        <v>1</v>
      </c>
      <c r="E796" s="20" t="str">
        <f t="shared" si="12"/>
        <v>01</v>
      </c>
      <c r="F796" s="21">
        <v>5.1092846132323899E-2</v>
      </c>
      <c r="G796" s="4">
        <v>0.223</v>
      </c>
      <c r="H796" s="4">
        <v>0.20321931589537201</v>
      </c>
      <c r="I796" s="4">
        <v>0.995</v>
      </c>
      <c r="J796" s="4">
        <v>0.999</v>
      </c>
      <c r="K796" s="5">
        <v>0</v>
      </c>
      <c r="L796" s="5">
        <v>0</v>
      </c>
      <c r="M796" s="5">
        <v>100</v>
      </c>
      <c r="N796" s="5">
        <v>100</v>
      </c>
      <c r="O796" s="2">
        <v>1.5005835075220182</v>
      </c>
      <c r="P796" s="2">
        <v>1.5934695092553703</v>
      </c>
      <c r="Q796" s="2">
        <v>5.0125418235442863E-3</v>
      </c>
      <c r="R796" s="2">
        <v>1.0005003335835344E-3</v>
      </c>
    </row>
    <row r="797" spans="1:18" x14ac:dyDescent="0.3">
      <c r="A797" s="7">
        <v>661</v>
      </c>
      <c r="B797" s="7">
        <v>460</v>
      </c>
      <c r="C797" s="7">
        <v>0</v>
      </c>
      <c r="D797" s="7">
        <v>1</v>
      </c>
      <c r="E797" s="20" t="str">
        <f t="shared" si="12"/>
        <v>01</v>
      </c>
      <c r="F797" s="21">
        <v>5.3012799900548302E-2</v>
      </c>
      <c r="G797" s="4">
        <v>0.35</v>
      </c>
      <c r="H797" s="4">
        <v>0.33333333333333298</v>
      </c>
      <c r="I797" s="4">
        <v>0.998</v>
      </c>
      <c r="J797" s="4">
        <v>0.996</v>
      </c>
      <c r="K797" s="5">
        <v>0</v>
      </c>
      <c r="L797" s="5">
        <v>0</v>
      </c>
      <c r="M797" s="5">
        <v>100</v>
      </c>
      <c r="N797" s="5">
        <v>100</v>
      </c>
      <c r="O797" s="2">
        <v>1.0498221244986778</v>
      </c>
      <c r="P797" s="2">
        <v>1.0986122886681107</v>
      </c>
      <c r="Q797" s="2">
        <v>2.0020026706730793E-3</v>
      </c>
      <c r="R797" s="2">
        <v>4.0080213975388218E-3</v>
      </c>
    </row>
    <row r="798" spans="1:18" x14ac:dyDescent="0.3">
      <c r="A798" s="7">
        <v>957</v>
      </c>
      <c r="B798" s="7">
        <v>436</v>
      </c>
      <c r="C798" s="7">
        <v>0</v>
      </c>
      <c r="D798" s="7">
        <v>1</v>
      </c>
      <c r="E798" s="20" t="str">
        <f t="shared" si="12"/>
        <v>01</v>
      </c>
      <c r="F798" s="21">
        <v>5.7120030725261402E-2</v>
      </c>
      <c r="G798" s="4">
        <v>0.17899999999999999</v>
      </c>
      <c r="H798" s="4">
        <v>0.16969696969697001</v>
      </c>
      <c r="I798" s="4">
        <v>0.996</v>
      </c>
      <c r="J798" s="4">
        <v>0.997</v>
      </c>
      <c r="K798" s="5">
        <v>0</v>
      </c>
      <c r="L798" s="5">
        <v>0</v>
      </c>
      <c r="M798" s="5">
        <v>100</v>
      </c>
      <c r="N798" s="5">
        <v>100</v>
      </c>
      <c r="O798" s="2">
        <v>1.7203694731413821</v>
      </c>
      <c r="P798" s="2">
        <v>1.7737409637253749</v>
      </c>
      <c r="Q798" s="2">
        <v>4.0080213975388218E-3</v>
      </c>
      <c r="R798" s="2">
        <v>3.0045090202987243E-3</v>
      </c>
    </row>
    <row r="799" spans="1:18" x14ac:dyDescent="0.3">
      <c r="A799" s="7">
        <v>234</v>
      </c>
      <c r="B799" s="7">
        <v>456</v>
      </c>
      <c r="C799" s="7">
        <v>0</v>
      </c>
      <c r="D799" s="7">
        <v>1</v>
      </c>
      <c r="E799" s="20" t="str">
        <f t="shared" si="12"/>
        <v>01</v>
      </c>
      <c r="F799" s="21">
        <v>5.79252098073023E-2</v>
      </c>
      <c r="G799" s="4">
        <v>0.128</v>
      </c>
      <c r="H799" s="4">
        <v>0.12753036437247001</v>
      </c>
      <c r="I799" s="4">
        <v>0.999</v>
      </c>
      <c r="J799" s="4">
        <v>0.999</v>
      </c>
      <c r="K799" s="5">
        <v>0</v>
      </c>
      <c r="L799" s="5">
        <v>0</v>
      </c>
      <c r="M799" s="5">
        <v>100</v>
      </c>
      <c r="N799" s="5">
        <v>100</v>
      </c>
      <c r="O799" s="2">
        <v>2.0557250150625199</v>
      </c>
      <c r="P799" s="2">
        <v>2.0594007907963867</v>
      </c>
      <c r="Q799" s="2">
        <v>1.0005003335835344E-3</v>
      </c>
      <c r="R799" s="2">
        <v>1.0005003335835344E-3</v>
      </c>
    </row>
    <row r="800" spans="1:18" x14ac:dyDescent="0.3">
      <c r="A800" s="7">
        <v>742</v>
      </c>
      <c r="B800" s="7">
        <v>452</v>
      </c>
      <c r="C800" s="7">
        <v>0</v>
      </c>
      <c r="D800" s="7">
        <v>1</v>
      </c>
      <c r="E800" s="20" t="str">
        <f t="shared" si="12"/>
        <v>01</v>
      </c>
      <c r="F800" s="21">
        <v>6.0017495989775502E-2</v>
      </c>
      <c r="G800" s="4">
        <v>0.20899999999999999</v>
      </c>
      <c r="H800" s="4">
        <v>0.18864097363083199</v>
      </c>
      <c r="I800" s="4">
        <v>0.999</v>
      </c>
      <c r="J800" s="4">
        <v>0.999</v>
      </c>
      <c r="K800" s="5">
        <v>0</v>
      </c>
      <c r="L800" s="5">
        <v>0</v>
      </c>
      <c r="M800" s="5">
        <v>100</v>
      </c>
      <c r="N800" s="5">
        <v>100</v>
      </c>
      <c r="O800" s="2">
        <v>1.5654210270173261</v>
      </c>
      <c r="P800" s="2">
        <v>1.6679096808894323</v>
      </c>
      <c r="Q800" s="2">
        <v>1.0005003335835344E-3</v>
      </c>
      <c r="R800" s="2">
        <v>1.0005003335835344E-3</v>
      </c>
    </row>
    <row r="801" spans="1:18" x14ac:dyDescent="0.3">
      <c r="A801" s="7">
        <v>520</v>
      </c>
      <c r="B801" s="7">
        <v>442</v>
      </c>
      <c r="C801" s="7">
        <v>0</v>
      </c>
      <c r="D801" s="7">
        <v>1</v>
      </c>
      <c r="E801" s="20" t="str">
        <f t="shared" si="12"/>
        <v>01</v>
      </c>
      <c r="F801" s="21">
        <v>6.36006901812705E-2</v>
      </c>
      <c r="G801" s="4">
        <v>0.48799999999999999</v>
      </c>
      <c r="H801" s="4">
        <v>0.463983050847458</v>
      </c>
      <c r="I801" s="4">
        <v>0.999</v>
      </c>
      <c r="J801" s="4">
        <v>0.996</v>
      </c>
      <c r="K801" s="5">
        <v>0</v>
      </c>
      <c r="L801" s="5">
        <v>0</v>
      </c>
      <c r="M801" s="5">
        <v>100</v>
      </c>
      <c r="N801" s="5">
        <v>100</v>
      </c>
      <c r="O801" s="2">
        <v>0.71743987312898994</v>
      </c>
      <c r="P801" s="2">
        <v>0.76790725576905372</v>
      </c>
      <c r="Q801" s="2">
        <v>1.0005003335835344E-3</v>
      </c>
      <c r="R801" s="2">
        <v>4.0080213975388218E-3</v>
      </c>
    </row>
    <row r="802" spans="1:18" x14ac:dyDescent="0.3">
      <c r="A802" s="7">
        <v>928</v>
      </c>
      <c r="B802" s="7">
        <v>432</v>
      </c>
      <c r="C802" s="7">
        <v>0</v>
      </c>
      <c r="D802" s="7">
        <v>1</v>
      </c>
      <c r="E802" s="20" t="str">
        <f t="shared" si="12"/>
        <v>01</v>
      </c>
      <c r="F802" s="21">
        <v>7.0529559351538804E-2</v>
      </c>
      <c r="G802" s="4">
        <v>0.27500000000000002</v>
      </c>
      <c r="H802" s="4">
        <v>0.26209677419354799</v>
      </c>
      <c r="I802" s="4">
        <v>0.999</v>
      </c>
      <c r="J802" s="4">
        <v>0.99399999999999999</v>
      </c>
      <c r="K802" s="5">
        <v>0</v>
      </c>
      <c r="L802" s="5">
        <v>0</v>
      </c>
      <c r="M802" s="5">
        <v>100</v>
      </c>
      <c r="N802" s="5">
        <v>100</v>
      </c>
      <c r="O802" s="2">
        <v>1.2909841813155656</v>
      </c>
      <c r="P802" s="2">
        <v>1.3390414762693466</v>
      </c>
      <c r="Q802" s="2">
        <v>1.0005003335835344E-3</v>
      </c>
      <c r="R802" s="2">
        <v>6.0180723255630212E-3</v>
      </c>
    </row>
    <row r="803" spans="1:18" x14ac:dyDescent="0.3">
      <c r="A803" s="7">
        <v>547</v>
      </c>
      <c r="B803" s="7">
        <v>447</v>
      </c>
      <c r="C803" s="7">
        <v>0</v>
      </c>
      <c r="D803" s="7">
        <v>1</v>
      </c>
      <c r="E803" s="20" t="str">
        <f t="shared" si="12"/>
        <v>01</v>
      </c>
      <c r="F803" s="21">
        <v>7.1817641121022693E-2</v>
      </c>
      <c r="G803" s="4">
        <v>0.55000000000000004</v>
      </c>
      <c r="H803" s="4">
        <v>0.53893442622950805</v>
      </c>
      <c r="I803" s="4">
        <v>0.999</v>
      </c>
      <c r="J803" s="4">
        <v>0.998</v>
      </c>
      <c r="K803" s="5">
        <v>100</v>
      </c>
      <c r="L803" s="5">
        <v>100</v>
      </c>
      <c r="M803" s="5">
        <v>100</v>
      </c>
      <c r="N803" s="5">
        <v>100</v>
      </c>
      <c r="O803" s="2">
        <v>0.59783700075562041</v>
      </c>
      <c r="P803" s="2">
        <v>0.61816137367538293</v>
      </c>
      <c r="Q803" s="2">
        <v>1.0005003335835344E-3</v>
      </c>
      <c r="R803" s="2">
        <v>2.0020026706730793E-3</v>
      </c>
    </row>
    <row r="804" spans="1:18" x14ac:dyDescent="0.3">
      <c r="A804" s="7">
        <v>446</v>
      </c>
      <c r="B804" s="7">
        <v>444</v>
      </c>
      <c r="C804" s="7">
        <v>0</v>
      </c>
      <c r="D804" s="7">
        <v>1</v>
      </c>
      <c r="E804" s="20" t="str">
        <f t="shared" si="12"/>
        <v>01</v>
      </c>
      <c r="F804" s="21">
        <v>7.1903675701817202E-2</v>
      </c>
      <c r="G804" s="4">
        <v>0.251</v>
      </c>
      <c r="H804" s="4">
        <v>0.26326530612244903</v>
      </c>
      <c r="I804" s="4">
        <v>0.99399999999999999</v>
      </c>
      <c r="J804" s="4">
        <v>0.996</v>
      </c>
      <c r="K804" s="5">
        <v>0</v>
      </c>
      <c r="L804" s="5">
        <v>0</v>
      </c>
      <c r="M804" s="5">
        <v>100</v>
      </c>
      <c r="N804" s="5">
        <v>100</v>
      </c>
      <c r="O804" s="2">
        <v>1.3823023398503531</v>
      </c>
      <c r="P804" s="2">
        <v>1.334592986743</v>
      </c>
      <c r="Q804" s="2">
        <v>6.0180723255630212E-3</v>
      </c>
      <c r="R804" s="2">
        <v>4.0080213975388218E-3</v>
      </c>
    </row>
    <row r="805" spans="1:18" x14ac:dyDescent="0.3">
      <c r="A805" s="7">
        <v>782</v>
      </c>
      <c r="B805" s="7">
        <v>443</v>
      </c>
      <c r="C805" s="7">
        <v>0</v>
      </c>
      <c r="D805" s="7">
        <v>1</v>
      </c>
      <c r="E805" s="20" t="str">
        <f t="shared" si="12"/>
        <v>01</v>
      </c>
      <c r="F805" s="21">
        <v>7.6764285665440093E-2</v>
      </c>
      <c r="G805" s="4">
        <v>0.1</v>
      </c>
      <c r="H805" s="4">
        <v>0.110220440881764</v>
      </c>
      <c r="I805" s="4">
        <v>0.999</v>
      </c>
      <c r="J805" s="4">
        <v>1</v>
      </c>
      <c r="K805" s="5">
        <v>0</v>
      </c>
      <c r="L805" s="5">
        <v>0</v>
      </c>
      <c r="M805" s="5">
        <v>100</v>
      </c>
      <c r="N805" s="5">
        <v>100</v>
      </c>
      <c r="O805" s="2">
        <v>2.3025850929940455</v>
      </c>
      <c r="P805" s="2">
        <v>2.2052729105190436</v>
      </c>
      <c r="Q805" s="2">
        <v>1.0005003335835344E-3</v>
      </c>
      <c r="R805" s="2">
        <v>1.0000050000287824E-5</v>
      </c>
    </row>
    <row r="806" spans="1:18" x14ac:dyDescent="0.3">
      <c r="A806" s="7">
        <v>37</v>
      </c>
      <c r="B806" s="7">
        <v>427</v>
      </c>
      <c r="C806" s="7">
        <v>0</v>
      </c>
      <c r="D806" s="7">
        <v>1</v>
      </c>
      <c r="E806" s="20" t="str">
        <f t="shared" si="12"/>
        <v>01</v>
      </c>
      <c r="F806" s="21">
        <v>8.1421768719540003E-2</v>
      </c>
      <c r="G806" s="4">
        <v>0.20200000000000001</v>
      </c>
      <c r="H806" s="4">
        <v>0.18737270875763701</v>
      </c>
      <c r="I806" s="4">
        <v>0.98399999999999999</v>
      </c>
      <c r="J806" s="4">
        <v>0.99</v>
      </c>
      <c r="K806" s="5">
        <v>0</v>
      </c>
      <c r="L806" s="5">
        <v>0</v>
      </c>
      <c r="M806" s="5">
        <v>100</v>
      </c>
      <c r="N806" s="5">
        <v>100</v>
      </c>
      <c r="O806" s="2">
        <v>1.5994875815809322</v>
      </c>
      <c r="P806" s="2">
        <v>1.6746555507454828</v>
      </c>
      <c r="Q806" s="2">
        <v>1.6129381929883644E-2</v>
      </c>
      <c r="R806" s="2">
        <v>1.0050335853501451E-2</v>
      </c>
    </row>
    <row r="807" spans="1:18" x14ac:dyDescent="0.3">
      <c r="A807" s="7">
        <v>727</v>
      </c>
      <c r="B807" s="7">
        <v>426</v>
      </c>
      <c r="C807" s="7">
        <v>0</v>
      </c>
      <c r="D807" s="7">
        <v>1</v>
      </c>
      <c r="E807" s="20" t="str">
        <f t="shared" si="12"/>
        <v>01</v>
      </c>
      <c r="F807" s="21">
        <v>8.2969515388487597E-2</v>
      </c>
      <c r="G807" s="4">
        <v>0.29799999999999999</v>
      </c>
      <c r="H807" s="4">
        <v>0.25473684210526298</v>
      </c>
      <c r="I807" s="4">
        <v>0.93400000000000005</v>
      </c>
      <c r="J807" s="4">
        <v>0.93899999999999995</v>
      </c>
      <c r="K807" s="5">
        <v>0</v>
      </c>
      <c r="L807" s="5">
        <v>0</v>
      </c>
      <c r="M807" s="5">
        <v>100</v>
      </c>
      <c r="N807" s="5">
        <v>100</v>
      </c>
      <c r="O807" s="2">
        <v>1.2106617924767327</v>
      </c>
      <c r="P807" s="2">
        <v>1.3675242584379008</v>
      </c>
      <c r="Q807" s="2">
        <v>6.8278840753294379E-2</v>
      </c>
      <c r="R807" s="2">
        <v>6.2939799773874205E-2</v>
      </c>
    </row>
    <row r="808" spans="1:18" x14ac:dyDescent="0.3">
      <c r="A808" s="7">
        <v>912</v>
      </c>
      <c r="B808" s="7">
        <v>427</v>
      </c>
      <c r="C808" s="7">
        <v>0</v>
      </c>
      <c r="D808" s="7">
        <v>1</v>
      </c>
      <c r="E808" s="20" t="str">
        <f t="shared" si="12"/>
        <v>01</v>
      </c>
      <c r="F808" s="21">
        <v>9.3623602903572606E-2</v>
      </c>
      <c r="G808" s="4">
        <v>0.14000000000000001</v>
      </c>
      <c r="H808" s="4">
        <v>9.8121085594989596E-2</v>
      </c>
      <c r="I808" s="4">
        <v>0.998</v>
      </c>
      <c r="J808" s="4">
        <v>0.999</v>
      </c>
      <c r="K808" s="5">
        <v>0</v>
      </c>
      <c r="L808" s="5">
        <v>0</v>
      </c>
      <c r="M808" s="5">
        <v>100</v>
      </c>
      <c r="N808" s="5">
        <v>100</v>
      </c>
      <c r="O808" s="2">
        <v>1.9661128563728327</v>
      </c>
      <c r="P808" s="2">
        <v>2.3215529957008565</v>
      </c>
      <c r="Q808" s="2">
        <v>2.0020026706730793E-3</v>
      </c>
      <c r="R808" s="2">
        <v>1.0005003335835344E-3</v>
      </c>
    </row>
    <row r="809" spans="1:18" x14ac:dyDescent="0.3">
      <c r="A809" s="7">
        <v>43</v>
      </c>
      <c r="B809" s="7">
        <v>427</v>
      </c>
      <c r="C809" s="7">
        <v>0</v>
      </c>
      <c r="D809" s="7">
        <v>1</v>
      </c>
      <c r="E809" s="20" t="str">
        <f t="shared" si="12"/>
        <v>01</v>
      </c>
      <c r="F809" s="21">
        <v>9.44511397003336E-2</v>
      </c>
      <c r="G809" s="4">
        <v>0.22500000000000001</v>
      </c>
      <c r="H809" s="4">
        <v>0.21881390593047001</v>
      </c>
      <c r="I809" s="4">
        <v>0.998</v>
      </c>
      <c r="J809" s="4">
        <v>0.99399999999999999</v>
      </c>
      <c r="K809" s="5">
        <v>0</v>
      </c>
      <c r="L809" s="5">
        <v>0</v>
      </c>
      <c r="M809" s="5">
        <v>100</v>
      </c>
      <c r="N809" s="5">
        <v>100</v>
      </c>
      <c r="O809" s="2">
        <v>1.4916548767777169</v>
      </c>
      <c r="P809" s="2">
        <v>1.5195336550129674</v>
      </c>
      <c r="Q809" s="2">
        <v>2.0020026706730793E-3</v>
      </c>
      <c r="R809" s="2">
        <v>6.0180723255630212E-3</v>
      </c>
    </row>
    <row r="810" spans="1:18" x14ac:dyDescent="0.3">
      <c r="A810" s="7">
        <v>495</v>
      </c>
      <c r="B810" s="7">
        <v>427</v>
      </c>
      <c r="C810" s="7">
        <v>0</v>
      </c>
      <c r="D810" s="7">
        <v>1</v>
      </c>
      <c r="E810" s="20" t="str">
        <f t="shared" si="12"/>
        <v>01</v>
      </c>
      <c r="F810" s="21">
        <v>0.101135866329447</v>
      </c>
      <c r="G810" s="4">
        <v>0.41699999999999998</v>
      </c>
      <c r="H810" s="4">
        <v>0.38524590163934402</v>
      </c>
      <c r="I810" s="4">
        <v>0.99299999999999999</v>
      </c>
      <c r="J810" s="4">
        <v>0.996</v>
      </c>
      <c r="K810" s="5">
        <v>0</v>
      </c>
      <c r="L810" s="5">
        <v>0</v>
      </c>
      <c r="M810" s="5">
        <v>100</v>
      </c>
      <c r="N810" s="5">
        <v>100</v>
      </c>
      <c r="O810" s="2">
        <v>0.87466905718333565</v>
      </c>
      <c r="P810" s="2">
        <v>0.95387344302319854</v>
      </c>
      <c r="Q810" s="2">
        <v>7.0246149369644663E-3</v>
      </c>
      <c r="R810" s="2">
        <v>4.0080213975388218E-3</v>
      </c>
    </row>
    <row r="811" spans="1:18" x14ac:dyDescent="0.3">
      <c r="A811" s="7">
        <v>382</v>
      </c>
      <c r="B811" s="7">
        <v>417</v>
      </c>
      <c r="C811" s="7">
        <v>0</v>
      </c>
      <c r="D811" s="7">
        <v>1</v>
      </c>
      <c r="E811" s="20" t="str">
        <f t="shared" si="12"/>
        <v>01</v>
      </c>
      <c r="F811" s="21">
        <v>0.106276067509761</v>
      </c>
      <c r="G811" s="4">
        <v>0.09</v>
      </c>
      <c r="H811" s="4">
        <v>7.6458752515090503E-2</v>
      </c>
      <c r="I811" s="4">
        <v>0.998</v>
      </c>
      <c r="J811" s="4">
        <v>0.998</v>
      </c>
      <c r="K811" s="5">
        <v>0</v>
      </c>
      <c r="L811" s="5">
        <v>0</v>
      </c>
      <c r="M811" s="5">
        <v>100</v>
      </c>
      <c r="N811" s="5">
        <v>100</v>
      </c>
      <c r="O811" s="2">
        <v>2.4079456086518722</v>
      </c>
      <c r="P811" s="2">
        <v>2.5710038663702437</v>
      </c>
      <c r="Q811" s="2">
        <v>2.0020026706730793E-3</v>
      </c>
      <c r="R811" s="2">
        <v>2.0020026706730793E-3</v>
      </c>
    </row>
    <row r="812" spans="1:18" x14ac:dyDescent="0.3">
      <c r="A812" s="7">
        <v>925</v>
      </c>
      <c r="B812" s="7">
        <v>398</v>
      </c>
      <c r="C812" s="7">
        <v>0</v>
      </c>
      <c r="D812" s="7">
        <v>1</v>
      </c>
      <c r="E812" s="20" t="str">
        <f t="shared" si="12"/>
        <v>01</v>
      </c>
      <c r="F812" s="21">
        <v>0.110542106183076</v>
      </c>
      <c r="G812" s="4">
        <v>0.124</v>
      </c>
      <c r="H812" s="4">
        <v>0.124248496993988</v>
      </c>
      <c r="I812" s="4">
        <v>0.73699999999999999</v>
      </c>
      <c r="J812" s="4">
        <v>0.73699999999999999</v>
      </c>
      <c r="K812" s="5">
        <v>0</v>
      </c>
      <c r="L812" s="5">
        <v>0</v>
      </c>
      <c r="M812" s="5">
        <v>100</v>
      </c>
      <c r="N812" s="5">
        <v>100</v>
      </c>
      <c r="O812" s="2">
        <v>2.0874737133771002</v>
      </c>
      <c r="P812" s="2">
        <v>2.0854717107064267</v>
      </c>
      <c r="Q812" s="2">
        <v>0.30516738679280048</v>
      </c>
      <c r="R812" s="2">
        <v>0.30516738679280048</v>
      </c>
    </row>
    <row r="813" spans="1:18" x14ac:dyDescent="0.3">
      <c r="A813" s="7">
        <v>554</v>
      </c>
      <c r="B813" s="7">
        <v>400</v>
      </c>
      <c r="C813" s="7">
        <v>0</v>
      </c>
      <c r="D813" s="7">
        <v>1</v>
      </c>
      <c r="E813" s="20" t="str">
        <f t="shared" si="12"/>
        <v>01</v>
      </c>
      <c r="F813" s="21">
        <v>0.112439388392704</v>
      </c>
      <c r="G813" s="4">
        <v>0.41299999999999998</v>
      </c>
      <c r="H813" s="4">
        <v>0.36266094420600897</v>
      </c>
      <c r="I813" s="4">
        <v>0.998</v>
      </c>
      <c r="J813" s="4">
        <v>0.996</v>
      </c>
      <c r="K813" s="5">
        <v>0</v>
      </c>
      <c r="L813" s="5">
        <v>0</v>
      </c>
      <c r="M813" s="5">
        <v>100</v>
      </c>
      <c r="N813" s="5">
        <v>100</v>
      </c>
      <c r="O813" s="2">
        <v>0.88430768602110432</v>
      </c>
      <c r="P813" s="2">
        <v>1.0142869192025714</v>
      </c>
      <c r="Q813" s="2">
        <v>2.0020026706730793E-3</v>
      </c>
      <c r="R813" s="2">
        <v>4.0080213975388218E-3</v>
      </c>
    </row>
    <row r="814" spans="1:18" x14ac:dyDescent="0.3">
      <c r="A814" s="7">
        <v>717</v>
      </c>
      <c r="B814" s="7">
        <v>421</v>
      </c>
      <c r="C814" s="7">
        <v>0</v>
      </c>
      <c r="D814" s="7">
        <v>1</v>
      </c>
      <c r="E814" s="20" t="str">
        <f t="shared" si="12"/>
        <v>01</v>
      </c>
      <c r="F814" s="21">
        <v>0.11833655185254</v>
      </c>
      <c r="G814" s="4">
        <v>0.313</v>
      </c>
      <c r="H814" s="4">
        <v>0.27663934426229497</v>
      </c>
      <c r="I814" s="4">
        <v>0.995</v>
      </c>
      <c r="J814" s="4">
        <v>0.999</v>
      </c>
      <c r="K814" s="5">
        <v>0</v>
      </c>
      <c r="L814" s="5">
        <v>0</v>
      </c>
      <c r="M814" s="5">
        <v>100</v>
      </c>
      <c r="N814" s="5">
        <v>100</v>
      </c>
      <c r="O814" s="2">
        <v>1.1615520884419839</v>
      </c>
      <c r="P814" s="2">
        <v>1.2850406274147181</v>
      </c>
      <c r="Q814" s="2">
        <v>5.0125418235442863E-3</v>
      </c>
      <c r="R814" s="2">
        <v>1.0005003335835344E-3</v>
      </c>
    </row>
    <row r="815" spans="1:18" x14ac:dyDescent="0.3">
      <c r="A815" s="7">
        <v>619</v>
      </c>
      <c r="B815" s="7">
        <v>402</v>
      </c>
      <c r="C815" s="7">
        <v>0</v>
      </c>
      <c r="D815" s="7">
        <v>1</v>
      </c>
      <c r="E815" s="20" t="str">
        <f t="shared" si="12"/>
        <v>01</v>
      </c>
      <c r="F815" s="21">
        <v>0.12160544342678301</v>
      </c>
      <c r="G815" s="4">
        <v>0.35299999999999998</v>
      </c>
      <c r="H815" s="4">
        <v>0.31762295081967201</v>
      </c>
      <c r="I815" s="4">
        <v>0.995</v>
      </c>
      <c r="J815" s="4">
        <v>0.99399999999999999</v>
      </c>
      <c r="K815" s="5">
        <v>0</v>
      </c>
      <c r="L815" s="5">
        <v>0</v>
      </c>
      <c r="M815" s="5">
        <v>100</v>
      </c>
      <c r="N815" s="5">
        <v>100</v>
      </c>
      <c r="O815" s="2">
        <v>1.0412872220488403</v>
      </c>
      <c r="P815" s="2">
        <v>1.146890288933901</v>
      </c>
      <c r="Q815" s="2">
        <v>5.0125418235442863E-3</v>
      </c>
      <c r="R815" s="2">
        <v>6.0180723255630212E-3</v>
      </c>
    </row>
    <row r="816" spans="1:18" x14ac:dyDescent="0.3">
      <c r="A816" s="7">
        <v>562</v>
      </c>
      <c r="B816" s="7">
        <v>420</v>
      </c>
      <c r="C816" s="7">
        <v>0</v>
      </c>
      <c r="D816" s="7">
        <v>1</v>
      </c>
      <c r="E816" s="20" t="str">
        <f t="shared" si="12"/>
        <v>01</v>
      </c>
      <c r="F816" s="21">
        <v>0.12162877094367</v>
      </c>
      <c r="G816" s="4">
        <v>0.308</v>
      </c>
      <c r="H816" s="4">
        <v>0.25379609544468501</v>
      </c>
      <c r="I816" s="4">
        <v>0.995</v>
      </c>
      <c r="J816" s="4">
        <v>0.997</v>
      </c>
      <c r="K816" s="5">
        <v>0</v>
      </c>
      <c r="L816" s="5">
        <v>0</v>
      </c>
      <c r="M816" s="5">
        <v>100</v>
      </c>
      <c r="N816" s="5">
        <v>100</v>
      </c>
      <c r="O816" s="2">
        <v>1.1776554960085626</v>
      </c>
      <c r="P816" s="2">
        <v>1.3712241081988943</v>
      </c>
      <c r="Q816" s="2">
        <v>5.0125418235442863E-3</v>
      </c>
      <c r="R816" s="2">
        <v>3.0045090202987243E-3</v>
      </c>
    </row>
    <row r="817" spans="1:18" x14ac:dyDescent="0.3">
      <c r="A817" s="7">
        <v>163</v>
      </c>
      <c r="B817" s="7">
        <v>419</v>
      </c>
      <c r="C817" s="7">
        <v>0</v>
      </c>
      <c r="D817" s="7">
        <v>1</v>
      </c>
      <c r="E817" s="20" t="str">
        <f t="shared" si="12"/>
        <v>01</v>
      </c>
      <c r="F817" s="21">
        <v>0.127460973840576</v>
      </c>
      <c r="G817" s="4">
        <v>0.36499999999999999</v>
      </c>
      <c r="H817" s="4">
        <v>0.36082474226804101</v>
      </c>
      <c r="I817" s="4">
        <v>0.996</v>
      </c>
      <c r="J817" s="4">
        <v>0.999</v>
      </c>
      <c r="K817" s="5">
        <v>0</v>
      </c>
      <c r="L817" s="5">
        <v>0</v>
      </c>
      <c r="M817" s="5">
        <v>100</v>
      </c>
      <c r="N817" s="5">
        <v>100</v>
      </c>
      <c r="O817" s="2">
        <v>1.0078579253996456</v>
      </c>
      <c r="P817" s="2">
        <v>1.0193629170139697</v>
      </c>
      <c r="Q817" s="2">
        <v>4.0080213975388218E-3</v>
      </c>
      <c r="R817" s="2">
        <v>1.0005003335835344E-3</v>
      </c>
    </row>
    <row r="818" spans="1:18" x14ac:dyDescent="0.3">
      <c r="A818" s="7">
        <v>143</v>
      </c>
      <c r="B818" s="7">
        <v>410</v>
      </c>
      <c r="C818" s="7">
        <v>0</v>
      </c>
      <c r="D818" s="7">
        <v>1</v>
      </c>
      <c r="E818" s="20" t="str">
        <f t="shared" si="12"/>
        <v>01</v>
      </c>
      <c r="F818" s="21">
        <v>0.12903171387239601</v>
      </c>
      <c r="G818" s="4">
        <v>0.219</v>
      </c>
      <c r="H818" s="4">
        <v>0.21560574948665301</v>
      </c>
      <c r="I818" s="4">
        <v>0.89900000000000002</v>
      </c>
      <c r="J818" s="4">
        <v>0.88100000000000001</v>
      </c>
      <c r="K818" s="5">
        <v>0</v>
      </c>
      <c r="L818" s="5">
        <v>0</v>
      </c>
      <c r="M818" s="5">
        <v>100</v>
      </c>
      <c r="N818" s="5">
        <v>100</v>
      </c>
      <c r="O818" s="2">
        <v>1.5186835491656363</v>
      </c>
      <c r="P818" s="2">
        <v>1.5343037729250664</v>
      </c>
      <c r="Q818" s="2">
        <v>0.10647224451051676</v>
      </c>
      <c r="R818" s="2">
        <v>0.12669765304595754</v>
      </c>
    </row>
    <row r="819" spans="1:18" x14ac:dyDescent="0.3">
      <c r="A819" s="7">
        <v>498</v>
      </c>
      <c r="B819" s="7">
        <v>380</v>
      </c>
      <c r="C819" s="7">
        <v>0</v>
      </c>
      <c r="D819" s="7">
        <v>1</v>
      </c>
      <c r="E819" s="20" t="str">
        <f t="shared" si="12"/>
        <v>01</v>
      </c>
      <c r="F819" s="21">
        <v>0.129316015088356</v>
      </c>
      <c r="G819" s="4">
        <v>0.216</v>
      </c>
      <c r="H819" s="4">
        <v>0.19433198380566799</v>
      </c>
      <c r="I819" s="4">
        <v>0.99199999999999999</v>
      </c>
      <c r="J819" s="4">
        <v>0.99399999999999999</v>
      </c>
      <c r="K819" s="5">
        <v>0</v>
      </c>
      <c r="L819" s="5">
        <v>0</v>
      </c>
      <c r="M819" s="5">
        <v>100</v>
      </c>
      <c r="N819" s="5">
        <v>100</v>
      </c>
      <c r="O819" s="2">
        <v>1.5324768712979722</v>
      </c>
      <c r="P819" s="2">
        <v>1.6381873257200863</v>
      </c>
      <c r="Q819" s="2">
        <v>8.0321716972642666E-3</v>
      </c>
      <c r="R819" s="2">
        <v>6.0180723255630212E-3</v>
      </c>
    </row>
    <row r="820" spans="1:18" x14ac:dyDescent="0.3">
      <c r="A820" s="7">
        <v>593</v>
      </c>
      <c r="B820" s="7">
        <v>400</v>
      </c>
      <c r="C820" s="7">
        <v>0</v>
      </c>
      <c r="D820" s="7">
        <v>1</v>
      </c>
      <c r="E820" s="20" t="str">
        <f t="shared" si="12"/>
        <v>01</v>
      </c>
      <c r="F820" s="21">
        <v>0.134853091852639</v>
      </c>
      <c r="G820" s="4">
        <v>0.22600000000000001</v>
      </c>
      <c r="H820" s="4">
        <v>0.208924949290061</v>
      </c>
      <c r="I820" s="4">
        <v>0.99199999999999999</v>
      </c>
      <c r="J820" s="4">
        <v>0.98799999999999999</v>
      </c>
      <c r="K820" s="5">
        <v>0</v>
      </c>
      <c r="L820" s="5">
        <v>0</v>
      </c>
      <c r="M820" s="5">
        <v>100</v>
      </c>
      <c r="N820" s="5">
        <v>100</v>
      </c>
      <c r="O820" s="2">
        <v>1.487220279709851</v>
      </c>
      <c r="P820" s="2">
        <v>1.5657801858130536</v>
      </c>
      <c r="Q820" s="2">
        <v>8.0321716972642666E-3</v>
      </c>
      <c r="R820" s="2">
        <v>1.2072581234269249E-2</v>
      </c>
    </row>
    <row r="821" spans="1:18" x14ac:dyDescent="0.3">
      <c r="A821" s="7">
        <v>231</v>
      </c>
      <c r="B821" s="7">
        <v>388</v>
      </c>
      <c r="C821" s="7">
        <v>0</v>
      </c>
      <c r="D821" s="7">
        <v>1</v>
      </c>
      <c r="E821" s="20" t="str">
        <f t="shared" si="12"/>
        <v>01</v>
      </c>
      <c r="F821" s="21">
        <v>0.146003270350439</v>
      </c>
      <c r="G821" s="4">
        <v>0.248</v>
      </c>
      <c r="H821" s="4">
        <v>0.212371134020619</v>
      </c>
      <c r="I821" s="4">
        <v>1</v>
      </c>
      <c r="J821" s="4">
        <v>0.999</v>
      </c>
      <c r="K821" s="5">
        <v>0</v>
      </c>
      <c r="L821" s="5">
        <v>0</v>
      </c>
      <c r="M821" s="5">
        <v>100</v>
      </c>
      <c r="N821" s="5">
        <v>100</v>
      </c>
      <c r="O821" s="2">
        <v>1.3943265328171548</v>
      </c>
      <c r="P821" s="2">
        <v>1.5494199027078455</v>
      </c>
      <c r="Q821" s="2">
        <v>1.0000050000287824E-5</v>
      </c>
      <c r="R821" s="2">
        <v>1.0005003335835344E-3</v>
      </c>
    </row>
    <row r="822" spans="1:18" x14ac:dyDescent="0.3">
      <c r="A822" s="7">
        <v>455</v>
      </c>
      <c r="B822" s="7">
        <v>370</v>
      </c>
      <c r="C822" s="7">
        <v>0</v>
      </c>
      <c r="D822" s="7">
        <v>1</v>
      </c>
      <c r="E822" s="20" t="str">
        <f t="shared" si="12"/>
        <v>01</v>
      </c>
      <c r="F822" s="21">
        <v>0.14667578401641099</v>
      </c>
      <c r="G822" s="4">
        <v>0.36499999999999999</v>
      </c>
      <c r="H822" s="4">
        <v>0.30634573304157497</v>
      </c>
      <c r="I822" s="4">
        <v>7.0000000000000001E-3</v>
      </c>
      <c r="J822" s="4">
        <v>6.0000000000000001E-3</v>
      </c>
      <c r="K822" s="5">
        <v>0</v>
      </c>
      <c r="L822" s="5">
        <v>0</v>
      </c>
      <c r="M822" s="5">
        <v>0</v>
      </c>
      <c r="N822" s="5">
        <v>0</v>
      </c>
      <c r="O822" s="2">
        <v>1.0078579253996456</v>
      </c>
      <c r="P822" s="2">
        <v>1.1830409682849021</v>
      </c>
      <c r="Q822" s="2">
        <v>4.9618451299268234</v>
      </c>
      <c r="R822" s="2">
        <v>5.1159958097540823</v>
      </c>
    </row>
    <row r="823" spans="1:18" x14ac:dyDescent="0.3">
      <c r="A823" s="7">
        <v>55</v>
      </c>
      <c r="B823" s="7">
        <v>390</v>
      </c>
      <c r="C823" s="7">
        <v>0</v>
      </c>
      <c r="D823" s="7">
        <v>1</v>
      </c>
      <c r="E823" s="20" t="str">
        <f t="shared" si="12"/>
        <v>01</v>
      </c>
      <c r="F823" s="21">
        <v>0.14916086586874799</v>
      </c>
      <c r="G823" s="4">
        <v>0.49099999999999999</v>
      </c>
      <c r="H823" s="4">
        <v>0.45031712473572899</v>
      </c>
      <c r="I823" s="4">
        <v>0.998</v>
      </c>
      <c r="J823" s="4">
        <v>0.99299999999999999</v>
      </c>
      <c r="K823" s="5">
        <v>0</v>
      </c>
      <c r="L823" s="5">
        <v>0</v>
      </c>
      <c r="M823" s="5">
        <v>100</v>
      </c>
      <c r="N823" s="5">
        <v>100</v>
      </c>
      <c r="O823" s="2">
        <v>0.71131115118761645</v>
      </c>
      <c r="P823" s="2">
        <v>0.7978032227825087</v>
      </c>
      <c r="Q823" s="2">
        <v>2.0020026706730793E-3</v>
      </c>
      <c r="R823" s="2">
        <v>7.0246149369644663E-3</v>
      </c>
    </row>
    <row r="824" spans="1:18" x14ac:dyDescent="0.3">
      <c r="A824" s="7">
        <v>22</v>
      </c>
      <c r="B824" s="7">
        <v>389</v>
      </c>
      <c r="C824" s="7">
        <v>0</v>
      </c>
      <c r="D824" s="7">
        <v>1</v>
      </c>
      <c r="E824" s="20" t="str">
        <f t="shared" si="12"/>
        <v>01</v>
      </c>
      <c r="F824" s="21">
        <v>0.14992246423421501</v>
      </c>
      <c r="G824" s="4">
        <v>0.28199999999999997</v>
      </c>
      <c r="H824" s="4">
        <v>0.261224489795918</v>
      </c>
      <c r="I824" s="4">
        <v>0.996</v>
      </c>
      <c r="J824" s="4">
        <v>0.99099999999999999</v>
      </c>
      <c r="K824" s="5">
        <v>0</v>
      </c>
      <c r="L824" s="5">
        <v>0</v>
      </c>
      <c r="M824" s="5">
        <v>100</v>
      </c>
      <c r="N824" s="5">
        <v>100</v>
      </c>
      <c r="O824" s="2">
        <v>1.2658482080440236</v>
      </c>
      <c r="P824" s="2">
        <v>1.3423751271850566</v>
      </c>
      <c r="Q824" s="2">
        <v>4.0080213975388218E-3</v>
      </c>
      <c r="R824" s="2">
        <v>9.0407446521490707E-3</v>
      </c>
    </row>
    <row r="825" spans="1:18" x14ac:dyDescent="0.3">
      <c r="A825" s="7">
        <v>417</v>
      </c>
      <c r="B825" s="7">
        <v>392</v>
      </c>
      <c r="C825" s="7">
        <v>0</v>
      </c>
      <c r="D825" s="7">
        <v>1</v>
      </c>
      <c r="E825" s="20" t="str">
        <f t="shared" si="12"/>
        <v>01</v>
      </c>
      <c r="F825" s="21">
        <v>0.154407556455678</v>
      </c>
      <c r="G825" s="4">
        <v>0.41599999999999998</v>
      </c>
      <c r="H825" s="4">
        <v>0.38650306748466301</v>
      </c>
      <c r="I825" s="4">
        <v>0.99199999999999999</v>
      </c>
      <c r="J825" s="4">
        <v>0.99399999999999999</v>
      </c>
      <c r="K825" s="5">
        <v>0</v>
      </c>
      <c r="L825" s="5">
        <v>0</v>
      </c>
      <c r="M825" s="5">
        <v>100</v>
      </c>
      <c r="N825" s="5">
        <v>100</v>
      </c>
      <c r="O825" s="2">
        <v>0.87707001872087387</v>
      </c>
      <c r="P825" s="2">
        <v>0.95061547441522853</v>
      </c>
      <c r="Q825" s="2">
        <v>8.0321716972642666E-3</v>
      </c>
      <c r="R825" s="2">
        <v>6.0180723255630212E-3</v>
      </c>
    </row>
    <row r="826" spans="1:18" x14ac:dyDescent="0.3">
      <c r="A826" s="7">
        <v>771</v>
      </c>
      <c r="B826" s="7">
        <v>386</v>
      </c>
      <c r="C826" s="7">
        <v>0</v>
      </c>
      <c r="D826" s="7">
        <v>1</v>
      </c>
      <c r="E826" s="20" t="str">
        <f t="shared" si="12"/>
        <v>01</v>
      </c>
      <c r="F826" s="21">
        <v>0.163246025187644</v>
      </c>
      <c r="G826" s="4">
        <v>0.13900000000000001</v>
      </c>
      <c r="H826" s="4">
        <v>0.122489959839357</v>
      </c>
      <c r="I826" s="4">
        <v>1</v>
      </c>
      <c r="J826" s="4">
        <v>0.996</v>
      </c>
      <c r="K826" s="5">
        <v>0</v>
      </c>
      <c r="L826" s="5">
        <v>0</v>
      </c>
      <c r="M826" s="5">
        <v>100</v>
      </c>
      <c r="N826" s="5">
        <v>100</v>
      </c>
      <c r="O826" s="2">
        <v>1.9732813458514451</v>
      </c>
      <c r="P826" s="2">
        <v>2.0997262128513454</v>
      </c>
      <c r="Q826" s="2">
        <v>1.0000050000287824E-5</v>
      </c>
      <c r="R826" s="2">
        <v>4.0080213975388218E-3</v>
      </c>
    </row>
    <row r="827" spans="1:18" x14ac:dyDescent="0.3">
      <c r="A827" s="7">
        <v>389</v>
      </c>
      <c r="B827" s="7">
        <v>388</v>
      </c>
      <c r="C827" s="7">
        <v>0</v>
      </c>
      <c r="D827" s="7">
        <v>1</v>
      </c>
      <c r="E827" s="20" t="str">
        <f t="shared" si="12"/>
        <v>01</v>
      </c>
      <c r="F827" s="21">
        <v>0.16609700853178999</v>
      </c>
      <c r="G827" s="4">
        <v>0.16300000000000001</v>
      </c>
      <c r="H827" s="4">
        <v>0.13765182186234801</v>
      </c>
      <c r="I827" s="4">
        <v>0.91</v>
      </c>
      <c r="J827" s="4">
        <v>0.90200000000000002</v>
      </c>
      <c r="K827" s="5">
        <v>0</v>
      </c>
      <c r="L827" s="5">
        <v>0</v>
      </c>
      <c r="M827" s="5">
        <v>100</v>
      </c>
      <c r="N827" s="5">
        <v>100</v>
      </c>
      <c r="O827" s="2">
        <v>1.8140050781753747</v>
      </c>
      <c r="P827" s="2">
        <v>1.983027812011817</v>
      </c>
      <c r="Q827" s="2">
        <v>9.431067947124129E-2</v>
      </c>
      <c r="R827" s="2">
        <v>0.10314075891951337</v>
      </c>
    </row>
    <row r="828" spans="1:18" x14ac:dyDescent="0.3">
      <c r="A828" s="7">
        <v>392</v>
      </c>
      <c r="B828" s="7">
        <v>389</v>
      </c>
      <c r="C828" s="7">
        <v>0</v>
      </c>
      <c r="D828" s="7">
        <v>1</v>
      </c>
      <c r="E828" s="20" t="str">
        <f t="shared" si="12"/>
        <v>01</v>
      </c>
      <c r="F828" s="21">
        <v>0.16810681679436501</v>
      </c>
      <c r="G828" s="4">
        <v>0.16900000000000001</v>
      </c>
      <c r="H828" s="4">
        <v>0.16265060240963899</v>
      </c>
      <c r="I828" s="4">
        <v>1</v>
      </c>
      <c r="J828" s="4">
        <v>1</v>
      </c>
      <c r="K828" s="5">
        <v>0</v>
      </c>
      <c r="L828" s="5">
        <v>0</v>
      </c>
      <c r="M828" s="5">
        <v>100</v>
      </c>
      <c r="N828" s="5">
        <v>100</v>
      </c>
      <c r="O828" s="2">
        <v>1.7778565640590636</v>
      </c>
      <c r="P828" s="2">
        <v>1.8161509223522114</v>
      </c>
      <c r="Q828" s="2">
        <v>1.0000050000287824E-5</v>
      </c>
      <c r="R828" s="2">
        <v>1.0000050000287824E-5</v>
      </c>
    </row>
    <row r="829" spans="1:18" x14ac:dyDescent="0.3">
      <c r="A829" s="7">
        <v>596</v>
      </c>
      <c r="B829" s="7">
        <v>377</v>
      </c>
      <c r="C829" s="7">
        <v>0</v>
      </c>
      <c r="D829" s="7">
        <v>1</v>
      </c>
      <c r="E829" s="20" t="str">
        <f t="shared" si="12"/>
        <v>01</v>
      </c>
      <c r="F829" s="21">
        <v>0.18334777780351499</v>
      </c>
      <c r="G829" s="4">
        <v>0.34200000000000003</v>
      </c>
      <c r="H829" s="4">
        <v>0.30020283975659201</v>
      </c>
      <c r="I829" s="4">
        <v>0.995</v>
      </c>
      <c r="J829" s="4">
        <v>0.996</v>
      </c>
      <c r="K829" s="5">
        <v>0</v>
      </c>
      <c r="L829" s="5">
        <v>0</v>
      </c>
      <c r="M829" s="5">
        <v>100</v>
      </c>
      <c r="N829" s="5">
        <v>100</v>
      </c>
      <c r="O829" s="2">
        <v>1.0729445419195318</v>
      </c>
      <c r="P829" s="2">
        <v>1.2032969002785761</v>
      </c>
      <c r="Q829" s="2">
        <v>5.0125418235442863E-3</v>
      </c>
      <c r="R829" s="2">
        <v>4.0080213975388218E-3</v>
      </c>
    </row>
    <row r="830" spans="1:18" x14ac:dyDescent="0.3">
      <c r="A830" s="7">
        <v>715</v>
      </c>
      <c r="B830" s="7">
        <v>361</v>
      </c>
      <c r="C830" s="7">
        <v>0</v>
      </c>
      <c r="D830" s="7">
        <v>1</v>
      </c>
      <c r="E830" s="20" t="str">
        <f t="shared" si="12"/>
        <v>01</v>
      </c>
      <c r="F830" s="21">
        <v>0.18860728174487301</v>
      </c>
      <c r="G830" s="4">
        <v>0.22</v>
      </c>
      <c r="H830" s="4">
        <v>0.23217922606924599</v>
      </c>
      <c r="I830" s="4">
        <v>0.995</v>
      </c>
      <c r="J830" s="4">
        <v>0.997</v>
      </c>
      <c r="K830" s="5">
        <v>0</v>
      </c>
      <c r="L830" s="5">
        <v>0</v>
      </c>
      <c r="M830" s="5">
        <v>100</v>
      </c>
      <c r="N830" s="5">
        <v>100</v>
      </c>
      <c r="O830" s="2">
        <v>1.5141277326297755</v>
      </c>
      <c r="P830" s="2">
        <v>1.4602456794000271</v>
      </c>
      <c r="Q830" s="2">
        <v>5.0125418235442863E-3</v>
      </c>
      <c r="R830" s="2">
        <v>3.0045090202987243E-3</v>
      </c>
    </row>
    <row r="831" spans="1:18" x14ac:dyDescent="0.3">
      <c r="A831" s="7">
        <v>233</v>
      </c>
      <c r="B831" s="7">
        <v>381</v>
      </c>
      <c r="C831" s="7">
        <v>0</v>
      </c>
      <c r="D831" s="7">
        <v>1</v>
      </c>
      <c r="E831" s="20" t="str">
        <f t="shared" si="12"/>
        <v>01</v>
      </c>
      <c r="F831" s="21">
        <v>0.18915268440194399</v>
      </c>
      <c r="G831" s="4">
        <v>0.245</v>
      </c>
      <c r="H831" s="4">
        <v>0.233870967741935</v>
      </c>
      <c r="I831" s="4">
        <v>0.99299999999999999</v>
      </c>
      <c r="J831" s="4">
        <v>0.99299999999999999</v>
      </c>
      <c r="K831" s="5">
        <v>0</v>
      </c>
      <c r="L831" s="5">
        <v>0</v>
      </c>
      <c r="M831" s="5">
        <v>100</v>
      </c>
      <c r="N831" s="5">
        <v>100</v>
      </c>
      <c r="O831" s="2">
        <v>1.4064970684374101</v>
      </c>
      <c r="P831" s="2">
        <v>1.4529857356185649</v>
      </c>
      <c r="Q831" s="2">
        <v>7.0246149369644663E-3</v>
      </c>
      <c r="R831" s="2">
        <v>7.0246149369644663E-3</v>
      </c>
    </row>
    <row r="832" spans="1:18" x14ac:dyDescent="0.3">
      <c r="A832" s="7">
        <v>989</v>
      </c>
      <c r="B832" s="7">
        <v>356</v>
      </c>
      <c r="C832" s="7">
        <v>0</v>
      </c>
      <c r="D832" s="7">
        <v>1</v>
      </c>
      <c r="E832" s="20" t="str">
        <f t="shared" si="12"/>
        <v>01</v>
      </c>
      <c r="F832" s="21">
        <v>0.18953038291003699</v>
      </c>
      <c r="G832" s="4">
        <v>0.219</v>
      </c>
      <c r="H832" s="4">
        <v>0.19341563786008201</v>
      </c>
      <c r="I832" s="4">
        <v>0.998</v>
      </c>
      <c r="J832" s="4">
        <v>0.995</v>
      </c>
      <c r="K832" s="5">
        <v>0</v>
      </c>
      <c r="L832" s="5">
        <v>0</v>
      </c>
      <c r="M832" s="5">
        <v>100</v>
      </c>
      <c r="N832" s="5">
        <v>100</v>
      </c>
      <c r="O832" s="2">
        <v>1.5186835491656363</v>
      </c>
      <c r="P832" s="2">
        <v>1.6429138416304914</v>
      </c>
      <c r="Q832" s="2">
        <v>2.0020026706730793E-3</v>
      </c>
      <c r="R832" s="2">
        <v>5.0125418235442863E-3</v>
      </c>
    </row>
    <row r="833" spans="1:18" x14ac:dyDescent="0.3">
      <c r="A833" s="7">
        <v>559</v>
      </c>
      <c r="B833" s="7">
        <v>364</v>
      </c>
      <c r="C833" s="7">
        <v>0</v>
      </c>
      <c r="D833" s="7">
        <v>1</v>
      </c>
      <c r="E833" s="20" t="str">
        <f t="shared" si="12"/>
        <v>01</v>
      </c>
      <c r="F833" s="21">
        <v>0.19424109949787799</v>
      </c>
      <c r="G833" s="4">
        <v>0.247</v>
      </c>
      <c r="H833" s="4">
        <v>0.23030303030303001</v>
      </c>
      <c r="I833" s="4">
        <v>0.98899999999999999</v>
      </c>
      <c r="J833" s="4">
        <v>0.99299999999999999</v>
      </c>
      <c r="K833" s="5">
        <v>0</v>
      </c>
      <c r="L833" s="5">
        <v>0</v>
      </c>
      <c r="M833" s="5">
        <v>100</v>
      </c>
      <c r="N833" s="5">
        <v>100</v>
      </c>
      <c r="O833" s="2">
        <v>1.3983669423541598</v>
      </c>
      <c r="P833" s="2">
        <v>1.4683593141741962</v>
      </c>
      <c r="Q833" s="2">
        <v>1.1060947359424948E-2</v>
      </c>
      <c r="R833" s="2">
        <v>7.0246149369644663E-3</v>
      </c>
    </row>
    <row r="834" spans="1:18" x14ac:dyDescent="0.3">
      <c r="A834" s="7">
        <v>612</v>
      </c>
      <c r="B834" s="7">
        <v>341</v>
      </c>
      <c r="C834" s="7">
        <v>0</v>
      </c>
      <c r="D834" s="7">
        <v>1</v>
      </c>
      <c r="E834" s="20" t="str">
        <f t="shared" ref="E834:E897" si="13">_xlfn.CONCAT(C834,D834)</f>
        <v>01</v>
      </c>
      <c r="F834" s="21">
        <v>0.19710479648943599</v>
      </c>
      <c r="G834" s="4">
        <v>0.34200000000000003</v>
      </c>
      <c r="H834" s="4">
        <v>0.32157676348547698</v>
      </c>
      <c r="I834" s="4">
        <v>0.997</v>
      </c>
      <c r="J834" s="4">
        <v>0.996</v>
      </c>
      <c r="K834" s="5">
        <v>0</v>
      </c>
      <c r="L834" s="5">
        <v>0</v>
      </c>
      <c r="M834" s="5">
        <v>100</v>
      </c>
      <c r="N834" s="5">
        <v>100</v>
      </c>
      <c r="O834" s="2">
        <v>1.0729445419195318</v>
      </c>
      <c r="P834" s="2">
        <v>1.1345189971313543</v>
      </c>
      <c r="Q834" s="2">
        <v>3.0045090202987243E-3</v>
      </c>
      <c r="R834" s="2">
        <v>4.0080213975388218E-3</v>
      </c>
    </row>
    <row r="835" spans="1:18" x14ac:dyDescent="0.3">
      <c r="A835" s="7">
        <v>437</v>
      </c>
      <c r="B835" s="7">
        <v>344</v>
      </c>
      <c r="C835" s="7">
        <v>0</v>
      </c>
      <c r="D835" s="7">
        <v>1</v>
      </c>
      <c r="E835" s="20" t="str">
        <f t="shared" si="13"/>
        <v>01</v>
      </c>
      <c r="F835" s="21">
        <v>0.20473484843631401</v>
      </c>
      <c r="G835" s="4">
        <v>0.36299999999999999</v>
      </c>
      <c r="H835" s="4">
        <v>0.36122448979591798</v>
      </c>
      <c r="I835" s="4">
        <v>0.99199999999999999</v>
      </c>
      <c r="J835" s="4">
        <v>0.99299999999999999</v>
      </c>
      <c r="K835" s="5">
        <v>0</v>
      </c>
      <c r="L835" s="5">
        <v>0</v>
      </c>
      <c r="M835" s="5">
        <v>100</v>
      </c>
      <c r="N835" s="5">
        <v>100</v>
      </c>
      <c r="O835" s="2">
        <v>1.0133524447172864</v>
      </c>
      <c r="P835" s="2">
        <v>1.0182556585308442</v>
      </c>
      <c r="Q835" s="2">
        <v>8.0321716972642666E-3</v>
      </c>
      <c r="R835" s="2">
        <v>7.0246149369644663E-3</v>
      </c>
    </row>
    <row r="836" spans="1:18" x14ac:dyDescent="0.3">
      <c r="A836" s="7">
        <v>833</v>
      </c>
      <c r="B836" s="7">
        <v>357</v>
      </c>
      <c r="C836" s="7">
        <v>0</v>
      </c>
      <c r="D836" s="7">
        <v>1</v>
      </c>
      <c r="E836" s="20" t="str">
        <f t="shared" si="13"/>
        <v>01</v>
      </c>
      <c r="F836" s="21">
        <v>0.205056039336838</v>
      </c>
      <c r="G836" s="4">
        <v>0.40899999999999997</v>
      </c>
      <c r="H836" s="4">
        <v>0.37259100642398302</v>
      </c>
      <c r="I836" s="4">
        <v>0.99399999999999999</v>
      </c>
      <c r="J836" s="4">
        <v>0.99399999999999999</v>
      </c>
      <c r="K836" s="5">
        <v>0</v>
      </c>
      <c r="L836" s="5">
        <v>0</v>
      </c>
      <c r="M836" s="5">
        <v>100</v>
      </c>
      <c r="N836" s="5">
        <v>100</v>
      </c>
      <c r="O836" s="2">
        <v>0.89404012293933532</v>
      </c>
      <c r="P836" s="2">
        <v>0.98727395845436794</v>
      </c>
      <c r="Q836" s="2">
        <v>6.0180723255630212E-3</v>
      </c>
      <c r="R836" s="2">
        <v>6.0180723255630212E-3</v>
      </c>
    </row>
    <row r="837" spans="1:18" x14ac:dyDescent="0.3">
      <c r="A837" s="7">
        <v>553</v>
      </c>
      <c r="B837" s="7">
        <v>340</v>
      </c>
      <c r="C837" s="7">
        <v>0</v>
      </c>
      <c r="D837" s="7">
        <v>1</v>
      </c>
      <c r="E837" s="20" t="str">
        <f t="shared" si="13"/>
        <v>01</v>
      </c>
      <c r="F837" s="21">
        <v>0.20570819036667501</v>
      </c>
      <c r="G837" s="4">
        <v>0.191</v>
      </c>
      <c r="H837" s="4">
        <v>0.1875</v>
      </c>
      <c r="I837" s="4">
        <v>0.999</v>
      </c>
      <c r="J837" s="4">
        <v>0.998</v>
      </c>
      <c r="K837" s="5">
        <v>0</v>
      </c>
      <c r="L837" s="5">
        <v>0</v>
      </c>
      <c r="M837" s="5">
        <v>100</v>
      </c>
      <c r="N837" s="5">
        <v>100</v>
      </c>
      <c r="O837" s="2">
        <v>1.6554818509355071</v>
      </c>
      <c r="P837" s="2">
        <v>1.6739764335716716</v>
      </c>
      <c r="Q837" s="2">
        <v>1.0005003335835344E-3</v>
      </c>
      <c r="R837" s="2">
        <v>2.0020026706730793E-3</v>
      </c>
    </row>
    <row r="838" spans="1:18" x14ac:dyDescent="0.3">
      <c r="A838" s="7">
        <v>854</v>
      </c>
      <c r="B838" s="7">
        <v>354</v>
      </c>
      <c r="C838" s="7">
        <v>0</v>
      </c>
      <c r="D838" s="7">
        <v>1</v>
      </c>
      <c r="E838" s="20" t="str">
        <f t="shared" si="13"/>
        <v>01</v>
      </c>
      <c r="F838" s="21">
        <v>0.213493338320141</v>
      </c>
      <c r="G838" s="4">
        <v>0.13900000000000001</v>
      </c>
      <c r="H838" s="4">
        <v>0.13580246913580199</v>
      </c>
      <c r="I838" s="4">
        <v>0.995</v>
      </c>
      <c r="J838" s="4">
        <v>0.996</v>
      </c>
      <c r="K838" s="5">
        <v>0</v>
      </c>
      <c r="L838" s="5">
        <v>0</v>
      </c>
      <c r="M838" s="5">
        <v>100</v>
      </c>
      <c r="N838" s="5">
        <v>100</v>
      </c>
      <c r="O838" s="2">
        <v>1.9732813458514451</v>
      </c>
      <c r="P838" s="2">
        <v>1.9965538818740718</v>
      </c>
      <c r="Q838" s="2">
        <v>5.0125418235442863E-3</v>
      </c>
      <c r="R838" s="2">
        <v>4.0080213975388218E-3</v>
      </c>
    </row>
    <row r="839" spans="1:18" x14ac:dyDescent="0.3">
      <c r="A839" s="7">
        <v>897</v>
      </c>
      <c r="B839" s="7">
        <v>328</v>
      </c>
      <c r="C839" s="7">
        <v>0</v>
      </c>
      <c r="D839" s="7">
        <v>1</v>
      </c>
      <c r="E839" s="20" t="str">
        <f t="shared" si="13"/>
        <v>01</v>
      </c>
      <c r="F839" s="21">
        <v>0.21430906156044099</v>
      </c>
      <c r="G839" s="4">
        <v>0.76800000000000002</v>
      </c>
      <c r="H839" s="4">
        <v>0.74940334128878305</v>
      </c>
      <c r="I839" s="4">
        <v>0.99199999999999999</v>
      </c>
      <c r="J839" s="4">
        <v>0.998</v>
      </c>
      <c r="K839" s="5">
        <v>100</v>
      </c>
      <c r="L839" s="5">
        <v>100</v>
      </c>
      <c r="M839" s="5">
        <v>100</v>
      </c>
      <c r="N839" s="5">
        <v>100</v>
      </c>
      <c r="O839" s="2">
        <v>0.26396554583446485</v>
      </c>
      <c r="P839" s="2">
        <v>0.28847793401388405</v>
      </c>
      <c r="Q839" s="2">
        <v>8.0321716972642666E-3</v>
      </c>
      <c r="R839" s="2">
        <v>2.0020026706730793E-3</v>
      </c>
    </row>
    <row r="840" spans="1:18" x14ac:dyDescent="0.3">
      <c r="A840" s="7">
        <v>431</v>
      </c>
      <c r="B840" s="7">
        <v>337</v>
      </c>
      <c r="C840" s="7">
        <v>0</v>
      </c>
      <c r="D840" s="7">
        <v>1</v>
      </c>
      <c r="E840" s="20" t="str">
        <f t="shared" si="13"/>
        <v>01</v>
      </c>
      <c r="F840" s="21">
        <v>0.21506559968762501</v>
      </c>
      <c r="G840" s="4">
        <v>0.38900000000000001</v>
      </c>
      <c r="H840" s="4">
        <v>0.27981651376146799</v>
      </c>
      <c r="I840" s="4">
        <v>0.999</v>
      </c>
      <c r="J840" s="4">
        <v>0.999</v>
      </c>
      <c r="K840" s="5">
        <v>0</v>
      </c>
      <c r="L840" s="5">
        <v>0</v>
      </c>
      <c r="M840" s="5">
        <v>100</v>
      </c>
      <c r="N840" s="5">
        <v>100</v>
      </c>
      <c r="O840" s="2">
        <v>0.94417593536369071</v>
      </c>
      <c r="P840" s="2">
        <v>1.2736211986157775</v>
      </c>
      <c r="Q840" s="2">
        <v>1.0005003335835344E-3</v>
      </c>
      <c r="R840" s="2">
        <v>1.0005003335835344E-3</v>
      </c>
    </row>
    <row r="841" spans="1:18" x14ac:dyDescent="0.3">
      <c r="A841" s="7">
        <v>343</v>
      </c>
      <c r="B841" s="7">
        <v>317</v>
      </c>
      <c r="C841" s="7">
        <v>0</v>
      </c>
      <c r="D841" s="7">
        <v>1</v>
      </c>
      <c r="E841" s="20" t="str">
        <f t="shared" si="13"/>
        <v>01</v>
      </c>
      <c r="F841" s="21">
        <v>0.22272759582760401</v>
      </c>
      <c r="G841" s="4">
        <v>0.112</v>
      </c>
      <c r="H841" s="4">
        <v>0.110663983903421</v>
      </c>
      <c r="I841" s="4">
        <v>0.997</v>
      </c>
      <c r="J841" s="4">
        <v>0.998</v>
      </c>
      <c r="K841" s="5">
        <v>0</v>
      </c>
      <c r="L841" s="5">
        <v>0</v>
      </c>
      <c r="M841" s="5">
        <v>100</v>
      </c>
      <c r="N841" s="5">
        <v>100</v>
      </c>
      <c r="O841" s="2">
        <v>2.1892564076870427</v>
      </c>
      <c r="P841" s="2">
        <v>2.2012568408641533</v>
      </c>
      <c r="Q841" s="2">
        <v>3.0045090202987243E-3</v>
      </c>
      <c r="R841" s="2">
        <v>2.0020026706730793E-3</v>
      </c>
    </row>
    <row r="842" spans="1:18" x14ac:dyDescent="0.3">
      <c r="A842" s="7">
        <v>109</v>
      </c>
      <c r="B842" s="7">
        <v>356</v>
      </c>
      <c r="C842" s="7">
        <v>0</v>
      </c>
      <c r="D842" s="7">
        <v>1</v>
      </c>
      <c r="E842" s="20" t="str">
        <f t="shared" si="13"/>
        <v>01</v>
      </c>
      <c r="F842" s="21">
        <v>0.22311831569989099</v>
      </c>
      <c r="G842" s="4">
        <v>0.28999999999999998</v>
      </c>
      <c r="H842" s="4">
        <v>0.25571725571725601</v>
      </c>
      <c r="I842" s="4">
        <v>0.995</v>
      </c>
      <c r="J842" s="4">
        <v>0.997</v>
      </c>
      <c r="K842" s="5">
        <v>0</v>
      </c>
      <c r="L842" s="5">
        <v>0</v>
      </c>
      <c r="M842" s="5">
        <v>100</v>
      </c>
      <c r="N842" s="5">
        <v>100</v>
      </c>
      <c r="O842" s="2">
        <v>1.2378743560016174</v>
      </c>
      <c r="P842" s="2">
        <v>1.3636829147333425</v>
      </c>
      <c r="Q842" s="2">
        <v>5.0125418235442863E-3</v>
      </c>
      <c r="R842" s="2">
        <v>3.0045090202987243E-3</v>
      </c>
    </row>
    <row r="843" spans="1:18" x14ac:dyDescent="0.3">
      <c r="A843" s="7">
        <v>230</v>
      </c>
      <c r="B843" s="7">
        <v>342</v>
      </c>
      <c r="C843" s="7">
        <v>0</v>
      </c>
      <c r="D843" s="7">
        <v>1</v>
      </c>
      <c r="E843" s="20" t="str">
        <f t="shared" si="13"/>
        <v>01</v>
      </c>
      <c r="F843" s="21">
        <v>0.22962001788790801</v>
      </c>
      <c r="G843" s="4">
        <v>0.22600000000000001</v>
      </c>
      <c r="H843" s="4">
        <v>0.213114754098361</v>
      </c>
      <c r="I843" s="4">
        <v>0.99199999999999999</v>
      </c>
      <c r="J843" s="4">
        <v>0.99099999999999999</v>
      </c>
      <c r="K843" s="5">
        <v>0</v>
      </c>
      <c r="L843" s="5">
        <v>0</v>
      </c>
      <c r="M843" s="5">
        <v>100</v>
      </c>
      <c r="N843" s="5">
        <v>100</v>
      </c>
      <c r="O843" s="2">
        <v>1.487220279709851</v>
      </c>
      <c r="P843" s="2">
        <v>1.5459245067117728</v>
      </c>
      <c r="Q843" s="2">
        <v>8.0321716972642666E-3</v>
      </c>
      <c r="R843" s="2">
        <v>9.0407446521490707E-3</v>
      </c>
    </row>
    <row r="844" spans="1:18" x14ac:dyDescent="0.3">
      <c r="A844" s="7">
        <v>674</v>
      </c>
      <c r="B844" s="7">
        <v>355</v>
      </c>
      <c r="C844" s="7">
        <v>0</v>
      </c>
      <c r="D844" s="7">
        <v>1</v>
      </c>
      <c r="E844" s="20" t="str">
        <f t="shared" si="13"/>
        <v>01</v>
      </c>
      <c r="F844" s="21">
        <v>0.23543366296934101</v>
      </c>
      <c r="G844" s="4">
        <v>0.56399999999999995</v>
      </c>
      <c r="H844" s="4">
        <v>0.53909465020576097</v>
      </c>
      <c r="I844" s="4">
        <v>0.98899999999999999</v>
      </c>
      <c r="J844" s="4">
        <v>0.99299999999999999</v>
      </c>
      <c r="K844" s="5">
        <v>100</v>
      </c>
      <c r="L844" s="5">
        <v>100</v>
      </c>
      <c r="M844" s="5">
        <v>100</v>
      </c>
      <c r="N844" s="5">
        <v>100</v>
      </c>
      <c r="O844" s="2">
        <v>0.57270102748407825</v>
      </c>
      <c r="P844" s="2">
        <v>0.61786412013939751</v>
      </c>
      <c r="Q844" s="2">
        <v>1.1060947359424948E-2</v>
      </c>
      <c r="R844" s="2">
        <v>7.0246149369644663E-3</v>
      </c>
    </row>
    <row r="845" spans="1:18" x14ac:dyDescent="0.3">
      <c r="A845" s="7">
        <v>454</v>
      </c>
      <c r="B845" s="7">
        <v>346</v>
      </c>
      <c r="C845" s="7">
        <v>0</v>
      </c>
      <c r="D845" s="7">
        <v>1</v>
      </c>
      <c r="E845" s="20" t="str">
        <f t="shared" si="13"/>
        <v>01</v>
      </c>
      <c r="F845" s="21">
        <v>0.23753038131877599</v>
      </c>
      <c r="G845" s="4">
        <v>0.66100000000000003</v>
      </c>
      <c r="H845" s="4">
        <v>0.63370786516853905</v>
      </c>
      <c r="I845" s="4">
        <v>0.99</v>
      </c>
      <c r="J845" s="4">
        <v>0.99399999999999999</v>
      </c>
      <c r="K845" s="5">
        <v>100</v>
      </c>
      <c r="L845" s="5">
        <v>100</v>
      </c>
      <c r="M845" s="5">
        <v>100</v>
      </c>
      <c r="N845" s="5">
        <v>100</v>
      </c>
      <c r="O845" s="2">
        <v>0.41400143913045073</v>
      </c>
      <c r="P845" s="2">
        <v>0.45616721122812703</v>
      </c>
      <c r="Q845" s="2">
        <v>1.0050335853501451E-2</v>
      </c>
      <c r="R845" s="2">
        <v>6.0180723255630212E-3</v>
      </c>
    </row>
    <row r="846" spans="1:18" x14ac:dyDescent="0.3">
      <c r="A846" s="7">
        <v>813</v>
      </c>
      <c r="B846" s="7">
        <v>351</v>
      </c>
      <c r="C846" s="7">
        <v>0</v>
      </c>
      <c r="D846" s="7">
        <v>1</v>
      </c>
      <c r="E846" s="20" t="str">
        <f t="shared" si="13"/>
        <v>01</v>
      </c>
      <c r="F846" s="21">
        <v>0.23800367461242</v>
      </c>
      <c r="G846" s="4">
        <v>0.31900000000000001</v>
      </c>
      <c r="H846" s="4">
        <v>0.30578512396694202</v>
      </c>
      <c r="I846" s="4">
        <v>0.99099999999999999</v>
      </c>
      <c r="J846" s="4">
        <v>0.99199999999999999</v>
      </c>
      <c r="K846" s="5">
        <v>0</v>
      </c>
      <c r="L846" s="5">
        <v>0</v>
      </c>
      <c r="M846" s="5">
        <v>100</v>
      </c>
      <c r="N846" s="5">
        <v>100</v>
      </c>
      <c r="O846" s="2">
        <v>1.1425641761972924</v>
      </c>
      <c r="P846" s="2">
        <v>1.184872632952517</v>
      </c>
      <c r="Q846" s="2">
        <v>9.0407446521490707E-3</v>
      </c>
      <c r="R846" s="2">
        <v>8.0321716972642666E-3</v>
      </c>
    </row>
    <row r="847" spans="1:18" x14ac:dyDescent="0.3">
      <c r="A847" s="7">
        <v>103</v>
      </c>
      <c r="B847" s="7">
        <v>347</v>
      </c>
      <c r="C847" s="7">
        <v>0</v>
      </c>
      <c r="D847" s="7">
        <v>1</v>
      </c>
      <c r="E847" s="20" t="str">
        <f t="shared" si="13"/>
        <v>01</v>
      </c>
      <c r="F847" s="21">
        <v>0.239020254050233</v>
      </c>
      <c r="G847" s="4">
        <v>0.30199999999999999</v>
      </c>
      <c r="H847" s="4">
        <v>0.31492842535787302</v>
      </c>
      <c r="I847" s="4">
        <v>0.98799999999999999</v>
      </c>
      <c r="J847" s="4">
        <v>0.98799999999999999</v>
      </c>
      <c r="K847" s="5">
        <v>0</v>
      </c>
      <c r="L847" s="5">
        <v>0</v>
      </c>
      <c r="M847" s="5">
        <v>100</v>
      </c>
      <c r="N847" s="5">
        <v>100</v>
      </c>
      <c r="O847" s="2">
        <v>1.1973282616072674</v>
      </c>
      <c r="P847" s="2">
        <v>1.1554098870612435</v>
      </c>
      <c r="Q847" s="2">
        <v>1.2072581234269249E-2</v>
      </c>
      <c r="R847" s="2">
        <v>1.2072581234269249E-2</v>
      </c>
    </row>
    <row r="848" spans="1:18" x14ac:dyDescent="0.3">
      <c r="A848" s="7">
        <v>756</v>
      </c>
      <c r="B848" s="7">
        <v>350</v>
      </c>
      <c r="C848" s="7">
        <v>0</v>
      </c>
      <c r="D848" s="7">
        <v>1</v>
      </c>
      <c r="E848" s="20" t="str">
        <f t="shared" si="13"/>
        <v>01</v>
      </c>
      <c r="F848" s="21">
        <v>0.23990677442730299</v>
      </c>
      <c r="G848" s="4">
        <v>0.309</v>
      </c>
      <c r="H848" s="4">
        <v>0.291404612159329</v>
      </c>
      <c r="I848" s="4">
        <v>0.99399999999999999</v>
      </c>
      <c r="J848" s="4">
        <v>0.995</v>
      </c>
      <c r="K848" s="5">
        <v>0</v>
      </c>
      <c r="L848" s="5">
        <v>0</v>
      </c>
      <c r="M848" s="5">
        <v>100</v>
      </c>
      <c r="N848" s="5">
        <v>100</v>
      </c>
      <c r="O848" s="2">
        <v>1.1744140020843916</v>
      </c>
      <c r="P848" s="2">
        <v>1.23304255775765</v>
      </c>
      <c r="Q848" s="2">
        <v>6.0180723255630212E-3</v>
      </c>
      <c r="R848" s="2">
        <v>5.0125418235442863E-3</v>
      </c>
    </row>
    <row r="849" spans="1:18" x14ac:dyDescent="0.3">
      <c r="A849" s="7">
        <v>246</v>
      </c>
      <c r="B849" s="7">
        <v>326</v>
      </c>
      <c r="C849" s="7">
        <v>0</v>
      </c>
      <c r="D849" s="7">
        <v>1</v>
      </c>
      <c r="E849" s="20" t="str">
        <f t="shared" si="13"/>
        <v>01</v>
      </c>
      <c r="F849" s="21">
        <v>0.24689749436514999</v>
      </c>
      <c r="G849" s="4">
        <v>0.13800000000000001</v>
      </c>
      <c r="H849" s="4">
        <v>0.13008130081300801</v>
      </c>
      <c r="I849" s="4">
        <v>0.995</v>
      </c>
      <c r="J849" s="4">
        <v>0.995</v>
      </c>
      <c r="K849" s="5">
        <v>0</v>
      </c>
      <c r="L849" s="5">
        <v>0</v>
      </c>
      <c r="M849" s="5">
        <v>100</v>
      </c>
      <c r="N849" s="5">
        <v>100</v>
      </c>
      <c r="O849" s="2">
        <v>1.9805015938249322</v>
      </c>
      <c r="P849" s="2">
        <v>2.0395956331326373</v>
      </c>
      <c r="Q849" s="2">
        <v>5.0125418235442863E-3</v>
      </c>
      <c r="R849" s="2">
        <v>5.0125418235442863E-3</v>
      </c>
    </row>
    <row r="850" spans="1:18" x14ac:dyDescent="0.3">
      <c r="A850" s="7">
        <v>410</v>
      </c>
      <c r="B850" s="7">
        <v>326</v>
      </c>
      <c r="C850" s="7">
        <v>0</v>
      </c>
      <c r="D850" s="7">
        <v>1</v>
      </c>
      <c r="E850" s="20" t="str">
        <f t="shared" si="13"/>
        <v>01</v>
      </c>
      <c r="F850" s="21">
        <v>0.251470027685888</v>
      </c>
      <c r="G850" s="4">
        <v>0.47199999999999998</v>
      </c>
      <c r="H850" s="4">
        <v>0.40930232558139501</v>
      </c>
      <c r="I850" s="4">
        <v>0.99399999999999999</v>
      </c>
      <c r="J850" s="4">
        <v>0.99</v>
      </c>
      <c r="K850" s="5">
        <v>0</v>
      </c>
      <c r="L850" s="5">
        <v>0</v>
      </c>
      <c r="M850" s="5">
        <v>100</v>
      </c>
      <c r="N850" s="5">
        <v>100</v>
      </c>
      <c r="O850" s="2">
        <v>0.7507762933965817</v>
      </c>
      <c r="P850" s="2">
        <v>0.89330121364945714</v>
      </c>
      <c r="Q850" s="2">
        <v>6.0180723255630212E-3</v>
      </c>
      <c r="R850" s="2">
        <v>1.0050335853501451E-2</v>
      </c>
    </row>
    <row r="851" spans="1:18" x14ac:dyDescent="0.3">
      <c r="A851" s="7">
        <v>399</v>
      </c>
      <c r="B851" s="7">
        <v>306</v>
      </c>
      <c r="C851" s="7">
        <v>0</v>
      </c>
      <c r="D851" s="7">
        <v>1</v>
      </c>
      <c r="E851" s="20" t="str">
        <f t="shared" si="13"/>
        <v>01</v>
      </c>
      <c r="F851" s="21">
        <v>0.27110281238536799</v>
      </c>
      <c r="G851" s="4">
        <v>0.32200000000000001</v>
      </c>
      <c r="H851" s="4">
        <v>0.31967213114754101</v>
      </c>
      <c r="I851" s="4">
        <v>0.99399999999999999</v>
      </c>
      <c r="J851" s="4">
        <v>0.98299999999999998</v>
      </c>
      <c r="K851" s="5">
        <v>0</v>
      </c>
      <c r="L851" s="5">
        <v>0</v>
      </c>
      <c r="M851" s="5">
        <v>100</v>
      </c>
      <c r="N851" s="5">
        <v>100</v>
      </c>
      <c r="O851" s="2">
        <v>1.1332037334377287</v>
      </c>
      <c r="P851" s="2">
        <v>1.14045939860361</v>
      </c>
      <c r="Q851" s="2">
        <v>6.0180723255630212E-3</v>
      </c>
      <c r="R851" s="2">
        <v>1.7146158834970514E-2</v>
      </c>
    </row>
    <row r="852" spans="1:18" x14ac:dyDescent="0.3">
      <c r="A852" s="7">
        <v>563</v>
      </c>
      <c r="B852" s="7">
        <v>306</v>
      </c>
      <c r="C852" s="7">
        <v>0</v>
      </c>
      <c r="D852" s="7">
        <v>1</v>
      </c>
      <c r="E852" s="20" t="str">
        <f t="shared" si="13"/>
        <v>01</v>
      </c>
      <c r="F852" s="21">
        <v>0.27481808578723699</v>
      </c>
      <c r="G852" s="4">
        <v>0.41599999999999998</v>
      </c>
      <c r="H852" s="4">
        <v>0.33780760626398199</v>
      </c>
      <c r="I852" s="4">
        <v>0.99399999999999999</v>
      </c>
      <c r="J852" s="4">
        <v>0.98599999999999999</v>
      </c>
      <c r="K852" s="5">
        <v>0</v>
      </c>
      <c r="L852" s="5">
        <v>0</v>
      </c>
      <c r="M852" s="5">
        <v>100</v>
      </c>
      <c r="N852" s="5">
        <v>100</v>
      </c>
      <c r="O852" s="2">
        <v>0.87707001872087387</v>
      </c>
      <c r="P852" s="2">
        <v>1.0852787577986449</v>
      </c>
      <c r="Q852" s="2">
        <v>6.0180723255630212E-3</v>
      </c>
      <c r="R852" s="2">
        <v>1.4098924379501648E-2</v>
      </c>
    </row>
    <row r="853" spans="1:18" x14ac:dyDescent="0.3">
      <c r="A853" s="7">
        <v>865</v>
      </c>
      <c r="B853" s="7">
        <v>289</v>
      </c>
      <c r="C853" s="7">
        <v>0</v>
      </c>
      <c r="D853" s="7">
        <v>1</v>
      </c>
      <c r="E853" s="20" t="str">
        <f t="shared" si="13"/>
        <v>01</v>
      </c>
      <c r="F853" s="21">
        <v>0.294391071454427</v>
      </c>
      <c r="G853" s="4">
        <v>0.54500000000000004</v>
      </c>
      <c r="H853" s="4">
        <v>0.524109014675052</v>
      </c>
      <c r="I853" s="4">
        <v>0.99</v>
      </c>
      <c r="J853" s="4">
        <v>0.99199999999999999</v>
      </c>
      <c r="K853" s="5">
        <v>100</v>
      </c>
      <c r="L853" s="5">
        <v>100</v>
      </c>
      <c r="M853" s="5">
        <v>100</v>
      </c>
      <c r="N853" s="5">
        <v>100</v>
      </c>
      <c r="O853" s="2">
        <v>0.60696948431889286</v>
      </c>
      <c r="P853" s="2">
        <v>0.64605557302609562</v>
      </c>
      <c r="Q853" s="2">
        <v>1.0050335853501451E-2</v>
      </c>
      <c r="R853" s="2">
        <v>8.0321716972642666E-3</v>
      </c>
    </row>
    <row r="854" spans="1:18" x14ac:dyDescent="0.3">
      <c r="A854" s="7">
        <v>518</v>
      </c>
      <c r="B854" s="7">
        <v>317</v>
      </c>
      <c r="C854" s="7">
        <v>0</v>
      </c>
      <c r="D854" s="7">
        <v>1</v>
      </c>
      <c r="E854" s="20" t="str">
        <f t="shared" si="13"/>
        <v>01</v>
      </c>
      <c r="F854" s="21">
        <v>0.299548798075922</v>
      </c>
      <c r="G854" s="4">
        <v>0.11700000000000001</v>
      </c>
      <c r="H854" s="4">
        <v>0.12224448897795601</v>
      </c>
      <c r="I854" s="4">
        <v>0.998</v>
      </c>
      <c r="J854" s="4">
        <v>1</v>
      </c>
      <c r="K854" s="5">
        <v>0</v>
      </c>
      <c r="L854" s="5">
        <v>0</v>
      </c>
      <c r="M854" s="5">
        <v>100</v>
      </c>
      <c r="N854" s="5">
        <v>100</v>
      </c>
      <c r="O854" s="2">
        <v>2.145581344184381</v>
      </c>
      <c r="P854" s="2">
        <v>2.1017322315782065</v>
      </c>
      <c r="Q854" s="2">
        <v>2.0020026706730793E-3</v>
      </c>
      <c r="R854" s="2">
        <v>1.0000050000287824E-5</v>
      </c>
    </row>
    <row r="855" spans="1:18" x14ac:dyDescent="0.3">
      <c r="A855" s="7">
        <v>235</v>
      </c>
      <c r="B855" s="7">
        <v>290</v>
      </c>
      <c r="C855" s="7">
        <v>0</v>
      </c>
      <c r="D855" s="7">
        <v>1</v>
      </c>
      <c r="E855" s="20" t="str">
        <f t="shared" si="13"/>
        <v>01</v>
      </c>
      <c r="F855" s="21">
        <v>0.30509382837413201</v>
      </c>
      <c r="G855" s="4">
        <v>0.38200000000000001</v>
      </c>
      <c r="H855" s="4">
        <v>0.175438596491228</v>
      </c>
      <c r="I855" s="4">
        <v>0.999</v>
      </c>
      <c r="J855" s="4">
        <v>0.98499999999999999</v>
      </c>
      <c r="K855" s="5">
        <v>0</v>
      </c>
      <c r="L855" s="5">
        <v>0</v>
      </c>
      <c r="M855" s="5">
        <v>100</v>
      </c>
      <c r="N855" s="5">
        <v>100</v>
      </c>
      <c r="O855" s="2">
        <v>0.96233467037556186</v>
      </c>
      <c r="P855" s="2">
        <v>1.7404661748405048</v>
      </c>
      <c r="Q855" s="2">
        <v>1.0005003335835344E-3</v>
      </c>
      <c r="R855" s="2">
        <v>1.5113637810048184E-2</v>
      </c>
    </row>
    <row r="856" spans="1:18" x14ac:dyDescent="0.3">
      <c r="A856" s="7">
        <v>616</v>
      </c>
      <c r="B856" s="7">
        <v>297</v>
      </c>
      <c r="C856" s="7">
        <v>0</v>
      </c>
      <c r="D856" s="7">
        <v>1</v>
      </c>
      <c r="E856" s="20" t="str">
        <f t="shared" si="13"/>
        <v>01</v>
      </c>
      <c r="F856" s="21">
        <v>0.30624107123400601</v>
      </c>
      <c r="G856" s="4">
        <v>0.23899999999999999</v>
      </c>
      <c r="H856" s="4">
        <v>0.219712525667351</v>
      </c>
      <c r="I856" s="4">
        <v>0.996</v>
      </c>
      <c r="J856" s="4">
        <v>0.99</v>
      </c>
      <c r="K856" s="5">
        <v>0</v>
      </c>
      <c r="L856" s="5">
        <v>0</v>
      </c>
      <c r="M856" s="5">
        <v>100</v>
      </c>
      <c r="N856" s="5">
        <v>100</v>
      </c>
      <c r="O856" s="2">
        <v>1.4312917270506265</v>
      </c>
      <c r="P856" s="2">
        <v>1.5154352886206841</v>
      </c>
      <c r="Q856" s="2">
        <v>4.0080213975388218E-3</v>
      </c>
      <c r="R856" s="2">
        <v>1.0050335853501451E-2</v>
      </c>
    </row>
    <row r="857" spans="1:18" x14ac:dyDescent="0.3">
      <c r="A857" s="7">
        <v>733</v>
      </c>
      <c r="B857" s="7">
        <v>287</v>
      </c>
      <c r="C857" s="7">
        <v>0</v>
      </c>
      <c r="D857" s="7">
        <v>1</v>
      </c>
      <c r="E857" s="20" t="str">
        <f t="shared" si="13"/>
        <v>01</v>
      </c>
      <c r="F857" s="21">
        <v>0.31749820892264102</v>
      </c>
      <c r="G857" s="4">
        <v>0.154</v>
      </c>
      <c r="H857" s="4">
        <v>0.14430894308943101</v>
      </c>
      <c r="I857" s="4">
        <v>0.98799999999999999</v>
      </c>
      <c r="J857" s="4">
        <v>0.99</v>
      </c>
      <c r="K857" s="5">
        <v>0</v>
      </c>
      <c r="L857" s="5">
        <v>0</v>
      </c>
      <c r="M857" s="5">
        <v>100</v>
      </c>
      <c r="N857" s="5">
        <v>100</v>
      </c>
      <c r="O857" s="2">
        <v>1.870802676568508</v>
      </c>
      <c r="P857" s="2">
        <v>1.935798839450992</v>
      </c>
      <c r="Q857" s="2">
        <v>1.2072581234269249E-2</v>
      </c>
      <c r="R857" s="2">
        <v>1.0050335853501451E-2</v>
      </c>
    </row>
    <row r="858" spans="1:18" x14ac:dyDescent="0.3">
      <c r="A858" s="7">
        <v>939</v>
      </c>
      <c r="B858" s="7">
        <v>271</v>
      </c>
      <c r="C858" s="7">
        <v>0</v>
      </c>
      <c r="D858" s="7">
        <v>1</v>
      </c>
      <c r="E858" s="20" t="str">
        <f t="shared" si="13"/>
        <v>01</v>
      </c>
      <c r="F858" s="21">
        <v>0.32196573256543098</v>
      </c>
      <c r="G858" s="4">
        <v>0.27800000000000002</v>
      </c>
      <c r="H858" s="4">
        <v>0.238095238095238</v>
      </c>
      <c r="I858" s="4">
        <v>0.98199999999999998</v>
      </c>
      <c r="J858" s="4">
        <v>0.98099999999999998</v>
      </c>
      <c r="K858" s="5">
        <v>0</v>
      </c>
      <c r="L858" s="5">
        <v>0</v>
      </c>
      <c r="M858" s="5">
        <v>100</v>
      </c>
      <c r="N858" s="5">
        <v>100</v>
      </c>
      <c r="O858" s="2">
        <v>1.2801341652914999</v>
      </c>
      <c r="P858" s="2">
        <v>1.435084525289323</v>
      </c>
      <c r="Q858" s="2">
        <v>1.816397062767118E-2</v>
      </c>
      <c r="R858" s="2">
        <v>1.9182819416773987E-2</v>
      </c>
    </row>
    <row r="859" spans="1:18" x14ac:dyDescent="0.3">
      <c r="A859" s="7">
        <v>821</v>
      </c>
      <c r="B859" s="7">
        <v>264</v>
      </c>
      <c r="C859" s="7">
        <v>0</v>
      </c>
      <c r="D859" s="7">
        <v>1</v>
      </c>
      <c r="E859" s="20" t="str">
        <f t="shared" si="13"/>
        <v>01</v>
      </c>
      <c r="F859" s="21">
        <v>0.32425854150743399</v>
      </c>
      <c r="G859" s="4">
        <v>0.218</v>
      </c>
      <c r="H859" s="4">
        <v>0.21676891615541899</v>
      </c>
      <c r="I859" s="4">
        <v>0.99299999999999999</v>
      </c>
      <c r="J859" s="4">
        <v>0.99099999999999999</v>
      </c>
      <c r="K859" s="5">
        <v>0</v>
      </c>
      <c r="L859" s="5">
        <v>0</v>
      </c>
      <c r="M859" s="5">
        <v>100</v>
      </c>
      <c r="N859" s="5">
        <v>100</v>
      </c>
      <c r="O859" s="2">
        <v>1.523260216193048</v>
      </c>
      <c r="P859" s="2">
        <v>1.5289233953628059</v>
      </c>
      <c r="Q859" s="2">
        <v>7.0246149369644663E-3</v>
      </c>
      <c r="R859" s="2">
        <v>9.0407446521490707E-3</v>
      </c>
    </row>
    <row r="860" spans="1:18" x14ac:dyDescent="0.3">
      <c r="A860" s="7">
        <v>924</v>
      </c>
      <c r="B860" s="7">
        <v>275</v>
      </c>
      <c r="C860" s="7">
        <v>0</v>
      </c>
      <c r="D860" s="7">
        <v>1</v>
      </c>
      <c r="E860" s="20" t="str">
        <f t="shared" si="13"/>
        <v>01</v>
      </c>
      <c r="F860" s="21">
        <v>0.333598764144802</v>
      </c>
      <c r="G860" s="4">
        <v>0.46200000000000002</v>
      </c>
      <c r="H860" s="4">
        <v>0.40732758620689702</v>
      </c>
      <c r="I860" s="4">
        <v>0.997</v>
      </c>
      <c r="J860" s="4">
        <v>0.997</v>
      </c>
      <c r="K860" s="5">
        <v>0</v>
      </c>
      <c r="L860" s="5">
        <v>0</v>
      </c>
      <c r="M860" s="5">
        <v>100</v>
      </c>
      <c r="N860" s="5">
        <v>100</v>
      </c>
      <c r="O860" s="2">
        <v>0.77219038790039818</v>
      </c>
      <c r="P860" s="2">
        <v>0.89813753716661171</v>
      </c>
      <c r="Q860" s="2">
        <v>3.0045090202987243E-3</v>
      </c>
      <c r="R860" s="2">
        <v>3.0045090202987243E-3</v>
      </c>
    </row>
    <row r="861" spans="1:18" x14ac:dyDescent="0.3">
      <c r="A861" s="7">
        <v>218</v>
      </c>
      <c r="B861" s="7">
        <v>277</v>
      </c>
      <c r="C861" s="7">
        <v>0</v>
      </c>
      <c r="D861" s="7">
        <v>1</v>
      </c>
      <c r="E861" s="20" t="str">
        <f t="shared" si="13"/>
        <v>01</v>
      </c>
      <c r="F861" s="21">
        <v>0.349301166547</v>
      </c>
      <c r="G861" s="4">
        <v>0.27800000000000002</v>
      </c>
      <c r="H861" s="4">
        <v>0.25609756097560998</v>
      </c>
      <c r="I861" s="4">
        <v>0.98899999999999999</v>
      </c>
      <c r="J861" s="4">
        <v>0.98299999999999998</v>
      </c>
      <c r="K861" s="5">
        <v>0</v>
      </c>
      <c r="L861" s="5">
        <v>0</v>
      </c>
      <c r="M861" s="5">
        <v>100</v>
      </c>
      <c r="N861" s="5">
        <v>100</v>
      </c>
      <c r="O861" s="2">
        <v>1.2801341652914999</v>
      </c>
      <c r="P861" s="2">
        <v>1.3621968095408292</v>
      </c>
      <c r="Q861" s="2">
        <v>1.1060947359424948E-2</v>
      </c>
      <c r="R861" s="2">
        <v>1.7146158834970514E-2</v>
      </c>
    </row>
    <row r="862" spans="1:18" x14ac:dyDescent="0.3">
      <c r="A862" s="7">
        <v>806</v>
      </c>
      <c r="B862" s="7">
        <v>263</v>
      </c>
      <c r="C862" s="7">
        <v>0</v>
      </c>
      <c r="D862" s="7">
        <v>1</v>
      </c>
      <c r="E862" s="20" t="str">
        <f t="shared" si="13"/>
        <v>01</v>
      </c>
      <c r="F862" s="21">
        <v>0.37015509002158198</v>
      </c>
      <c r="G862" s="4">
        <v>0.33600000000000002</v>
      </c>
      <c r="H862" s="4">
        <v>0.26164079822616398</v>
      </c>
      <c r="I862" s="4">
        <v>0.98899999999999999</v>
      </c>
      <c r="J862" s="4">
        <v>0.99099999999999999</v>
      </c>
      <c r="K862" s="5">
        <v>0</v>
      </c>
      <c r="L862" s="5">
        <v>0</v>
      </c>
      <c r="M862" s="5">
        <v>100</v>
      </c>
      <c r="N862" s="5">
        <v>100</v>
      </c>
      <c r="O862" s="2">
        <v>1.0906441190189327</v>
      </c>
      <c r="P862" s="2">
        <v>1.340782715037014</v>
      </c>
      <c r="Q862" s="2">
        <v>1.1060947359424948E-2</v>
      </c>
      <c r="R862" s="2">
        <v>9.0407446521490707E-3</v>
      </c>
    </row>
    <row r="863" spans="1:18" x14ac:dyDescent="0.3">
      <c r="A863" s="7">
        <v>620</v>
      </c>
      <c r="B863" s="7">
        <v>268</v>
      </c>
      <c r="C863" s="7">
        <v>0</v>
      </c>
      <c r="D863" s="7">
        <v>1</v>
      </c>
      <c r="E863" s="20" t="str">
        <f t="shared" si="13"/>
        <v>01</v>
      </c>
      <c r="F863" s="21">
        <v>0.37026698314359702</v>
      </c>
      <c r="G863" s="4">
        <v>0.36</v>
      </c>
      <c r="H863" s="4">
        <v>0.329875518672199</v>
      </c>
      <c r="I863" s="4">
        <v>0.996</v>
      </c>
      <c r="J863" s="4">
        <v>0.98299999999999998</v>
      </c>
      <c r="K863" s="5">
        <v>0</v>
      </c>
      <c r="L863" s="5">
        <v>0</v>
      </c>
      <c r="M863" s="5">
        <v>100</v>
      </c>
      <c r="N863" s="5">
        <v>100</v>
      </c>
      <c r="O863" s="2">
        <v>1.0216512475319814</v>
      </c>
      <c r="P863" s="2">
        <v>1.1090399118303693</v>
      </c>
      <c r="Q863" s="2">
        <v>4.0080213975388218E-3</v>
      </c>
      <c r="R863" s="2">
        <v>1.7146158834970514E-2</v>
      </c>
    </row>
    <row r="864" spans="1:18" x14ac:dyDescent="0.3">
      <c r="A864" s="7">
        <v>418</v>
      </c>
      <c r="B864" s="7">
        <v>274</v>
      </c>
      <c r="C864" s="7">
        <v>0</v>
      </c>
      <c r="D864" s="7">
        <v>1</v>
      </c>
      <c r="E864" s="20" t="str">
        <f t="shared" si="13"/>
        <v>01</v>
      </c>
      <c r="F864" s="21">
        <v>0.37228990582131199</v>
      </c>
      <c r="G864" s="4">
        <v>0.45700000000000002</v>
      </c>
      <c r="H864" s="4">
        <v>0.40685224839400402</v>
      </c>
      <c r="I864" s="4">
        <v>0.99299999999999999</v>
      </c>
      <c r="J864" s="4">
        <v>0.98099999999999998</v>
      </c>
      <c r="K864" s="5">
        <v>0</v>
      </c>
      <c r="L864" s="5">
        <v>0</v>
      </c>
      <c r="M864" s="5">
        <v>100</v>
      </c>
      <c r="N864" s="5">
        <v>100</v>
      </c>
      <c r="O864" s="2">
        <v>0.78307188808793227</v>
      </c>
      <c r="P864" s="2">
        <v>0.89930518550841176</v>
      </c>
      <c r="Q864" s="2">
        <v>7.0246149369644663E-3</v>
      </c>
      <c r="R864" s="2">
        <v>1.9182819416773987E-2</v>
      </c>
    </row>
    <row r="865" spans="1:18" x14ac:dyDescent="0.3">
      <c r="A865" s="7">
        <v>597</v>
      </c>
      <c r="B865" s="7">
        <v>253</v>
      </c>
      <c r="C865" s="7">
        <v>0</v>
      </c>
      <c r="D865" s="7">
        <v>1</v>
      </c>
      <c r="E865" s="20" t="str">
        <f t="shared" si="13"/>
        <v>01</v>
      </c>
      <c r="F865" s="21">
        <v>0.382801361534027</v>
      </c>
      <c r="G865" s="4">
        <v>0.219</v>
      </c>
      <c r="H865" s="4">
        <v>0.215885947046843</v>
      </c>
      <c r="I865" s="4">
        <v>2.4E-2</v>
      </c>
      <c r="J865" s="4">
        <v>1.2999999999999999E-2</v>
      </c>
      <c r="K865" s="5">
        <v>0</v>
      </c>
      <c r="L865" s="5">
        <v>0</v>
      </c>
      <c r="M865" s="5">
        <v>0</v>
      </c>
      <c r="N865" s="5">
        <v>0</v>
      </c>
      <c r="O865" s="2">
        <v>1.5186835491656363</v>
      </c>
      <c r="P865" s="2">
        <v>1.5330050336824543</v>
      </c>
      <c r="Q865" s="2">
        <v>3.7297014486341915</v>
      </c>
      <c r="R865" s="2">
        <v>4.3428059215206005</v>
      </c>
    </row>
    <row r="866" spans="1:18" x14ac:dyDescent="0.3">
      <c r="A866" s="7">
        <v>698</v>
      </c>
      <c r="B866" s="7">
        <v>252</v>
      </c>
      <c r="C866" s="7">
        <v>0</v>
      </c>
      <c r="D866" s="7">
        <v>1</v>
      </c>
      <c r="E866" s="20" t="str">
        <f t="shared" si="13"/>
        <v>01</v>
      </c>
      <c r="F866" s="21">
        <v>0.38827464704146802</v>
      </c>
      <c r="G866" s="4">
        <v>0.20799999999999999</v>
      </c>
      <c r="H866" s="4">
        <v>0.20858895705521499</v>
      </c>
      <c r="I866" s="4">
        <v>0.98199999999999998</v>
      </c>
      <c r="J866" s="4">
        <v>0.98199999999999998</v>
      </c>
      <c r="K866" s="5">
        <v>0</v>
      </c>
      <c r="L866" s="5">
        <v>0</v>
      </c>
      <c r="M866" s="5">
        <v>100</v>
      </c>
      <c r="N866" s="5">
        <v>100</v>
      </c>
      <c r="O866" s="2">
        <v>1.5702171992808192</v>
      </c>
      <c r="P866" s="2">
        <v>1.5673896761905997</v>
      </c>
      <c r="Q866" s="2">
        <v>1.816397062767118E-2</v>
      </c>
      <c r="R866" s="2">
        <v>1.816397062767118E-2</v>
      </c>
    </row>
    <row r="867" spans="1:18" x14ac:dyDescent="0.3">
      <c r="A867" s="7">
        <v>689</v>
      </c>
      <c r="B867" s="7">
        <v>242</v>
      </c>
      <c r="C867" s="7">
        <v>0</v>
      </c>
      <c r="D867" s="7">
        <v>1</v>
      </c>
      <c r="E867" s="20" t="str">
        <f t="shared" si="13"/>
        <v>01</v>
      </c>
      <c r="F867" s="21">
        <v>0.38883599603723201</v>
      </c>
      <c r="G867" s="4">
        <v>0.53700000000000003</v>
      </c>
      <c r="H867" s="4">
        <v>0.26168224299065401</v>
      </c>
      <c r="I867" s="4">
        <v>0.998</v>
      </c>
      <c r="J867" s="4">
        <v>0.98599999999999999</v>
      </c>
      <c r="K867" s="5">
        <v>100</v>
      </c>
      <c r="L867" s="5">
        <v>0</v>
      </c>
      <c r="M867" s="5">
        <v>100</v>
      </c>
      <c r="N867" s="5">
        <v>100</v>
      </c>
      <c r="O867" s="2">
        <v>0.62175718447327233</v>
      </c>
      <c r="P867" s="2">
        <v>1.3406243242867031</v>
      </c>
      <c r="Q867" s="2">
        <v>2.0020026706730793E-3</v>
      </c>
      <c r="R867" s="2">
        <v>1.4098924379501648E-2</v>
      </c>
    </row>
    <row r="868" spans="1:18" x14ac:dyDescent="0.3">
      <c r="A868" s="7">
        <v>713</v>
      </c>
      <c r="B868" s="7">
        <v>249</v>
      </c>
      <c r="C868" s="7">
        <v>0</v>
      </c>
      <c r="D868" s="7">
        <v>1</v>
      </c>
      <c r="E868" s="20" t="str">
        <f t="shared" si="13"/>
        <v>01</v>
      </c>
      <c r="F868" s="21">
        <v>0.40521478242238501</v>
      </c>
      <c r="G868" s="4">
        <v>0.68700000000000006</v>
      </c>
      <c r="H868" s="4">
        <v>0.66289592760181004</v>
      </c>
      <c r="I868" s="4">
        <v>0.99</v>
      </c>
      <c r="J868" s="4">
        <v>0.98799999999999999</v>
      </c>
      <c r="K868" s="5">
        <v>100</v>
      </c>
      <c r="L868" s="5">
        <v>100</v>
      </c>
      <c r="M868" s="5">
        <v>100</v>
      </c>
      <c r="N868" s="5">
        <v>100</v>
      </c>
      <c r="O868" s="2">
        <v>0.37542098675978763</v>
      </c>
      <c r="P868" s="2">
        <v>0.41113727306063069</v>
      </c>
      <c r="Q868" s="2">
        <v>1.0050335853501451E-2</v>
      </c>
      <c r="R868" s="2">
        <v>1.2072581234269249E-2</v>
      </c>
    </row>
    <row r="869" spans="1:18" x14ac:dyDescent="0.3">
      <c r="A869" s="7">
        <v>374</v>
      </c>
      <c r="B869" s="7">
        <v>239</v>
      </c>
      <c r="C869" s="7">
        <v>0</v>
      </c>
      <c r="D869" s="7">
        <v>1</v>
      </c>
      <c r="E869" s="20" t="str">
        <f t="shared" si="13"/>
        <v>01</v>
      </c>
      <c r="F869" s="21">
        <v>0.40574906516430498</v>
      </c>
      <c r="G869" s="4">
        <v>0.151</v>
      </c>
      <c r="H869" s="4">
        <v>0.13114754098360701</v>
      </c>
      <c r="I869" s="4">
        <v>0.99199999999999999</v>
      </c>
      <c r="J869" s="4">
        <v>0.99</v>
      </c>
      <c r="K869" s="5">
        <v>0</v>
      </c>
      <c r="L869" s="5">
        <v>0</v>
      </c>
      <c r="M869" s="5">
        <v>100</v>
      </c>
      <c r="N869" s="5">
        <v>100</v>
      </c>
      <c r="O869" s="2">
        <v>1.8904754421672127</v>
      </c>
      <c r="P869" s="2">
        <v>2.0314323224934721</v>
      </c>
      <c r="Q869" s="2">
        <v>8.0321716972642666E-3</v>
      </c>
      <c r="R869" s="2">
        <v>1.0050335853501451E-2</v>
      </c>
    </row>
    <row r="870" spans="1:18" x14ac:dyDescent="0.3">
      <c r="A870" s="7">
        <v>663</v>
      </c>
      <c r="B870" s="7">
        <v>218</v>
      </c>
      <c r="C870" s="7">
        <v>0</v>
      </c>
      <c r="D870" s="7">
        <v>1</v>
      </c>
      <c r="E870" s="20" t="str">
        <f t="shared" si="13"/>
        <v>01</v>
      </c>
      <c r="F870" s="21">
        <v>0.41506956154063201</v>
      </c>
      <c r="G870" s="4">
        <v>7.4999999999999997E-2</v>
      </c>
      <c r="H870" s="4">
        <v>8.0321285140562207E-2</v>
      </c>
      <c r="I870" s="4">
        <v>0.99099999999999999</v>
      </c>
      <c r="J870" s="4">
        <v>0.99</v>
      </c>
      <c r="K870" s="5">
        <v>0</v>
      </c>
      <c r="L870" s="5">
        <v>0</v>
      </c>
      <c r="M870" s="5">
        <v>100</v>
      </c>
      <c r="N870" s="5">
        <v>100</v>
      </c>
      <c r="O870" s="2">
        <v>2.5902671654458267</v>
      </c>
      <c r="P870" s="2">
        <v>2.521720622910717</v>
      </c>
      <c r="Q870" s="2">
        <v>9.0407446521490707E-3</v>
      </c>
      <c r="R870" s="2">
        <v>1.0050335853501451E-2</v>
      </c>
    </row>
    <row r="871" spans="1:18" x14ac:dyDescent="0.3">
      <c r="A871" s="7">
        <v>151</v>
      </c>
      <c r="B871" s="7">
        <v>249</v>
      </c>
      <c r="C871" s="7">
        <v>0</v>
      </c>
      <c r="D871" s="7">
        <v>1</v>
      </c>
      <c r="E871" s="20" t="str">
        <f t="shared" si="13"/>
        <v>01</v>
      </c>
      <c r="F871" s="21">
        <v>0.41708778092384302</v>
      </c>
      <c r="G871" s="4">
        <v>0.36499999999999999</v>
      </c>
      <c r="H871" s="4">
        <v>0.26590909090909098</v>
      </c>
      <c r="I871" s="4">
        <v>0.98699999999999999</v>
      </c>
      <c r="J871" s="4">
        <v>0.98199999999999998</v>
      </c>
      <c r="K871" s="5">
        <v>0</v>
      </c>
      <c r="L871" s="5">
        <v>0</v>
      </c>
      <c r="M871" s="5">
        <v>100</v>
      </c>
      <c r="N871" s="5">
        <v>100</v>
      </c>
      <c r="O871" s="2">
        <v>1.0078579253996456</v>
      </c>
      <c r="P871" s="2">
        <v>1.3246007921145504</v>
      </c>
      <c r="Q871" s="2">
        <v>1.3085239548655481E-2</v>
      </c>
      <c r="R871" s="2">
        <v>1.816397062767118E-2</v>
      </c>
    </row>
    <row r="872" spans="1:18" x14ac:dyDescent="0.3">
      <c r="A872" s="7">
        <v>270</v>
      </c>
      <c r="B872" s="7">
        <v>240</v>
      </c>
      <c r="C872" s="7">
        <v>0</v>
      </c>
      <c r="D872" s="7">
        <v>1</v>
      </c>
      <c r="E872" s="20" t="str">
        <f t="shared" si="13"/>
        <v>01</v>
      </c>
      <c r="F872" s="21">
        <v>0.42135690902005102</v>
      </c>
      <c r="G872" s="4">
        <v>0.17699999999999999</v>
      </c>
      <c r="H872" s="4">
        <v>0.16393442622950799</v>
      </c>
      <c r="I872" s="4">
        <v>0.96199999999999997</v>
      </c>
      <c r="J872" s="4">
        <v>0.96699999999999997</v>
      </c>
      <c r="K872" s="5">
        <v>0</v>
      </c>
      <c r="L872" s="5">
        <v>0</v>
      </c>
      <c r="M872" s="5">
        <v>100</v>
      </c>
      <c r="N872" s="5">
        <v>100</v>
      </c>
      <c r="O872" s="2">
        <v>1.731605546408308</v>
      </c>
      <c r="P872" s="2">
        <v>1.8082887711792668</v>
      </c>
      <c r="Q872" s="2">
        <v>3.8740828316430595E-2</v>
      </c>
      <c r="R872" s="2">
        <v>3.3556783528842754E-2</v>
      </c>
    </row>
    <row r="873" spans="1:18" x14ac:dyDescent="0.3">
      <c r="A873" s="7">
        <v>625</v>
      </c>
      <c r="B873" s="7">
        <v>248</v>
      </c>
      <c r="C873" s="7">
        <v>0</v>
      </c>
      <c r="D873" s="7">
        <v>1</v>
      </c>
      <c r="E873" s="20" t="str">
        <f t="shared" si="13"/>
        <v>01</v>
      </c>
      <c r="F873" s="21">
        <v>0.42422479577420902</v>
      </c>
      <c r="G873" s="4">
        <v>0.503</v>
      </c>
      <c r="H873" s="4">
        <v>0.394736842105263</v>
      </c>
      <c r="I873" s="4">
        <v>0.98199999999999998</v>
      </c>
      <c r="J873" s="4">
        <v>0.98</v>
      </c>
      <c r="K873" s="5">
        <v>100</v>
      </c>
      <c r="L873" s="5">
        <v>0</v>
      </c>
      <c r="M873" s="5">
        <v>100</v>
      </c>
      <c r="N873" s="5">
        <v>100</v>
      </c>
      <c r="O873" s="2">
        <v>0.68716510888239779</v>
      </c>
      <c r="P873" s="2">
        <v>0.92953595862417615</v>
      </c>
      <c r="Q873" s="2">
        <v>1.816397062767118E-2</v>
      </c>
      <c r="R873" s="2">
        <v>2.0202707317519466E-2</v>
      </c>
    </row>
    <row r="874" spans="1:18" x14ac:dyDescent="0.3">
      <c r="A874" s="7">
        <v>935</v>
      </c>
      <c r="B874" s="7">
        <v>220</v>
      </c>
      <c r="C874" s="7">
        <v>0</v>
      </c>
      <c r="D874" s="7">
        <v>1</v>
      </c>
      <c r="E874" s="20" t="str">
        <f t="shared" si="13"/>
        <v>01</v>
      </c>
      <c r="F874" s="21">
        <v>0.43489282446329203</v>
      </c>
      <c r="G874" s="4">
        <v>0.39800000000000002</v>
      </c>
      <c r="H874" s="4">
        <v>0.383647798742138</v>
      </c>
      <c r="I874" s="4">
        <v>0.98899999999999999</v>
      </c>
      <c r="J874" s="4">
        <v>0.98899999999999999</v>
      </c>
      <c r="K874" s="5">
        <v>0</v>
      </c>
      <c r="L874" s="5">
        <v>0</v>
      </c>
      <c r="M874" s="5">
        <v>100</v>
      </c>
      <c r="N874" s="5">
        <v>100</v>
      </c>
      <c r="O874" s="2">
        <v>0.92130327369769927</v>
      </c>
      <c r="P874" s="2">
        <v>0.95803033804692117</v>
      </c>
      <c r="Q874" s="2">
        <v>1.1060947359424948E-2</v>
      </c>
      <c r="R874" s="2">
        <v>1.1060947359424948E-2</v>
      </c>
    </row>
    <row r="875" spans="1:18" x14ac:dyDescent="0.3">
      <c r="A875" s="7">
        <v>589</v>
      </c>
      <c r="B875" s="7">
        <v>237</v>
      </c>
      <c r="C875" s="7">
        <v>0</v>
      </c>
      <c r="D875" s="7">
        <v>1</v>
      </c>
      <c r="E875" s="20" t="str">
        <f t="shared" si="13"/>
        <v>01</v>
      </c>
      <c r="F875" s="21">
        <v>0.44258564304963599</v>
      </c>
      <c r="G875" s="4">
        <v>0.43</v>
      </c>
      <c r="H875" s="4">
        <v>0.37106918238993702</v>
      </c>
      <c r="I875" s="4">
        <v>0.90600000000000003</v>
      </c>
      <c r="J875" s="4">
        <v>0.89300000000000002</v>
      </c>
      <c r="K875" s="5">
        <v>0</v>
      </c>
      <c r="L875" s="5">
        <v>0</v>
      </c>
      <c r="M875" s="5">
        <v>100</v>
      </c>
      <c r="N875" s="5">
        <v>100</v>
      </c>
      <c r="O875" s="2">
        <v>0.84397007029452897</v>
      </c>
      <c r="P875" s="2">
        <v>0.99136675831451226</v>
      </c>
      <c r="Q875" s="2">
        <v>9.8715972939157695E-2</v>
      </c>
      <c r="R875" s="2">
        <v>0.11316869810563798</v>
      </c>
    </row>
    <row r="876" spans="1:18" x14ac:dyDescent="0.3">
      <c r="A876" s="7">
        <v>853</v>
      </c>
      <c r="B876" s="7">
        <v>237</v>
      </c>
      <c r="C876" s="7">
        <v>0</v>
      </c>
      <c r="D876" s="7">
        <v>1</v>
      </c>
      <c r="E876" s="20" t="str">
        <f t="shared" si="13"/>
        <v>01</v>
      </c>
      <c r="F876" s="21">
        <v>0.44300798177645001</v>
      </c>
      <c r="G876" s="4">
        <v>0.35799999999999998</v>
      </c>
      <c r="H876" s="4">
        <v>0.35306122448979599</v>
      </c>
      <c r="I876" s="4">
        <v>0.97199999999999998</v>
      </c>
      <c r="J876" s="4">
        <v>0.98399999999999999</v>
      </c>
      <c r="K876" s="5">
        <v>0</v>
      </c>
      <c r="L876" s="5">
        <v>0</v>
      </c>
      <c r="M876" s="5">
        <v>100</v>
      </c>
      <c r="N876" s="5">
        <v>100</v>
      </c>
      <c r="O876" s="2">
        <v>1.0272222925814367</v>
      </c>
      <c r="P876" s="2">
        <v>1.0411137966068931</v>
      </c>
      <c r="Q876" s="2">
        <v>2.8399474521698002E-2</v>
      </c>
      <c r="R876" s="2">
        <v>1.6129381929883644E-2</v>
      </c>
    </row>
    <row r="877" spans="1:18" x14ac:dyDescent="0.3">
      <c r="A877" s="7">
        <v>794</v>
      </c>
      <c r="B877" s="7">
        <v>227</v>
      </c>
      <c r="C877" s="7">
        <v>0</v>
      </c>
      <c r="D877" s="7">
        <v>1</v>
      </c>
      <c r="E877" s="20" t="str">
        <f t="shared" si="13"/>
        <v>01</v>
      </c>
      <c r="F877" s="21">
        <v>0.44714895608278199</v>
      </c>
      <c r="G877" s="4">
        <v>0.222</v>
      </c>
      <c r="H877" s="4">
        <v>0.19795918367346901</v>
      </c>
      <c r="I877" s="4">
        <v>0.97</v>
      </c>
      <c r="J877" s="4">
        <v>0.98099999999999998</v>
      </c>
      <c r="K877" s="5">
        <v>0</v>
      </c>
      <c r="L877" s="5">
        <v>0</v>
      </c>
      <c r="M877" s="5">
        <v>100</v>
      </c>
      <c r="N877" s="5">
        <v>100</v>
      </c>
      <c r="O877" s="2">
        <v>1.5050778971098575</v>
      </c>
      <c r="P877" s="2">
        <v>1.6196944126012913</v>
      </c>
      <c r="Q877" s="2">
        <v>3.0459207484708574E-2</v>
      </c>
      <c r="R877" s="2">
        <v>1.9182819416773987E-2</v>
      </c>
    </row>
    <row r="878" spans="1:18" x14ac:dyDescent="0.3">
      <c r="A878" s="7">
        <v>533</v>
      </c>
      <c r="B878" s="7">
        <v>255</v>
      </c>
      <c r="C878" s="7">
        <v>0</v>
      </c>
      <c r="D878" s="7">
        <v>1</v>
      </c>
      <c r="E878" s="20" t="str">
        <f t="shared" si="13"/>
        <v>01</v>
      </c>
      <c r="F878" s="21">
        <v>0.45274683787641901</v>
      </c>
      <c r="G878" s="4">
        <v>0.26700000000000002</v>
      </c>
      <c r="H878" s="4">
        <v>0.24493927125506099</v>
      </c>
      <c r="I878" s="4">
        <v>0.97699999999999998</v>
      </c>
      <c r="J878" s="4">
        <v>0.97899999999999998</v>
      </c>
      <c r="K878" s="5">
        <v>0</v>
      </c>
      <c r="L878" s="5">
        <v>0</v>
      </c>
      <c r="M878" s="5">
        <v>100</v>
      </c>
      <c r="N878" s="5">
        <v>100</v>
      </c>
      <c r="O878" s="2">
        <v>1.3205066205818874</v>
      </c>
      <c r="P878" s="2">
        <v>1.4067449715911804</v>
      </c>
      <c r="Q878" s="2">
        <v>2.3268626939354331E-2</v>
      </c>
      <c r="R878" s="2">
        <v>2.1223636451626688E-2</v>
      </c>
    </row>
    <row r="879" spans="1:18" x14ac:dyDescent="0.3">
      <c r="A879" s="7">
        <v>81</v>
      </c>
      <c r="B879" s="7">
        <v>238</v>
      </c>
      <c r="C879" s="7">
        <v>0</v>
      </c>
      <c r="D879" s="7">
        <v>1</v>
      </c>
      <c r="E879" s="20" t="str">
        <f t="shared" si="13"/>
        <v>01</v>
      </c>
      <c r="F879" s="21">
        <v>0.454290563139013</v>
      </c>
      <c r="G879" s="4">
        <v>0.498</v>
      </c>
      <c r="H879" s="4">
        <v>0.34554973821989499</v>
      </c>
      <c r="I879" s="4">
        <v>0.995</v>
      </c>
      <c r="J879" s="4">
        <v>0.98199999999999998</v>
      </c>
      <c r="K879" s="5">
        <v>0</v>
      </c>
      <c r="L879" s="5">
        <v>0</v>
      </c>
      <c r="M879" s="5">
        <v>100</v>
      </c>
      <c r="N879" s="5">
        <v>100</v>
      </c>
      <c r="O879" s="2">
        <v>0.69715520195748415</v>
      </c>
      <c r="P879" s="2">
        <v>1.0626186860202051</v>
      </c>
      <c r="Q879" s="2">
        <v>5.0125418235442863E-3</v>
      </c>
      <c r="R879" s="2">
        <v>1.816397062767118E-2</v>
      </c>
    </row>
    <row r="880" spans="1:18" x14ac:dyDescent="0.3">
      <c r="A880" s="7">
        <v>350</v>
      </c>
      <c r="B880" s="7">
        <v>217</v>
      </c>
      <c r="C880" s="7">
        <v>0</v>
      </c>
      <c r="D880" s="7">
        <v>1</v>
      </c>
      <c r="E880" s="20" t="str">
        <f t="shared" si="13"/>
        <v>01</v>
      </c>
      <c r="F880" s="21">
        <v>0.46553423162590002</v>
      </c>
      <c r="G880" s="4">
        <v>0.3</v>
      </c>
      <c r="H880" s="4">
        <v>0.276422764227642</v>
      </c>
      <c r="I880" s="4">
        <v>0.98699999999999999</v>
      </c>
      <c r="J880" s="4">
        <v>0.98399999999999999</v>
      </c>
      <c r="K880" s="5">
        <v>0</v>
      </c>
      <c r="L880" s="5">
        <v>0</v>
      </c>
      <c r="M880" s="5">
        <v>100</v>
      </c>
      <c r="N880" s="5">
        <v>100</v>
      </c>
      <c r="O880" s="2">
        <v>1.2039728043259361</v>
      </c>
      <c r="P880" s="2">
        <v>1.2858238307562571</v>
      </c>
      <c r="Q880" s="2">
        <v>1.3085239548655481E-2</v>
      </c>
      <c r="R880" s="2">
        <v>1.6129381929883644E-2</v>
      </c>
    </row>
    <row r="881" spans="1:18" x14ac:dyDescent="0.3">
      <c r="A881" s="7">
        <v>815</v>
      </c>
      <c r="B881" s="7">
        <v>205</v>
      </c>
      <c r="C881" s="7">
        <v>0</v>
      </c>
      <c r="D881" s="7">
        <v>1</v>
      </c>
      <c r="E881" s="20" t="str">
        <f t="shared" si="13"/>
        <v>01</v>
      </c>
      <c r="F881" s="21">
        <v>0.48216477093356103</v>
      </c>
      <c r="G881" s="4">
        <v>0.11899999999999999</v>
      </c>
      <c r="H881" s="4">
        <v>0.114457831325301</v>
      </c>
      <c r="I881" s="4">
        <v>0.85199999999999998</v>
      </c>
      <c r="J881" s="4">
        <v>0.82499999999999996</v>
      </c>
      <c r="K881" s="5">
        <v>0</v>
      </c>
      <c r="L881" s="5">
        <v>0</v>
      </c>
      <c r="M881" s="5">
        <v>100</v>
      </c>
      <c r="N881" s="5">
        <v>100</v>
      </c>
      <c r="O881" s="2">
        <v>2.1286317858706076</v>
      </c>
      <c r="P881" s="2">
        <v>2.1675488091901047</v>
      </c>
      <c r="Q881" s="2">
        <v>0.16016875215282134</v>
      </c>
      <c r="R881" s="2">
        <v>0.19237189264745613</v>
      </c>
    </row>
    <row r="882" spans="1:18" x14ac:dyDescent="0.3">
      <c r="A882" s="7">
        <v>549</v>
      </c>
      <c r="B882" s="7">
        <v>208</v>
      </c>
      <c r="C882" s="7">
        <v>0</v>
      </c>
      <c r="D882" s="7">
        <v>1</v>
      </c>
      <c r="E882" s="20" t="str">
        <f t="shared" si="13"/>
        <v>01</v>
      </c>
      <c r="F882" s="21">
        <v>0.48519783632718</v>
      </c>
      <c r="G882" s="4">
        <v>0.378</v>
      </c>
      <c r="H882" s="4">
        <v>0.35040983606557402</v>
      </c>
      <c r="I882" s="4">
        <v>0.99</v>
      </c>
      <c r="J882" s="4">
        <v>0.99099999999999999</v>
      </c>
      <c r="K882" s="5">
        <v>0</v>
      </c>
      <c r="L882" s="5">
        <v>0</v>
      </c>
      <c r="M882" s="5">
        <v>100</v>
      </c>
      <c r="N882" s="5">
        <v>100</v>
      </c>
      <c r="O882" s="2">
        <v>0.97286108336254939</v>
      </c>
      <c r="P882" s="2">
        <v>1.0486518493504866</v>
      </c>
      <c r="Q882" s="2">
        <v>1.0050335853501451E-2</v>
      </c>
      <c r="R882" s="2">
        <v>9.0407446521490707E-3</v>
      </c>
    </row>
    <row r="883" spans="1:18" x14ac:dyDescent="0.3">
      <c r="A883" s="7">
        <v>729</v>
      </c>
      <c r="B883" s="7">
        <v>204</v>
      </c>
      <c r="C883" s="7">
        <v>0</v>
      </c>
      <c r="D883" s="7">
        <v>1</v>
      </c>
      <c r="E883" s="20" t="str">
        <f t="shared" si="13"/>
        <v>01</v>
      </c>
      <c r="F883" s="21">
        <v>0.49200200024805402</v>
      </c>
      <c r="G883" s="4">
        <v>0.13</v>
      </c>
      <c r="H883" s="4">
        <v>0.15090543259557301</v>
      </c>
      <c r="I883" s="4">
        <v>0.84499999999999997</v>
      </c>
      <c r="J883" s="4">
        <v>0.82699999999999996</v>
      </c>
      <c r="K883" s="5">
        <v>0</v>
      </c>
      <c r="L883" s="5">
        <v>0</v>
      </c>
      <c r="M883" s="5">
        <v>100</v>
      </c>
      <c r="N883" s="5">
        <v>100</v>
      </c>
      <c r="O883" s="2">
        <v>2.0402208285265546</v>
      </c>
      <c r="P883" s="2">
        <v>1.891101912560321</v>
      </c>
      <c r="Q883" s="2">
        <v>0.16841865162496325</v>
      </c>
      <c r="R883" s="2">
        <v>0.1899505839584458</v>
      </c>
    </row>
    <row r="884" spans="1:18" x14ac:dyDescent="0.3">
      <c r="A884" s="7">
        <v>460</v>
      </c>
      <c r="B884" s="7">
        <v>205</v>
      </c>
      <c r="C884" s="7">
        <v>0</v>
      </c>
      <c r="D884" s="7">
        <v>1</v>
      </c>
      <c r="E884" s="20" t="str">
        <f t="shared" si="13"/>
        <v>01</v>
      </c>
      <c r="F884" s="21">
        <v>0.49213187089829402</v>
      </c>
      <c r="G884" s="4">
        <v>0.03</v>
      </c>
      <c r="H884" s="4">
        <v>4.0080160320641302E-2</v>
      </c>
      <c r="I884" s="4">
        <v>0.997</v>
      </c>
      <c r="J884" s="4">
        <v>0.98399999999999999</v>
      </c>
      <c r="K884" s="5">
        <v>0</v>
      </c>
      <c r="L884" s="5">
        <v>0</v>
      </c>
      <c r="M884" s="5">
        <v>100</v>
      </c>
      <c r="N884" s="5">
        <v>100</v>
      </c>
      <c r="O884" s="2">
        <v>3.5065578973199818</v>
      </c>
      <c r="P884" s="2">
        <v>3.216873822197527</v>
      </c>
      <c r="Q884" s="2">
        <v>3.0045090202987243E-3</v>
      </c>
      <c r="R884" s="2">
        <v>1.6129381929883644E-2</v>
      </c>
    </row>
    <row r="885" spans="1:18" x14ac:dyDescent="0.3">
      <c r="A885" s="7">
        <v>97</v>
      </c>
      <c r="B885" s="7">
        <v>198</v>
      </c>
      <c r="C885" s="7">
        <v>0</v>
      </c>
      <c r="D885" s="7">
        <v>1</v>
      </c>
      <c r="E885" s="20" t="str">
        <f t="shared" si="13"/>
        <v>01</v>
      </c>
      <c r="F885" s="21">
        <v>0.493315149625559</v>
      </c>
      <c r="G885" s="4">
        <v>9.8000000000000004E-2</v>
      </c>
      <c r="H885" s="4">
        <v>8.1135902636916807E-2</v>
      </c>
      <c r="I885" s="4">
        <v>0.95599999999999996</v>
      </c>
      <c r="J885" s="4">
        <v>0.94399999999999995</v>
      </c>
      <c r="K885" s="5">
        <v>0</v>
      </c>
      <c r="L885" s="5">
        <v>0</v>
      </c>
      <c r="M885" s="5">
        <v>100</v>
      </c>
      <c r="N885" s="5">
        <v>100</v>
      </c>
      <c r="O885" s="2">
        <v>2.322787800311565</v>
      </c>
      <c r="P885" s="2">
        <v>2.5116297199287541</v>
      </c>
      <c r="Q885" s="2">
        <v>4.4997365930735805E-2</v>
      </c>
      <c r="R885" s="2">
        <v>5.7629112836636416E-2</v>
      </c>
    </row>
    <row r="886" spans="1:18" x14ac:dyDescent="0.3">
      <c r="A886" s="7">
        <v>11</v>
      </c>
      <c r="B886" s="7">
        <v>234</v>
      </c>
      <c r="C886" s="7">
        <v>0</v>
      </c>
      <c r="D886" s="7">
        <v>1</v>
      </c>
      <c r="E886" s="20" t="str">
        <f t="shared" si="13"/>
        <v>01</v>
      </c>
      <c r="F886" s="21">
        <v>0.49361353800129198</v>
      </c>
      <c r="G886" s="4">
        <v>0.58699999999999997</v>
      </c>
      <c r="H886" s="4">
        <v>0.55353075170842803</v>
      </c>
      <c r="I886" s="4">
        <v>0.98299999999999998</v>
      </c>
      <c r="J886" s="4">
        <v>0.97799999999999998</v>
      </c>
      <c r="K886" s="5">
        <v>100</v>
      </c>
      <c r="L886" s="5">
        <v>100</v>
      </c>
      <c r="M886" s="5">
        <v>100</v>
      </c>
      <c r="N886" s="5">
        <v>100</v>
      </c>
      <c r="O886" s="2">
        <v>0.53273045915404071</v>
      </c>
      <c r="P886" s="2">
        <v>0.59143796973462326</v>
      </c>
      <c r="Q886" s="2">
        <v>1.7146158834970514E-2</v>
      </c>
      <c r="R886" s="2">
        <v>2.2245608947319737E-2</v>
      </c>
    </row>
    <row r="887" spans="1:18" x14ac:dyDescent="0.3">
      <c r="A887" s="7">
        <v>768</v>
      </c>
      <c r="B887" s="7">
        <v>222</v>
      </c>
      <c r="C887" s="7">
        <v>0</v>
      </c>
      <c r="D887" s="7">
        <v>1</v>
      </c>
      <c r="E887" s="20" t="str">
        <f t="shared" si="13"/>
        <v>01</v>
      </c>
      <c r="F887" s="21">
        <v>0.49721430364607799</v>
      </c>
      <c r="G887" s="4">
        <v>0.40200000000000002</v>
      </c>
      <c r="H887" s="4">
        <v>0.37369519832985398</v>
      </c>
      <c r="I887" s="4">
        <v>0.98</v>
      </c>
      <c r="J887" s="4">
        <v>0.98</v>
      </c>
      <c r="K887" s="5">
        <v>0</v>
      </c>
      <c r="L887" s="5">
        <v>0</v>
      </c>
      <c r="M887" s="5">
        <v>100</v>
      </c>
      <c r="N887" s="5">
        <v>100</v>
      </c>
      <c r="O887" s="2">
        <v>0.91130319036311591</v>
      </c>
      <c r="P887" s="2">
        <v>0.98431479157015989</v>
      </c>
      <c r="Q887" s="2">
        <v>2.0202707317519466E-2</v>
      </c>
      <c r="R887" s="2">
        <v>2.0202707317519466E-2</v>
      </c>
    </row>
    <row r="888" spans="1:18" x14ac:dyDescent="0.3">
      <c r="A888" s="7">
        <v>199</v>
      </c>
      <c r="B888" s="7">
        <v>224</v>
      </c>
      <c r="C888" s="7">
        <v>0</v>
      </c>
      <c r="D888" s="7">
        <v>1</v>
      </c>
      <c r="E888" s="20" t="str">
        <f t="shared" si="13"/>
        <v>01</v>
      </c>
      <c r="F888" s="21">
        <v>0.49853373528237399</v>
      </c>
      <c r="G888" s="4">
        <v>0.33900000000000002</v>
      </c>
      <c r="H888" s="4">
        <v>0.27548806941431703</v>
      </c>
      <c r="I888" s="4">
        <v>0.98299999999999998</v>
      </c>
      <c r="J888" s="4">
        <v>0.97499999999999998</v>
      </c>
      <c r="K888" s="5">
        <v>0</v>
      </c>
      <c r="L888" s="5">
        <v>0</v>
      </c>
      <c r="M888" s="5">
        <v>100</v>
      </c>
      <c r="N888" s="5">
        <v>100</v>
      </c>
      <c r="O888" s="2">
        <v>1.0817551716016867</v>
      </c>
      <c r="P888" s="2">
        <v>1.2892109565380561</v>
      </c>
      <c r="Q888" s="2">
        <v>1.7146158834970514E-2</v>
      </c>
      <c r="R888" s="2">
        <v>2.5317807984289897E-2</v>
      </c>
    </row>
    <row r="889" spans="1:18" x14ac:dyDescent="0.3">
      <c r="A889" s="7">
        <v>34</v>
      </c>
      <c r="B889" s="7">
        <v>210</v>
      </c>
      <c r="C889" s="7">
        <v>0</v>
      </c>
      <c r="D889" s="7">
        <v>1</v>
      </c>
      <c r="E889" s="20" t="str">
        <f t="shared" si="13"/>
        <v>01</v>
      </c>
      <c r="F889" s="21">
        <v>0.50193483385437399</v>
      </c>
      <c r="G889" s="4">
        <v>0.26900000000000002</v>
      </c>
      <c r="H889" s="4">
        <v>0.24844720496894401</v>
      </c>
      <c r="I889" s="4">
        <v>0.97699999999999998</v>
      </c>
      <c r="J889" s="4">
        <v>0.98199999999999998</v>
      </c>
      <c r="K889" s="5">
        <v>0</v>
      </c>
      <c r="L889" s="5">
        <v>0</v>
      </c>
      <c r="M889" s="5">
        <v>100</v>
      </c>
      <c r="N889" s="5">
        <v>100</v>
      </c>
      <c r="O889" s="2">
        <v>1.313043899380298</v>
      </c>
      <c r="P889" s="2">
        <v>1.3925249108705271</v>
      </c>
      <c r="Q889" s="2">
        <v>2.3268626939354331E-2</v>
      </c>
      <c r="R889" s="2">
        <v>1.816397062767118E-2</v>
      </c>
    </row>
    <row r="890" spans="1:18" x14ac:dyDescent="0.3">
      <c r="A890" s="7">
        <v>728</v>
      </c>
      <c r="B890" s="7">
        <v>206</v>
      </c>
      <c r="C890" s="7">
        <v>0</v>
      </c>
      <c r="D890" s="7">
        <v>1</v>
      </c>
      <c r="E890" s="20" t="str">
        <f t="shared" si="13"/>
        <v>01</v>
      </c>
      <c r="F890" s="21">
        <v>0.51037225415944598</v>
      </c>
      <c r="G890" s="4">
        <v>0.19600000000000001</v>
      </c>
      <c r="H890" s="4">
        <v>0.195564516129032</v>
      </c>
      <c r="I890" s="4">
        <v>0.999</v>
      </c>
      <c r="J890" s="4">
        <v>0.995</v>
      </c>
      <c r="K890" s="5">
        <v>0</v>
      </c>
      <c r="L890" s="5">
        <v>0</v>
      </c>
      <c r="M890" s="5">
        <v>100</v>
      </c>
      <c r="N890" s="5">
        <v>100</v>
      </c>
      <c r="O890" s="2">
        <v>1.6296406197516198</v>
      </c>
      <c r="P890" s="2">
        <v>1.6318649482215459</v>
      </c>
      <c r="Q890" s="2">
        <v>1.0005003335835344E-3</v>
      </c>
      <c r="R890" s="2">
        <v>5.0125418235442863E-3</v>
      </c>
    </row>
    <row r="891" spans="1:18" x14ac:dyDescent="0.3">
      <c r="A891" s="7">
        <v>280</v>
      </c>
      <c r="B891" s="7">
        <v>201</v>
      </c>
      <c r="C891" s="7">
        <v>0</v>
      </c>
      <c r="D891" s="7">
        <v>1</v>
      </c>
      <c r="E891" s="20" t="str">
        <f t="shared" si="13"/>
        <v>01</v>
      </c>
      <c r="F891" s="21">
        <v>0.53922769079612298</v>
      </c>
      <c r="G891" s="4">
        <v>0.21099999999999999</v>
      </c>
      <c r="H891" s="4">
        <v>0.18685831622176599</v>
      </c>
      <c r="I891" s="4">
        <v>0.97899999999999998</v>
      </c>
      <c r="J891" s="4">
        <v>0.97499999999999998</v>
      </c>
      <c r="K891" s="5">
        <v>0</v>
      </c>
      <c r="L891" s="5">
        <v>0</v>
      </c>
      <c r="M891" s="5">
        <v>100</v>
      </c>
      <c r="N891" s="5">
        <v>100</v>
      </c>
      <c r="O891" s="2">
        <v>1.5558971455060706</v>
      </c>
      <c r="P891" s="2">
        <v>1.6774046165657392</v>
      </c>
      <c r="Q891" s="2">
        <v>2.1223636451626688E-2</v>
      </c>
      <c r="R891" s="2">
        <v>2.5317807984289897E-2</v>
      </c>
    </row>
    <row r="892" spans="1:18" x14ac:dyDescent="0.3">
      <c r="A892" s="7">
        <v>150</v>
      </c>
      <c r="B892" s="7">
        <v>195</v>
      </c>
      <c r="C892" s="7">
        <v>0</v>
      </c>
      <c r="D892" s="7">
        <v>1</v>
      </c>
      <c r="E892" s="20" t="str">
        <f t="shared" si="13"/>
        <v>01</v>
      </c>
      <c r="F892" s="21">
        <v>0.54054875473422304</v>
      </c>
      <c r="G892" s="4">
        <v>0.19800000000000001</v>
      </c>
      <c r="H892" s="4">
        <v>0.17995910020449901</v>
      </c>
      <c r="I892" s="4">
        <v>0.98699999999999999</v>
      </c>
      <c r="J892" s="4">
        <v>0.98499999999999999</v>
      </c>
      <c r="K892" s="5">
        <v>0</v>
      </c>
      <c r="L892" s="5">
        <v>0</v>
      </c>
      <c r="M892" s="5">
        <v>100</v>
      </c>
      <c r="N892" s="5">
        <v>100</v>
      </c>
      <c r="O892" s="2">
        <v>1.6194882482876019</v>
      </c>
      <c r="P892" s="2">
        <v>1.7150256749966655</v>
      </c>
      <c r="Q892" s="2">
        <v>1.3085239548655481E-2</v>
      </c>
      <c r="R892" s="2">
        <v>1.5113637810048184E-2</v>
      </c>
    </row>
    <row r="893" spans="1:18" x14ac:dyDescent="0.3">
      <c r="A893" s="7">
        <v>245</v>
      </c>
      <c r="B893" s="7">
        <v>192</v>
      </c>
      <c r="C893" s="7">
        <v>0</v>
      </c>
      <c r="D893" s="7">
        <v>1</v>
      </c>
      <c r="E893" s="20" t="str">
        <f t="shared" si="13"/>
        <v>01</v>
      </c>
      <c r="F893" s="21">
        <v>0.56753180010818505</v>
      </c>
      <c r="G893" s="4">
        <v>0.91200000000000003</v>
      </c>
      <c r="H893" s="4">
        <v>0.90765765765765805</v>
      </c>
      <c r="I893" s="4">
        <v>0.98699999999999999</v>
      </c>
      <c r="J893" s="4">
        <v>0.98899999999999999</v>
      </c>
      <c r="K893" s="5">
        <v>100</v>
      </c>
      <c r="L893" s="5">
        <v>100</v>
      </c>
      <c r="M893" s="5">
        <v>100</v>
      </c>
      <c r="N893" s="5">
        <v>100</v>
      </c>
      <c r="O893" s="2">
        <v>9.2115288907805626E-2</v>
      </c>
      <c r="P893" s="2">
        <v>9.6888000485541345E-2</v>
      </c>
      <c r="Q893" s="2">
        <v>1.3085239548655481E-2</v>
      </c>
      <c r="R893" s="2">
        <v>1.1060947359424948E-2</v>
      </c>
    </row>
    <row r="894" spans="1:18" x14ac:dyDescent="0.3">
      <c r="A894" s="7">
        <v>947</v>
      </c>
      <c r="B894" s="7">
        <v>174</v>
      </c>
      <c r="C894" s="7">
        <v>0</v>
      </c>
      <c r="D894" s="7">
        <v>1</v>
      </c>
      <c r="E894" s="20" t="str">
        <f t="shared" si="13"/>
        <v>01</v>
      </c>
      <c r="F894" s="21">
        <v>0.57968003951378699</v>
      </c>
      <c r="G894" s="4">
        <v>0.21099999999999999</v>
      </c>
      <c r="H894" s="4">
        <v>0.17708333333333301</v>
      </c>
      <c r="I894" s="4">
        <v>0.98</v>
      </c>
      <c r="J894" s="4">
        <v>0.97499999999999998</v>
      </c>
      <c r="K894" s="5">
        <v>0</v>
      </c>
      <c r="L894" s="5">
        <v>0</v>
      </c>
      <c r="M894" s="5">
        <v>100</v>
      </c>
      <c r="N894" s="5">
        <v>100</v>
      </c>
      <c r="O894" s="2">
        <v>1.5558971455060706</v>
      </c>
      <c r="P894" s="2">
        <v>1.7311348474116219</v>
      </c>
      <c r="Q894" s="2">
        <v>2.0202707317519466E-2</v>
      </c>
      <c r="R894" s="2">
        <v>2.5317807984289897E-2</v>
      </c>
    </row>
    <row r="895" spans="1:18" x14ac:dyDescent="0.3">
      <c r="A895" s="7">
        <v>80</v>
      </c>
      <c r="B895" s="7">
        <v>172</v>
      </c>
      <c r="C895" s="7">
        <v>0</v>
      </c>
      <c r="D895" s="7">
        <v>1</v>
      </c>
      <c r="E895" s="20" t="str">
        <f t="shared" si="13"/>
        <v>01</v>
      </c>
      <c r="F895" s="21">
        <v>0.58288944089745498</v>
      </c>
      <c r="G895" s="4">
        <v>0.17599999999999999</v>
      </c>
      <c r="H895" s="4">
        <v>0.19028340080971701</v>
      </c>
      <c r="I895" s="4">
        <v>0.76500000000000001</v>
      </c>
      <c r="J895" s="4">
        <v>0.745</v>
      </c>
      <c r="K895" s="5">
        <v>0</v>
      </c>
      <c r="L895" s="5">
        <v>0</v>
      </c>
      <c r="M895" s="5">
        <v>100</v>
      </c>
      <c r="N895" s="5">
        <v>100</v>
      </c>
      <c r="O895" s="2">
        <v>1.7372712839439852</v>
      </c>
      <c r="P895" s="2">
        <v>1.6592407349179166</v>
      </c>
      <c r="Q895" s="2">
        <v>0.26787944515560119</v>
      </c>
      <c r="R895" s="2">
        <v>0.29437106060257756</v>
      </c>
    </row>
    <row r="896" spans="1:18" x14ac:dyDescent="0.3">
      <c r="A896" s="7">
        <v>905</v>
      </c>
      <c r="B896" s="7">
        <v>163</v>
      </c>
      <c r="C896" s="7">
        <v>0</v>
      </c>
      <c r="D896" s="7">
        <v>1</v>
      </c>
      <c r="E896" s="20" t="str">
        <f t="shared" si="13"/>
        <v>01</v>
      </c>
      <c r="F896" s="21">
        <v>0.590559904107402</v>
      </c>
      <c r="G896" s="4">
        <v>0.17299999999999999</v>
      </c>
      <c r="H896" s="4">
        <v>0.14170040485829999</v>
      </c>
      <c r="I896" s="4">
        <v>0.47799999999999998</v>
      </c>
      <c r="J896" s="4">
        <v>0.433</v>
      </c>
      <c r="K896" s="5">
        <v>0</v>
      </c>
      <c r="L896" s="5">
        <v>0</v>
      </c>
      <c r="M896" s="5">
        <v>0</v>
      </c>
      <c r="N896" s="5">
        <v>0</v>
      </c>
      <c r="O896" s="2">
        <v>1.7544636844843582</v>
      </c>
      <c r="P896" s="2">
        <v>1.9540402751385608</v>
      </c>
      <c r="Q896" s="2">
        <v>0.73814454649068106</v>
      </c>
      <c r="R896" s="2">
        <v>0.83701755097964725</v>
      </c>
    </row>
    <row r="897" spans="1:18" x14ac:dyDescent="0.3">
      <c r="A897" s="7">
        <v>125</v>
      </c>
      <c r="B897" s="7">
        <v>196</v>
      </c>
      <c r="C897" s="7">
        <v>0</v>
      </c>
      <c r="D897" s="7">
        <v>1</v>
      </c>
      <c r="E897" s="20" t="str">
        <f t="shared" si="13"/>
        <v>01</v>
      </c>
      <c r="F897" s="21">
        <v>0.59253306928122196</v>
      </c>
      <c r="G897" s="4">
        <v>0.81899999999999995</v>
      </c>
      <c r="H897" s="4">
        <v>0.80752212389380496</v>
      </c>
      <c r="I897" s="4">
        <v>0.97399999999999998</v>
      </c>
      <c r="J897" s="4">
        <v>0.97699999999999998</v>
      </c>
      <c r="K897" s="5">
        <v>100</v>
      </c>
      <c r="L897" s="5">
        <v>100</v>
      </c>
      <c r="M897" s="5">
        <v>100</v>
      </c>
      <c r="N897" s="5">
        <v>100</v>
      </c>
      <c r="O897" s="2">
        <v>0.1996711951290677</v>
      </c>
      <c r="P897" s="2">
        <v>0.21378482624974013</v>
      </c>
      <c r="Q897" s="2">
        <v>2.6343975339601977E-2</v>
      </c>
      <c r="R897" s="2">
        <v>2.3268626939354331E-2</v>
      </c>
    </row>
    <row r="898" spans="1:18" x14ac:dyDescent="0.3">
      <c r="A898" s="7">
        <v>458</v>
      </c>
      <c r="B898" s="7">
        <v>207</v>
      </c>
      <c r="C898" s="7">
        <v>0</v>
      </c>
      <c r="D898" s="7">
        <v>1</v>
      </c>
      <c r="E898" s="20" t="str">
        <f t="shared" ref="E898:E961" si="14">_xlfn.CONCAT(C898,D898)</f>
        <v>01</v>
      </c>
      <c r="F898" s="21">
        <v>0.59440200248668595</v>
      </c>
      <c r="G898" s="4">
        <v>0.20599999999999999</v>
      </c>
      <c r="H898" s="4">
        <v>0.168356997971602</v>
      </c>
      <c r="I898" s="4">
        <v>1.6E-2</v>
      </c>
      <c r="J898" s="4">
        <v>1.7000000000000001E-2</v>
      </c>
      <c r="K898" s="5">
        <v>0</v>
      </c>
      <c r="L898" s="5">
        <v>0</v>
      </c>
      <c r="M898" s="5">
        <v>0</v>
      </c>
      <c r="N898" s="5">
        <v>0</v>
      </c>
      <c r="O898" s="2">
        <v>1.579879110192556</v>
      </c>
      <c r="P898" s="2">
        <v>1.7816685662460947</v>
      </c>
      <c r="Q898" s="2">
        <v>4.1351665567423561</v>
      </c>
      <c r="R898" s="2">
        <v>4.0745419349259206</v>
      </c>
    </row>
    <row r="899" spans="1:18" x14ac:dyDescent="0.3">
      <c r="A899" s="7">
        <v>618</v>
      </c>
      <c r="B899" s="7">
        <v>171</v>
      </c>
      <c r="C899" s="7">
        <v>0</v>
      </c>
      <c r="D899" s="7">
        <v>1</v>
      </c>
      <c r="E899" s="20" t="str">
        <f t="shared" si="14"/>
        <v>01</v>
      </c>
      <c r="F899" s="21">
        <v>0.60031109989249898</v>
      </c>
      <c r="G899" s="4">
        <v>9.7000000000000003E-2</v>
      </c>
      <c r="H899" s="4">
        <v>8.5889570552147201E-2</v>
      </c>
      <c r="I899" s="4">
        <v>0.98099999999999998</v>
      </c>
      <c r="J899" s="4">
        <v>0.98099999999999998</v>
      </c>
      <c r="K899" s="5">
        <v>0</v>
      </c>
      <c r="L899" s="5">
        <v>0</v>
      </c>
      <c r="M899" s="5">
        <v>100</v>
      </c>
      <c r="N899" s="5">
        <v>100</v>
      </c>
      <c r="O899" s="2">
        <v>2.333044300478754</v>
      </c>
      <c r="P899" s="2">
        <v>2.4546928711915044</v>
      </c>
      <c r="Q899" s="2">
        <v>1.9182819416773987E-2</v>
      </c>
      <c r="R899" s="2">
        <v>1.9182819416773987E-2</v>
      </c>
    </row>
    <row r="900" spans="1:18" x14ac:dyDescent="0.3">
      <c r="A900" s="7">
        <v>710</v>
      </c>
      <c r="B900" s="7">
        <v>175</v>
      </c>
      <c r="C900" s="7">
        <v>0</v>
      </c>
      <c r="D900" s="7">
        <v>1</v>
      </c>
      <c r="E900" s="20" t="str">
        <f t="shared" si="14"/>
        <v>01</v>
      </c>
      <c r="F900" s="21">
        <v>0.62879308675995904</v>
      </c>
      <c r="G900" s="4">
        <v>0.19800000000000001</v>
      </c>
      <c r="H900" s="4">
        <v>0.16056910569105701</v>
      </c>
      <c r="I900" s="4">
        <v>0.997</v>
      </c>
      <c r="J900" s="4">
        <v>0.99399999999999999</v>
      </c>
      <c r="K900" s="5">
        <v>0</v>
      </c>
      <c r="L900" s="5">
        <v>0</v>
      </c>
      <c r="M900" s="5">
        <v>100</v>
      </c>
      <c r="N900" s="5">
        <v>100</v>
      </c>
      <c r="O900" s="2">
        <v>1.6194882482876019</v>
      </c>
      <c r="P900" s="2">
        <v>1.8290308640252859</v>
      </c>
      <c r="Q900" s="2">
        <v>3.0045090202987243E-3</v>
      </c>
      <c r="R900" s="2">
        <v>6.0180723255630212E-3</v>
      </c>
    </row>
    <row r="901" spans="1:18" x14ac:dyDescent="0.3">
      <c r="A901" s="7">
        <v>681</v>
      </c>
      <c r="B901" s="7">
        <v>176</v>
      </c>
      <c r="C901" s="7">
        <v>0</v>
      </c>
      <c r="D901" s="7">
        <v>1</v>
      </c>
      <c r="E901" s="20" t="str">
        <f t="shared" si="14"/>
        <v>01</v>
      </c>
      <c r="F901" s="21">
        <v>0.64285587734734995</v>
      </c>
      <c r="G901" s="4">
        <v>0.46400000000000002</v>
      </c>
      <c r="H901" s="4">
        <v>0.42348008385744201</v>
      </c>
      <c r="I901" s="4">
        <v>0.98599999999999999</v>
      </c>
      <c r="J901" s="4">
        <v>0.97599999999999998</v>
      </c>
      <c r="K901" s="5">
        <v>0</v>
      </c>
      <c r="L901" s="5">
        <v>0</v>
      </c>
      <c r="M901" s="5">
        <v>100</v>
      </c>
      <c r="N901" s="5">
        <v>100</v>
      </c>
      <c r="O901" s="2">
        <v>0.76787072675588175</v>
      </c>
      <c r="P901" s="2">
        <v>0.85924879348713723</v>
      </c>
      <c r="Q901" s="2">
        <v>1.4098924379501648E-2</v>
      </c>
      <c r="R901" s="2">
        <v>2.4292692569044587E-2</v>
      </c>
    </row>
    <row r="902" spans="1:18" x14ac:dyDescent="0.3">
      <c r="A902" s="7">
        <v>198</v>
      </c>
      <c r="B902" s="7">
        <v>168</v>
      </c>
      <c r="C902" s="7">
        <v>0</v>
      </c>
      <c r="D902" s="7">
        <v>1</v>
      </c>
      <c r="E902" s="20" t="str">
        <f t="shared" si="14"/>
        <v>01</v>
      </c>
      <c r="F902" s="21">
        <v>0.65566708954133901</v>
      </c>
      <c r="G902" s="4">
        <v>0.19500000000000001</v>
      </c>
      <c r="H902" s="4">
        <v>0.163179916317992</v>
      </c>
      <c r="I902" s="4">
        <v>0.88600000000000001</v>
      </c>
      <c r="J902" s="4">
        <v>0.86799999999999999</v>
      </c>
      <c r="K902" s="5">
        <v>0</v>
      </c>
      <c r="L902" s="5">
        <v>0</v>
      </c>
      <c r="M902" s="5">
        <v>100</v>
      </c>
      <c r="N902" s="5">
        <v>100</v>
      </c>
      <c r="O902" s="2">
        <v>1.6347557204183902</v>
      </c>
      <c r="P902" s="2">
        <v>1.8129019058018621</v>
      </c>
      <c r="Q902" s="2">
        <v>0.1210383283770561</v>
      </c>
      <c r="R902" s="2">
        <v>0.14156356432178688</v>
      </c>
    </row>
    <row r="903" spans="1:18" x14ac:dyDescent="0.3">
      <c r="A903" s="7">
        <v>982</v>
      </c>
      <c r="B903" s="7">
        <v>162</v>
      </c>
      <c r="C903" s="7">
        <v>0</v>
      </c>
      <c r="D903" s="7">
        <v>1</v>
      </c>
      <c r="E903" s="20" t="str">
        <f t="shared" si="14"/>
        <v>01</v>
      </c>
      <c r="F903" s="21">
        <v>0.66239404841537797</v>
      </c>
      <c r="G903" s="4">
        <v>0.16600000000000001</v>
      </c>
      <c r="H903" s="4">
        <v>0.15030060120240499</v>
      </c>
      <c r="I903" s="4">
        <v>0.97699999999999998</v>
      </c>
      <c r="J903" s="4">
        <v>0.96799999999999997</v>
      </c>
      <c r="K903" s="5">
        <v>0</v>
      </c>
      <c r="L903" s="5">
        <v>0</v>
      </c>
      <c r="M903" s="5">
        <v>100</v>
      </c>
      <c r="N903" s="5">
        <v>100</v>
      </c>
      <c r="O903" s="2">
        <v>1.7957674906255938</v>
      </c>
      <c r="P903" s="2">
        <v>1.8951179822152071</v>
      </c>
      <c r="Q903" s="2">
        <v>2.3268626939354331E-2</v>
      </c>
      <c r="R903" s="2">
        <v>3.2523191705560062E-2</v>
      </c>
    </row>
    <row r="904" spans="1:18" x14ac:dyDescent="0.3">
      <c r="A904" s="7">
        <v>107</v>
      </c>
      <c r="B904" s="7">
        <v>205</v>
      </c>
      <c r="C904" s="7">
        <v>0</v>
      </c>
      <c r="D904" s="7">
        <v>1</v>
      </c>
      <c r="E904" s="20" t="str">
        <f t="shared" si="14"/>
        <v>01</v>
      </c>
      <c r="F904" s="21">
        <v>0.66478986073364899</v>
      </c>
      <c r="G904" s="4">
        <v>0.125</v>
      </c>
      <c r="H904" s="4">
        <v>0.117886178861789</v>
      </c>
      <c r="I904" s="4">
        <v>0.998</v>
      </c>
      <c r="J904" s="4">
        <v>0.98899999999999999</v>
      </c>
      <c r="K904" s="5">
        <v>0</v>
      </c>
      <c r="L904" s="5">
        <v>0</v>
      </c>
      <c r="M904" s="5">
        <v>100</v>
      </c>
      <c r="N904" s="5">
        <v>100</v>
      </c>
      <c r="O904" s="2">
        <v>2.0794415416798357</v>
      </c>
      <c r="P904" s="2">
        <v>2.1380357059458857</v>
      </c>
      <c r="Q904" s="2">
        <v>2.0020026706730793E-3</v>
      </c>
      <c r="R904" s="2">
        <v>1.1060947359424948E-2</v>
      </c>
    </row>
    <row r="905" spans="1:18" x14ac:dyDescent="0.3">
      <c r="A905" s="7">
        <v>327</v>
      </c>
      <c r="B905" s="7">
        <v>135</v>
      </c>
      <c r="C905" s="7">
        <v>0</v>
      </c>
      <c r="D905" s="7">
        <v>1</v>
      </c>
      <c r="E905" s="20" t="str">
        <f t="shared" si="14"/>
        <v>01</v>
      </c>
      <c r="F905" s="21">
        <v>0.74048657813137198</v>
      </c>
      <c r="G905" s="4">
        <v>0.19500000000000001</v>
      </c>
      <c r="H905" s="4">
        <v>0.17241379310344801</v>
      </c>
      <c r="I905" s="4">
        <v>0.96699999999999997</v>
      </c>
      <c r="J905" s="4">
        <v>0.96799999999999997</v>
      </c>
      <c r="K905" s="5">
        <v>0</v>
      </c>
      <c r="L905" s="5">
        <v>0</v>
      </c>
      <c r="M905" s="5">
        <v>100</v>
      </c>
      <c r="N905" s="5">
        <v>100</v>
      </c>
      <c r="O905" s="2">
        <v>1.6347557204183902</v>
      </c>
      <c r="P905" s="2">
        <v>1.7578579175523752</v>
      </c>
      <c r="Q905" s="2">
        <v>3.3556783528842754E-2</v>
      </c>
      <c r="R905" s="2">
        <v>3.2523191705560062E-2</v>
      </c>
    </row>
    <row r="906" spans="1:18" x14ac:dyDescent="0.3">
      <c r="A906" s="7">
        <v>951</v>
      </c>
      <c r="B906" s="7">
        <v>130</v>
      </c>
      <c r="C906" s="7">
        <v>0</v>
      </c>
      <c r="D906" s="7">
        <v>1</v>
      </c>
      <c r="E906" s="20" t="str">
        <f t="shared" si="14"/>
        <v>01</v>
      </c>
      <c r="F906" s="21">
        <v>0.74694435604259102</v>
      </c>
      <c r="G906" s="4">
        <v>0.129</v>
      </c>
      <c r="H906" s="4">
        <v>0.125252525252525</v>
      </c>
      <c r="I906" s="4">
        <v>0.54600000000000004</v>
      </c>
      <c r="J906" s="4">
        <v>0.53</v>
      </c>
      <c r="K906" s="5">
        <v>0</v>
      </c>
      <c r="L906" s="5">
        <v>0</v>
      </c>
      <c r="M906" s="5">
        <v>100</v>
      </c>
      <c r="N906" s="5">
        <v>100</v>
      </c>
      <c r="O906" s="2">
        <v>2.0479428746204649</v>
      </c>
      <c r="P906" s="2">
        <v>2.0774233775236008</v>
      </c>
      <c r="Q906" s="2">
        <v>0.60513630323723189</v>
      </c>
      <c r="R906" s="2">
        <v>0.6348782724359695</v>
      </c>
    </row>
    <row r="907" spans="1:18" x14ac:dyDescent="0.3">
      <c r="A907" s="7">
        <v>149</v>
      </c>
      <c r="B907" s="7">
        <v>205</v>
      </c>
      <c r="C907" s="7">
        <v>0</v>
      </c>
      <c r="D907" s="7">
        <v>1</v>
      </c>
      <c r="E907" s="20" t="str">
        <f t="shared" si="14"/>
        <v>01</v>
      </c>
      <c r="F907" s="21">
        <v>0.785733456967036</v>
      </c>
      <c r="G907" s="4">
        <v>0.21099999999999999</v>
      </c>
      <c r="H907" s="4">
        <v>0.20556745182012801</v>
      </c>
      <c r="I907" s="4">
        <v>0.97599999999999998</v>
      </c>
      <c r="J907" s="4">
        <v>0.96599999999999997</v>
      </c>
      <c r="K907" s="5">
        <v>0</v>
      </c>
      <c r="L907" s="5">
        <v>0</v>
      </c>
      <c r="M907" s="5">
        <v>100</v>
      </c>
      <c r="N907" s="5">
        <v>100</v>
      </c>
      <c r="O907" s="2">
        <v>1.5558971455060706</v>
      </c>
      <c r="P907" s="2">
        <v>1.5819810662010634</v>
      </c>
      <c r="Q907" s="2">
        <v>2.4292692569044587E-2</v>
      </c>
      <c r="R907" s="2">
        <v>3.459144476961909E-2</v>
      </c>
    </row>
    <row r="908" spans="1:18" x14ac:dyDescent="0.3">
      <c r="A908" s="7">
        <v>338</v>
      </c>
      <c r="B908" s="7">
        <v>133</v>
      </c>
      <c r="C908" s="7">
        <v>0</v>
      </c>
      <c r="D908" s="7">
        <v>1</v>
      </c>
      <c r="E908" s="20" t="str">
        <f t="shared" si="14"/>
        <v>01</v>
      </c>
      <c r="F908" s="21">
        <v>0.78837701154850004</v>
      </c>
      <c r="G908" s="4">
        <v>0.36099999999999999</v>
      </c>
      <c r="H908" s="4">
        <v>0.34285714285714303</v>
      </c>
      <c r="I908" s="4">
        <v>0.96499999999999997</v>
      </c>
      <c r="J908" s="4">
        <v>0.97</v>
      </c>
      <c r="K908" s="5">
        <v>0</v>
      </c>
      <c r="L908" s="5">
        <v>0</v>
      </c>
      <c r="M908" s="5">
        <v>100</v>
      </c>
      <c r="N908" s="5">
        <v>100</v>
      </c>
      <c r="O908" s="2">
        <v>1.0188773206492561</v>
      </c>
      <c r="P908" s="2">
        <v>1.0704414117014129</v>
      </c>
      <c r="Q908" s="2">
        <v>3.562717764315116E-2</v>
      </c>
      <c r="R908" s="2">
        <v>3.0459207484708574E-2</v>
      </c>
    </row>
    <row r="909" spans="1:18" x14ac:dyDescent="0.3">
      <c r="A909" s="7">
        <v>323</v>
      </c>
      <c r="B909" s="7">
        <v>122</v>
      </c>
      <c r="C909" s="7">
        <v>0</v>
      </c>
      <c r="D909" s="7">
        <v>1</v>
      </c>
      <c r="E909" s="20" t="str">
        <f t="shared" si="14"/>
        <v>01</v>
      </c>
      <c r="F909" s="21">
        <v>0.79360674812832499</v>
      </c>
      <c r="G909" s="4">
        <v>0.94399999999999995</v>
      </c>
      <c r="H909" s="4">
        <v>0.94247787610619504</v>
      </c>
      <c r="I909" s="4">
        <v>0.98199999999999998</v>
      </c>
      <c r="J909" s="4">
        <v>0.97799999999999998</v>
      </c>
      <c r="K909" s="5">
        <v>100</v>
      </c>
      <c r="L909" s="5">
        <v>100</v>
      </c>
      <c r="M909" s="5">
        <v>100</v>
      </c>
      <c r="N909" s="5">
        <v>100</v>
      </c>
      <c r="O909" s="2">
        <v>5.7629112836636416E-2</v>
      </c>
      <c r="P909" s="2">
        <v>5.9242833562860392E-2</v>
      </c>
      <c r="Q909" s="2">
        <v>1.816397062767118E-2</v>
      </c>
      <c r="R909" s="2">
        <v>2.2245608947319737E-2</v>
      </c>
    </row>
    <row r="910" spans="1:18" x14ac:dyDescent="0.3">
      <c r="A910" s="7">
        <v>876</v>
      </c>
      <c r="B910" s="7">
        <v>139</v>
      </c>
      <c r="C910" s="7">
        <v>0</v>
      </c>
      <c r="D910" s="7">
        <v>1</v>
      </c>
      <c r="E910" s="20" t="str">
        <f t="shared" si="14"/>
        <v>01</v>
      </c>
      <c r="F910" s="21">
        <v>0.79640570643687303</v>
      </c>
      <c r="G910" s="4">
        <v>0.45900000000000002</v>
      </c>
      <c r="H910" s="4">
        <v>0.42975206611570199</v>
      </c>
      <c r="I910" s="4">
        <v>0.98299999999999998</v>
      </c>
      <c r="J910" s="4">
        <v>0.97399999999999998</v>
      </c>
      <c r="K910" s="5">
        <v>0</v>
      </c>
      <c r="L910" s="5">
        <v>0</v>
      </c>
      <c r="M910" s="5">
        <v>100</v>
      </c>
      <c r="N910" s="5">
        <v>100</v>
      </c>
      <c r="O910" s="2">
        <v>0.77870506892159186</v>
      </c>
      <c r="P910" s="2">
        <v>0.84454682701531492</v>
      </c>
      <c r="Q910" s="2">
        <v>1.7146158834970514E-2</v>
      </c>
      <c r="R910" s="2">
        <v>2.6343975339601977E-2</v>
      </c>
    </row>
    <row r="911" spans="1:18" x14ac:dyDescent="0.3">
      <c r="A911" s="7">
        <v>797</v>
      </c>
      <c r="B911" s="7">
        <v>360</v>
      </c>
      <c r="C911" s="7">
        <v>0</v>
      </c>
      <c r="D911" s="7">
        <v>1</v>
      </c>
      <c r="E911" s="20" t="str">
        <f t="shared" si="14"/>
        <v>01</v>
      </c>
      <c r="F911" s="21">
        <v>0.80239908020040995</v>
      </c>
      <c r="G911" s="4">
        <v>0.433</v>
      </c>
      <c r="H911" s="4">
        <v>0.37417943107221002</v>
      </c>
      <c r="I911" s="4">
        <v>0.98699999999999999</v>
      </c>
      <c r="J911" s="4">
        <v>0.97099999999999997</v>
      </c>
      <c r="K911" s="5">
        <v>0</v>
      </c>
      <c r="L911" s="5">
        <v>0</v>
      </c>
      <c r="M911" s="5">
        <v>100</v>
      </c>
      <c r="N911" s="5">
        <v>100</v>
      </c>
      <c r="O911" s="2">
        <v>0.83701755097964725</v>
      </c>
      <c r="P911" s="2">
        <v>0.98301983439154494</v>
      </c>
      <c r="Q911" s="2">
        <v>1.3085239548655481E-2</v>
      </c>
      <c r="R911" s="2">
        <v>2.9428810690812168E-2</v>
      </c>
    </row>
    <row r="912" spans="1:18" x14ac:dyDescent="0.3">
      <c r="A912" s="7">
        <v>247</v>
      </c>
      <c r="B912" s="7">
        <v>114</v>
      </c>
      <c r="C912" s="7">
        <v>0</v>
      </c>
      <c r="D912" s="7">
        <v>1</v>
      </c>
      <c r="E912" s="20" t="str">
        <f t="shared" si="14"/>
        <v>01</v>
      </c>
      <c r="F912" s="21">
        <v>0.82717208947527798</v>
      </c>
      <c r="G912" s="4">
        <v>0.375</v>
      </c>
      <c r="H912" s="4">
        <v>0.338983050847458</v>
      </c>
      <c r="I912" s="4">
        <v>0.97599999999999998</v>
      </c>
      <c r="J912" s="4">
        <v>0.98099999999999998</v>
      </c>
      <c r="K912" s="5">
        <v>0</v>
      </c>
      <c r="L912" s="5">
        <v>0</v>
      </c>
      <c r="M912" s="5">
        <v>100</v>
      </c>
      <c r="N912" s="5">
        <v>100</v>
      </c>
      <c r="O912" s="2">
        <v>0.98082925301172619</v>
      </c>
      <c r="P912" s="2">
        <v>1.0818051703517273</v>
      </c>
      <c r="Q912" s="2">
        <v>2.4292692569044587E-2</v>
      </c>
      <c r="R912" s="2">
        <v>1.9182819416773987E-2</v>
      </c>
    </row>
    <row r="913" spans="1:18" x14ac:dyDescent="0.3">
      <c r="A913" s="7">
        <v>316</v>
      </c>
      <c r="B913" s="7">
        <v>147</v>
      </c>
      <c r="C913" s="7">
        <v>0</v>
      </c>
      <c r="D913" s="7">
        <v>1</v>
      </c>
      <c r="E913" s="20" t="str">
        <f t="shared" si="14"/>
        <v>01</v>
      </c>
      <c r="F913" s="21">
        <v>0.82797235380022305</v>
      </c>
      <c r="G913" s="4">
        <v>0.47499999999999998</v>
      </c>
      <c r="H913" s="4">
        <v>0.46666666666666701</v>
      </c>
      <c r="I913" s="4">
        <v>0.98199999999999998</v>
      </c>
      <c r="J913" s="4">
        <v>0.97199999999999998</v>
      </c>
      <c r="K913" s="5">
        <v>0</v>
      </c>
      <c r="L913" s="5">
        <v>0</v>
      </c>
      <c r="M913" s="5">
        <v>100</v>
      </c>
      <c r="N913" s="5">
        <v>100</v>
      </c>
      <c r="O913" s="2">
        <v>0.74444047494749588</v>
      </c>
      <c r="P913" s="2">
        <v>0.76214005204689605</v>
      </c>
      <c r="Q913" s="2">
        <v>1.816397062767118E-2</v>
      </c>
      <c r="R913" s="2">
        <v>2.8399474521698002E-2</v>
      </c>
    </row>
    <row r="914" spans="1:18" x14ac:dyDescent="0.3">
      <c r="A914" s="7">
        <v>890</v>
      </c>
      <c r="B914" s="7">
        <v>110</v>
      </c>
      <c r="C914" s="7">
        <v>0</v>
      </c>
      <c r="D914" s="7">
        <v>1</v>
      </c>
      <c r="E914" s="20" t="str">
        <f t="shared" si="14"/>
        <v>01</v>
      </c>
      <c r="F914" s="21">
        <v>0.82995942346963902</v>
      </c>
      <c r="G914" s="4">
        <v>0.27900000000000003</v>
      </c>
      <c r="H914" s="4">
        <v>0.204301075268817</v>
      </c>
      <c r="I914" s="4">
        <v>0.96599999999999997</v>
      </c>
      <c r="J914" s="4">
        <v>0.96799999999999997</v>
      </c>
      <c r="K914" s="5">
        <v>0</v>
      </c>
      <c r="L914" s="5">
        <v>0</v>
      </c>
      <c r="M914" s="5">
        <v>100</v>
      </c>
      <c r="N914" s="5">
        <v>100</v>
      </c>
      <c r="O914" s="2">
        <v>1.2765434971607714</v>
      </c>
      <c r="P914" s="2">
        <v>1.5881605139868165</v>
      </c>
      <c r="Q914" s="2">
        <v>3.459144476961909E-2</v>
      </c>
      <c r="R914" s="2">
        <v>3.2523191705560062E-2</v>
      </c>
    </row>
    <row r="915" spans="1:18" x14ac:dyDescent="0.3">
      <c r="A915" s="7">
        <v>870</v>
      </c>
      <c r="B915" s="7">
        <v>110</v>
      </c>
      <c r="C915" s="7">
        <v>0</v>
      </c>
      <c r="D915" s="7">
        <v>1</v>
      </c>
      <c r="E915" s="20" t="str">
        <f t="shared" si="14"/>
        <v>01</v>
      </c>
      <c r="F915" s="21">
        <v>0.83758075546384403</v>
      </c>
      <c r="G915" s="4">
        <v>0.17199999999999999</v>
      </c>
      <c r="H915" s="4">
        <v>0.17871485943775101</v>
      </c>
      <c r="I915" s="4">
        <v>0.98099999999999998</v>
      </c>
      <c r="J915" s="4">
        <v>0.98699999999999999</v>
      </c>
      <c r="K915" s="5">
        <v>0</v>
      </c>
      <c r="L915" s="5">
        <v>0</v>
      </c>
      <c r="M915" s="5">
        <v>100</v>
      </c>
      <c r="N915" s="5">
        <v>100</v>
      </c>
      <c r="O915" s="2">
        <v>1.7602608021686841</v>
      </c>
      <c r="P915" s="2">
        <v>1.7219637072925131</v>
      </c>
      <c r="Q915" s="2">
        <v>1.9182819416773987E-2</v>
      </c>
      <c r="R915" s="2">
        <v>1.3085239548655481E-2</v>
      </c>
    </row>
    <row r="916" spans="1:18" x14ac:dyDescent="0.3">
      <c r="A916" s="7">
        <v>347</v>
      </c>
      <c r="B916" s="7">
        <v>120</v>
      </c>
      <c r="C916" s="7">
        <v>0</v>
      </c>
      <c r="D916" s="7">
        <v>1</v>
      </c>
      <c r="E916" s="20" t="str">
        <f t="shared" si="14"/>
        <v>01</v>
      </c>
      <c r="F916" s="21">
        <v>0.85768299340513898</v>
      </c>
      <c r="G916" s="4">
        <v>0.318</v>
      </c>
      <c r="H916" s="4">
        <v>0.30522088353413701</v>
      </c>
      <c r="I916" s="4">
        <v>0.95499999999999996</v>
      </c>
      <c r="J916" s="4">
        <v>0.95499999999999996</v>
      </c>
      <c r="K916" s="5">
        <v>0</v>
      </c>
      <c r="L916" s="5">
        <v>0</v>
      </c>
      <c r="M916" s="5">
        <v>100</v>
      </c>
      <c r="N916" s="5">
        <v>100</v>
      </c>
      <c r="O916" s="2">
        <v>1.1457038962019601</v>
      </c>
      <c r="P916" s="2">
        <v>1.186719556178375</v>
      </c>
      <c r="Q916" s="2">
        <v>4.6043938501406846E-2</v>
      </c>
      <c r="R916" s="2">
        <v>4.6043938501406846E-2</v>
      </c>
    </row>
    <row r="917" spans="1:18" x14ac:dyDescent="0.3">
      <c r="A917" s="7">
        <v>67</v>
      </c>
      <c r="B917" s="7">
        <v>129</v>
      </c>
      <c r="C917" s="7">
        <v>0</v>
      </c>
      <c r="D917" s="7">
        <v>1</v>
      </c>
      <c r="E917" s="20" t="str">
        <f t="shared" si="14"/>
        <v>01</v>
      </c>
      <c r="F917" s="21">
        <v>0.92536300135593397</v>
      </c>
      <c r="G917" s="4">
        <v>0.64900000000000002</v>
      </c>
      <c r="H917" s="4">
        <v>0.64146868250540001</v>
      </c>
      <c r="I917" s="4">
        <v>4.7E-2</v>
      </c>
      <c r="J917" s="4">
        <v>0.05</v>
      </c>
      <c r="K917" s="5">
        <v>100</v>
      </c>
      <c r="L917" s="5">
        <v>100</v>
      </c>
      <c r="M917" s="5">
        <v>0</v>
      </c>
      <c r="N917" s="5">
        <v>0</v>
      </c>
      <c r="O917" s="2">
        <v>0.43232256227804705</v>
      </c>
      <c r="P917" s="2">
        <v>0.44399491528353374</v>
      </c>
      <c r="Q917" s="2">
        <v>3.0576076772720784</v>
      </c>
      <c r="R917" s="2">
        <v>2.9957322735539909</v>
      </c>
    </row>
    <row r="918" spans="1:18" x14ac:dyDescent="0.3">
      <c r="A918" s="7">
        <v>918</v>
      </c>
      <c r="B918" s="7">
        <v>94</v>
      </c>
      <c r="C918" s="7">
        <v>0</v>
      </c>
      <c r="D918" s="7">
        <v>1</v>
      </c>
      <c r="E918" s="20" t="str">
        <f t="shared" si="14"/>
        <v>01</v>
      </c>
      <c r="F918" s="21">
        <v>0.96246525160149998</v>
      </c>
      <c r="G918" s="4">
        <v>0.23799999999999999</v>
      </c>
      <c r="H918" s="4">
        <v>0.21308016877637101</v>
      </c>
      <c r="I918" s="4">
        <v>0.93799999999999994</v>
      </c>
      <c r="J918" s="4">
        <v>0.91800000000000004</v>
      </c>
      <c r="K918" s="5">
        <v>0</v>
      </c>
      <c r="L918" s="5">
        <v>0</v>
      </c>
      <c r="M918" s="5">
        <v>100</v>
      </c>
      <c r="N918" s="5">
        <v>100</v>
      </c>
      <c r="O918" s="2">
        <v>1.4354846053106625</v>
      </c>
      <c r="P918" s="2">
        <v>1.5460868048538186</v>
      </c>
      <c r="Q918" s="2">
        <v>6.4005329975912434E-2</v>
      </c>
      <c r="R918" s="2">
        <v>8.5557888361646545E-2</v>
      </c>
    </row>
    <row r="919" spans="1:18" x14ac:dyDescent="0.3">
      <c r="A919" s="7">
        <v>289</v>
      </c>
      <c r="B919" s="7">
        <v>97</v>
      </c>
      <c r="C919" s="7">
        <v>0</v>
      </c>
      <c r="D919" s="7">
        <v>1</v>
      </c>
      <c r="E919" s="20" t="str">
        <f t="shared" si="14"/>
        <v>01</v>
      </c>
      <c r="F919" s="21">
        <v>0.962587065258379</v>
      </c>
      <c r="G919" s="4">
        <v>0.187</v>
      </c>
      <c r="H919" s="4">
        <v>0.15082644628099201</v>
      </c>
      <c r="I919" s="4">
        <v>0.97399999999999998</v>
      </c>
      <c r="J919" s="4">
        <v>0.96399999999999997</v>
      </c>
      <c r="K919" s="5">
        <v>0</v>
      </c>
      <c r="L919" s="5">
        <v>0</v>
      </c>
      <c r="M919" s="5">
        <v>100</v>
      </c>
      <c r="N919" s="5">
        <v>100</v>
      </c>
      <c r="O919" s="2">
        <v>1.6766466621275504</v>
      </c>
      <c r="P919" s="2">
        <v>1.8916254655682387</v>
      </c>
      <c r="Q919" s="2">
        <v>2.6343975339601977E-2</v>
      </c>
      <c r="R919" s="2">
        <v>3.666398437159147E-2</v>
      </c>
    </row>
    <row r="920" spans="1:18" x14ac:dyDescent="0.3">
      <c r="A920" s="7">
        <v>594</v>
      </c>
      <c r="B920" s="7">
        <v>129</v>
      </c>
      <c r="C920" s="7">
        <v>0</v>
      </c>
      <c r="D920" s="7">
        <v>1</v>
      </c>
      <c r="E920" s="20" t="str">
        <f t="shared" si="14"/>
        <v>01</v>
      </c>
      <c r="F920" s="21">
        <v>0.99455167736399097</v>
      </c>
      <c r="G920" s="4">
        <v>0.53200000000000003</v>
      </c>
      <c r="H920" s="4">
        <v>0.47297297297297303</v>
      </c>
      <c r="I920" s="4">
        <v>0.97599999999999998</v>
      </c>
      <c r="J920" s="4">
        <v>0.95499999999999996</v>
      </c>
      <c r="K920" s="5">
        <v>100</v>
      </c>
      <c r="L920" s="5">
        <v>0</v>
      </c>
      <c r="M920" s="5">
        <v>100</v>
      </c>
      <c r="N920" s="5">
        <v>100</v>
      </c>
      <c r="O920" s="2">
        <v>0.63111178964049264</v>
      </c>
      <c r="P920" s="2">
        <v>0.74871703171475601</v>
      </c>
      <c r="Q920" s="2">
        <v>2.4292692569044587E-2</v>
      </c>
      <c r="R920" s="2">
        <v>4.6043938501406846E-2</v>
      </c>
    </row>
    <row r="921" spans="1:18" x14ac:dyDescent="0.3">
      <c r="A921" s="7">
        <v>360</v>
      </c>
      <c r="B921" s="7">
        <v>100</v>
      </c>
      <c r="C921" s="7">
        <v>0</v>
      </c>
      <c r="D921" s="7">
        <v>1</v>
      </c>
      <c r="E921" s="20" t="str">
        <f t="shared" si="14"/>
        <v>01</v>
      </c>
      <c r="F921" s="21">
        <v>1.0168311365732701</v>
      </c>
      <c r="G921" s="4">
        <v>0.253</v>
      </c>
      <c r="H921" s="4">
        <v>0.23742454728370199</v>
      </c>
      <c r="I921" s="4">
        <v>0.98</v>
      </c>
      <c r="J921" s="4">
        <v>0.97199999999999998</v>
      </c>
      <c r="K921" s="5">
        <v>0</v>
      </c>
      <c r="L921" s="5">
        <v>0</v>
      </c>
      <c r="M921" s="5">
        <v>100</v>
      </c>
      <c r="N921" s="5">
        <v>100</v>
      </c>
      <c r="O921" s="2">
        <v>1.3743657902546169</v>
      </c>
      <c r="P921" s="2">
        <v>1.4379054016309649</v>
      </c>
      <c r="Q921" s="2">
        <v>2.0202707317519466E-2</v>
      </c>
      <c r="R921" s="2">
        <v>2.8399474521698002E-2</v>
      </c>
    </row>
    <row r="922" spans="1:18" x14ac:dyDescent="0.3">
      <c r="A922" s="7">
        <v>337</v>
      </c>
      <c r="B922" s="7">
        <v>84</v>
      </c>
      <c r="C922" s="7">
        <v>0</v>
      </c>
      <c r="D922" s="7">
        <v>1</v>
      </c>
      <c r="E922" s="20" t="str">
        <f t="shared" si="14"/>
        <v>01</v>
      </c>
      <c r="F922" s="21">
        <v>1.0328597106681801</v>
      </c>
      <c r="G922" s="4">
        <v>0.35099999999999998</v>
      </c>
      <c r="H922" s="4">
        <v>0.37199124726477001</v>
      </c>
      <c r="I922" s="4">
        <v>0.98099999999999998</v>
      </c>
      <c r="J922" s="4">
        <v>0.96499999999999997</v>
      </c>
      <c r="K922" s="5">
        <v>0</v>
      </c>
      <c r="L922" s="5">
        <v>0</v>
      </c>
      <c r="M922" s="5">
        <v>100</v>
      </c>
      <c r="N922" s="5">
        <v>100</v>
      </c>
      <c r="O922" s="2">
        <v>1.0469690555162714</v>
      </c>
      <c r="P922" s="2">
        <v>0.98888495384394359</v>
      </c>
      <c r="Q922" s="2">
        <v>1.9182819416773987E-2</v>
      </c>
      <c r="R922" s="2">
        <v>3.562717764315116E-2</v>
      </c>
    </row>
    <row r="923" spans="1:18" x14ac:dyDescent="0.3">
      <c r="A923" s="7">
        <v>792</v>
      </c>
      <c r="B923" s="7">
        <v>96</v>
      </c>
      <c r="C923" s="7">
        <v>0</v>
      </c>
      <c r="D923" s="7">
        <v>1</v>
      </c>
      <c r="E923" s="20" t="str">
        <f t="shared" si="14"/>
        <v>01</v>
      </c>
      <c r="F923" s="21">
        <v>1.0358610612430399</v>
      </c>
      <c r="G923" s="4">
        <v>0.38400000000000001</v>
      </c>
      <c r="H923" s="4">
        <v>0.32688172043010799</v>
      </c>
      <c r="I923" s="4">
        <v>0.92900000000000005</v>
      </c>
      <c r="J923" s="4">
        <v>0.92400000000000004</v>
      </c>
      <c r="K923" s="5">
        <v>0</v>
      </c>
      <c r="L923" s="5">
        <v>0</v>
      </c>
      <c r="M923" s="5">
        <v>100</v>
      </c>
      <c r="N923" s="5">
        <v>100</v>
      </c>
      <c r="O923" s="2">
        <v>0.95711272639441014</v>
      </c>
      <c r="P923" s="2">
        <v>1.1181568847410785</v>
      </c>
      <c r="Q923" s="2">
        <v>7.3646540168298483E-2</v>
      </c>
      <c r="R923" s="2">
        <v>7.9043207340452851E-2</v>
      </c>
    </row>
    <row r="924" spans="1:18" x14ac:dyDescent="0.3">
      <c r="A924" s="7">
        <v>62</v>
      </c>
      <c r="B924" s="7">
        <v>327</v>
      </c>
      <c r="C924" s="7">
        <v>0</v>
      </c>
      <c r="D924" s="7">
        <v>1</v>
      </c>
      <c r="E924" s="20" t="str">
        <f t="shared" si="14"/>
        <v>01</v>
      </c>
      <c r="F924" s="21">
        <v>1.0449531396318801</v>
      </c>
      <c r="G924" s="4">
        <v>0.122</v>
      </c>
      <c r="H924" s="4">
        <v>0.106425702811245</v>
      </c>
      <c r="I924" s="4">
        <v>0.97899999999999998</v>
      </c>
      <c r="J924" s="4">
        <v>0.98199999999999998</v>
      </c>
      <c r="K924" s="5">
        <v>0</v>
      </c>
      <c r="L924" s="5">
        <v>0</v>
      </c>
      <c r="M924" s="5">
        <v>100</v>
      </c>
      <c r="N924" s="5">
        <v>100</v>
      </c>
      <c r="O924" s="2">
        <v>2.1037342342488805</v>
      </c>
      <c r="P924" s="2">
        <v>2.2403081634725308</v>
      </c>
      <c r="Q924" s="2">
        <v>2.1223636451626688E-2</v>
      </c>
      <c r="R924" s="2">
        <v>1.816397062767118E-2</v>
      </c>
    </row>
    <row r="925" spans="1:18" x14ac:dyDescent="0.3">
      <c r="A925" s="7">
        <v>575</v>
      </c>
      <c r="B925" s="7">
        <v>70</v>
      </c>
      <c r="C925" s="7">
        <v>0</v>
      </c>
      <c r="D925" s="7">
        <v>1</v>
      </c>
      <c r="E925" s="20" t="str">
        <f t="shared" si="14"/>
        <v>01</v>
      </c>
      <c r="F925" s="21">
        <v>1.05120427290718</v>
      </c>
      <c r="G925" s="4">
        <v>0.38300000000000001</v>
      </c>
      <c r="H925" s="4">
        <v>0.34453781512604997</v>
      </c>
      <c r="I925" s="4">
        <v>0.96799999999999997</v>
      </c>
      <c r="J925" s="4">
        <v>0.96399999999999997</v>
      </c>
      <c r="K925" s="5">
        <v>0</v>
      </c>
      <c r="L925" s="5">
        <v>0</v>
      </c>
      <c r="M925" s="5">
        <v>100</v>
      </c>
      <c r="N925" s="5">
        <v>100</v>
      </c>
      <c r="O925" s="2">
        <v>0.95972028980149104</v>
      </c>
      <c r="P925" s="2">
        <v>1.0655514264072228</v>
      </c>
      <c r="Q925" s="2">
        <v>3.2523191705560062E-2</v>
      </c>
      <c r="R925" s="2">
        <v>3.666398437159147E-2</v>
      </c>
    </row>
    <row r="926" spans="1:18" x14ac:dyDescent="0.3">
      <c r="A926" s="7">
        <v>346</v>
      </c>
      <c r="B926" s="7">
        <v>79</v>
      </c>
      <c r="C926" s="7">
        <v>0</v>
      </c>
      <c r="D926" s="7">
        <v>1</v>
      </c>
      <c r="E926" s="20" t="str">
        <f t="shared" si="14"/>
        <v>01</v>
      </c>
      <c r="F926" s="21">
        <v>1.0513610688082899</v>
      </c>
      <c r="G926" s="4">
        <v>0.372</v>
      </c>
      <c r="H926" s="4">
        <v>0.35010482180293501</v>
      </c>
      <c r="I926" s="4">
        <v>0.97899999999999998</v>
      </c>
      <c r="J926" s="4">
        <v>0.97299999999999998</v>
      </c>
      <c r="K926" s="5">
        <v>0</v>
      </c>
      <c r="L926" s="5">
        <v>0</v>
      </c>
      <c r="M926" s="5">
        <v>100</v>
      </c>
      <c r="N926" s="5">
        <v>100</v>
      </c>
      <c r="O926" s="2">
        <v>0.98886142470899052</v>
      </c>
      <c r="P926" s="2">
        <v>1.0495226784715861</v>
      </c>
      <c r="Q926" s="2">
        <v>2.1223636451626688E-2</v>
      </c>
      <c r="R926" s="2">
        <v>2.7371196796132015E-2</v>
      </c>
    </row>
    <row r="927" spans="1:18" x14ac:dyDescent="0.3">
      <c r="A927" s="7">
        <v>303</v>
      </c>
      <c r="B927" s="7">
        <v>73</v>
      </c>
      <c r="C927" s="7">
        <v>0</v>
      </c>
      <c r="D927" s="7">
        <v>1</v>
      </c>
      <c r="E927" s="20" t="str">
        <f t="shared" si="14"/>
        <v>01</v>
      </c>
      <c r="F927" s="21">
        <v>1.0552232146331599</v>
      </c>
      <c r="G927" s="4">
        <v>0.45800000000000002</v>
      </c>
      <c r="H927" s="4">
        <v>0.352668213457077</v>
      </c>
      <c r="I927" s="4">
        <v>0.99</v>
      </c>
      <c r="J927" s="4">
        <v>0.96399999999999997</v>
      </c>
      <c r="K927" s="5">
        <v>0</v>
      </c>
      <c r="L927" s="5">
        <v>0</v>
      </c>
      <c r="M927" s="5">
        <v>100</v>
      </c>
      <c r="N927" s="5">
        <v>100</v>
      </c>
      <c r="O927" s="2">
        <v>0.78088609486795202</v>
      </c>
      <c r="P927" s="2">
        <v>1.0422275692574703</v>
      </c>
      <c r="Q927" s="2">
        <v>1.0050335853501451E-2</v>
      </c>
      <c r="R927" s="2">
        <v>3.666398437159147E-2</v>
      </c>
    </row>
    <row r="928" spans="1:18" x14ac:dyDescent="0.3">
      <c r="A928" s="7">
        <v>697</v>
      </c>
      <c r="B928" s="7">
        <v>68</v>
      </c>
      <c r="C928" s="7">
        <v>0</v>
      </c>
      <c r="D928" s="7">
        <v>1</v>
      </c>
      <c r="E928" s="20" t="str">
        <f t="shared" si="14"/>
        <v>01</v>
      </c>
      <c r="F928" s="21">
        <v>1.1034239310165299</v>
      </c>
      <c r="G928" s="4">
        <v>0.44400000000000001</v>
      </c>
      <c r="H928" s="4">
        <v>0.41263157894736802</v>
      </c>
      <c r="I928" s="4">
        <v>0.93700000000000006</v>
      </c>
      <c r="J928" s="4">
        <v>0.96499999999999997</v>
      </c>
      <c r="K928" s="5">
        <v>0</v>
      </c>
      <c r="L928" s="5">
        <v>0</v>
      </c>
      <c r="M928" s="5">
        <v>100</v>
      </c>
      <c r="N928" s="5">
        <v>100</v>
      </c>
      <c r="O928" s="2">
        <v>0.81193071654991233</v>
      </c>
      <c r="P928" s="2">
        <v>0.88520014480412501</v>
      </c>
      <c r="Q928" s="2">
        <v>6.5071996743714805E-2</v>
      </c>
      <c r="R928" s="2">
        <v>3.562717764315116E-2</v>
      </c>
    </row>
    <row r="929" spans="1:18" x14ac:dyDescent="0.3">
      <c r="A929" s="7">
        <v>167</v>
      </c>
      <c r="B929" s="7">
        <v>64</v>
      </c>
      <c r="C929" s="7">
        <v>0</v>
      </c>
      <c r="D929" s="7">
        <v>1</v>
      </c>
      <c r="E929" s="20" t="str">
        <f t="shared" si="14"/>
        <v>01</v>
      </c>
      <c r="F929" s="21">
        <v>1.1268385898910001</v>
      </c>
      <c r="G929" s="4">
        <v>0.21199999999999999</v>
      </c>
      <c r="H929" s="4">
        <v>0.18595041322313999</v>
      </c>
      <c r="I929" s="4">
        <v>0.31900000000000001</v>
      </c>
      <c r="J929" s="4">
        <v>0.32</v>
      </c>
      <c r="K929" s="5">
        <v>0</v>
      </c>
      <c r="L929" s="5">
        <v>0</v>
      </c>
      <c r="M929" s="5">
        <v>0</v>
      </c>
      <c r="N929" s="5">
        <v>0</v>
      </c>
      <c r="O929" s="2">
        <v>1.5511690043101247</v>
      </c>
      <c r="P929" s="2">
        <v>1.6822752363863693</v>
      </c>
      <c r="Q929" s="2">
        <v>1.1425641761972924</v>
      </c>
      <c r="R929" s="2">
        <v>1.1394342831883648</v>
      </c>
    </row>
    <row r="930" spans="1:18" x14ac:dyDescent="0.3">
      <c r="A930" s="7">
        <v>504</v>
      </c>
      <c r="B930" s="7">
        <v>90</v>
      </c>
      <c r="C930" s="7">
        <v>0</v>
      </c>
      <c r="D930" s="7">
        <v>1</v>
      </c>
      <c r="E930" s="20" t="str">
        <f t="shared" si="14"/>
        <v>01</v>
      </c>
      <c r="F930" s="21">
        <v>1.1687610096316301</v>
      </c>
      <c r="G930" s="4">
        <v>0.151</v>
      </c>
      <c r="H930" s="4">
        <v>0.14373716632443501</v>
      </c>
      <c r="I930" s="4">
        <v>0.94399999999999995</v>
      </c>
      <c r="J930" s="4">
        <v>0.95399999999999996</v>
      </c>
      <c r="K930" s="5">
        <v>0</v>
      </c>
      <c r="L930" s="5">
        <v>0</v>
      </c>
      <c r="M930" s="5">
        <v>100</v>
      </c>
      <c r="N930" s="5">
        <v>100</v>
      </c>
      <c r="O930" s="2">
        <v>1.8904754421672127</v>
      </c>
      <c r="P930" s="2">
        <v>1.939768881033233</v>
      </c>
      <c r="Q930" s="2">
        <v>5.7629112836636416E-2</v>
      </c>
      <c r="R930" s="2">
        <v>4.7091607533850569E-2</v>
      </c>
    </row>
    <row r="931" spans="1:18" x14ac:dyDescent="0.3">
      <c r="A931" s="7">
        <v>913</v>
      </c>
      <c r="B931" s="7">
        <v>65</v>
      </c>
      <c r="C931" s="7">
        <v>0</v>
      </c>
      <c r="D931" s="7">
        <v>1</v>
      </c>
      <c r="E931" s="20" t="str">
        <f t="shared" si="14"/>
        <v>01</v>
      </c>
      <c r="F931" s="21">
        <v>1.18338319022706</v>
      </c>
      <c r="G931" s="4">
        <v>0.42799999999999999</v>
      </c>
      <c r="H931" s="4">
        <v>0.389583333333333</v>
      </c>
      <c r="I931" s="4">
        <v>0.98299999999999998</v>
      </c>
      <c r="J931" s="4">
        <v>0.97199999999999998</v>
      </c>
      <c r="K931" s="5">
        <v>0</v>
      </c>
      <c r="L931" s="5">
        <v>0</v>
      </c>
      <c r="M931" s="5">
        <v>100</v>
      </c>
      <c r="N931" s="5">
        <v>100</v>
      </c>
      <c r="O931" s="2">
        <v>0.84863208340034024</v>
      </c>
      <c r="P931" s="2">
        <v>0.94267748704735088</v>
      </c>
      <c r="Q931" s="2">
        <v>1.7146158834970514E-2</v>
      </c>
      <c r="R931" s="2">
        <v>2.8399474521698002E-2</v>
      </c>
    </row>
    <row r="932" spans="1:18" x14ac:dyDescent="0.3">
      <c r="A932" s="7">
        <v>878</v>
      </c>
      <c r="B932" s="7">
        <v>68</v>
      </c>
      <c r="C932" s="7">
        <v>0</v>
      </c>
      <c r="D932" s="7">
        <v>1</v>
      </c>
      <c r="E932" s="20" t="str">
        <f t="shared" si="14"/>
        <v>01</v>
      </c>
      <c r="F932" s="21">
        <v>1.1904202266116</v>
      </c>
      <c r="G932" s="4">
        <v>0.20899999999999999</v>
      </c>
      <c r="H932" s="4">
        <v>0.20081135902636901</v>
      </c>
      <c r="I932" s="4">
        <v>0.38900000000000001</v>
      </c>
      <c r="J932" s="4">
        <v>0.373</v>
      </c>
      <c r="K932" s="5">
        <v>0</v>
      </c>
      <c r="L932" s="5">
        <v>0</v>
      </c>
      <c r="M932" s="5">
        <v>0</v>
      </c>
      <c r="N932" s="5">
        <v>0</v>
      </c>
      <c r="O932" s="2">
        <v>1.5654210270173261</v>
      </c>
      <c r="P932" s="2">
        <v>1.605389323908101</v>
      </c>
      <c r="Q932" s="2">
        <v>0.94417593536369071</v>
      </c>
      <c r="R932" s="2">
        <v>0.98617685933832155</v>
      </c>
    </row>
    <row r="933" spans="1:18" x14ac:dyDescent="0.3">
      <c r="A933" s="7">
        <v>3</v>
      </c>
      <c r="B933" s="7">
        <v>62</v>
      </c>
      <c r="C933" s="7">
        <v>0</v>
      </c>
      <c r="D933" s="7">
        <v>1</v>
      </c>
      <c r="E933" s="20" t="str">
        <f t="shared" si="14"/>
        <v>01</v>
      </c>
      <c r="F933" s="21">
        <v>1.19331049499997</v>
      </c>
      <c r="G933" s="4">
        <v>0.29899999999999999</v>
      </c>
      <c r="H933" s="4">
        <v>0.27439024390243899</v>
      </c>
      <c r="I933" s="4">
        <v>0.95799999999999996</v>
      </c>
      <c r="J933" s="4">
        <v>0.96399999999999997</v>
      </c>
      <c r="K933" s="5">
        <v>0</v>
      </c>
      <c r="L933" s="5">
        <v>0</v>
      </c>
      <c r="M933" s="5">
        <v>100</v>
      </c>
      <c r="N933" s="5">
        <v>100</v>
      </c>
      <c r="O933" s="2">
        <v>1.2073117055914506</v>
      </c>
      <c r="P933" s="2">
        <v>1.2932039380538789</v>
      </c>
      <c r="Q933" s="2">
        <v>4.290750101127655E-2</v>
      </c>
      <c r="R933" s="2">
        <v>3.666398437159147E-2</v>
      </c>
    </row>
    <row r="934" spans="1:18" x14ac:dyDescent="0.3">
      <c r="A934" s="7">
        <v>576</v>
      </c>
      <c r="B934" s="7">
        <v>61</v>
      </c>
      <c r="C934" s="7">
        <v>0</v>
      </c>
      <c r="D934" s="7">
        <v>1</v>
      </c>
      <c r="E934" s="20" t="str">
        <f t="shared" si="14"/>
        <v>01</v>
      </c>
      <c r="F934" s="21">
        <v>1.19856754147989</v>
      </c>
      <c r="G934" s="4">
        <v>0.70899999999999996</v>
      </c>
      <c r="H934" s="4">
        <v>0.67915690866510503</v>
      </c>
      <c r="I934" s="4">
        <v>3.7999999999999999E-2</v>
      </c>
      <c r="J934" s="4">
        <v>3.6999999999999998E-2</v>
      </c>
      <c r="K934" s="5">
        <v>100</v>
      </c>
      <c r="L934" s="5">
        <v>100</v>
      </c>
      <c r="M934" s="5">
        <v>0</v>
      </c>
      <c r="N934" s="5">
        <v>0</v>
      </c>
      <c r="O934" s="2">
        <v>0.34389975245000959</v>
      </c>
      <c r="P934" s="2">
        <v>0.38690309024810537</v>
      </c>
      <c r="Q934" s="2">
        <v>3.2701691192557512</v>
      </c>
      <c r="R934" s="2">
        <v>3.2968373663379125</v>
      </c>
    </row>
    <row r="935" spans="1:18" x14ac:dyDescent="0.3">
      <c r="A935" s="7">
        <v>801</v>
      </c>
      <c r="B935" s="7">
        <v>57</v>
      </c>
      <c r="C935" s="7">
        <v>0</v>
      </c>
      <c r="D935" s="7">
        <v>1</v>
      </c>
      <c r="E935" s="20" t="str">
        <f t="shared" si="14"/>
        <v>01</v>
      </c>
      <c r="F935" s="21">
        <v>1.2264214764561601</v>
      </c>
      <c r="G935" s="4">
        <v>0.19900000000000001</v>
      </c>
      <c r="H935" s="4">
        <v>0.158762886597938</v>
      </c>
      <c r="I935" s="4">
        <v>0.96299999999999997</v>
      </c>
      <c r="J935" s="4">
        <v>0.95799999999999996</v>
      </c>
      <c r="K935" s="5">
        <v>0</v>
      </c>
      <c r="L935" s="5">
        <v>0</v>
      </c>
      <c r="M935" s="5">
        <v>100</v>
      </c>
      <c r="N935" s="5">
        <v>100</v>
      </c>
      <c r="O935" s="2">
        <v>1.6144504542576446</v>
      </c>
      <c r="P935" s="2">
        <v>1.8403434690838003</v>
      </c>
      <c r="Q935" s="2">
        <v>3.7701867184011528E-2</v>
      </c>
      <c r="R935" s="2">
        <v>4.290750101127655E-2</v>
      </c>
    </row>
    <row r="936" spans="1:18" x14ac:dyDescent="0.3">
      <c r="A936" s="7">
        <v>754</v>
      </c>
      <c r="B936" s="7">
        <v>49</v>
      </c>
      <c r="C936" s="7">
        <v>0</v>
      </c>
      <c r="D936" s="7">
        <v>1</v>
      </c>
      <c r="E936" s="20" t="str">
        <f t="shared" si="14"/>
        <v>01</v>
      </c>
      <c r="F936" s="21">
        <v>1.2612670993888699</v>
      </c>
      <c r="G936" s="4">
        <v>0.39400000000000002</v>
      </c>
      <c r="H936" s="4">
        <v>0.36421052631578898</v>
      </c>
      <c r="I936" s="4">
        <v>0.96599999999999997</v>
      </c>
      <c r="J936" s="4">
        <v>0.95799999999999996</v>
      </c>
      <c r="K936" s="5">
        <v>0</v>
      </c>
      <c r="L936" s="5">
        <v>0</v>
      </c>
      <c r="M936" s="5">
        <v>100</v>
      </c>
      <c r="N936" s="5">
        <v>100</v>
      </c>
      <c r="O936" s="2">
        <v>0.93140436968420315</v>
      </c>
      <c r="P936" s="2">
        <v>1.0100232095368635</v>
      </c>
      <c r="Q936" s="2">
        <v>3.459144476961909E-2</v>
      </c>
      <c r="R936" s="2">
        <v>4.290750101127655E-2</v>
      </c>
    </row>
    <row r="937" spans="1:18" x14ac:dyDescent="0.3">
      <c r="A937" s="7">
        <v>71</v>
      </c>
      <c r="B937" s="7">
        <v>60</v>
      </c>
      <c r="C937" s="7">
        <v>0</v>
      </c>
      <c r="D937" s="7">
        <v>1</v>
      </c>
      <c r="E937" s="20" t="str">
        <f t="shared" si="14"/>
        <v>01</v>
      </c>
      <c r="F937" s="21">
        <v>1.26247635203046</v>
      </c>
      <c r="G937" s="4">
        <v>0.39300000000000002</v>
      </c>
      <c r="H937" s="4">
        <v>0.34557235421166299</v>
      </c>
      <c r="I937" s="4">
        <v>0.96899999999999997</v>
      </c>
      <c r="J937" s="4">
        <v>0.93200000000000005</v>
      </c>
      <c r="K937" s="5">
        <v>0</v>
      </c>
      <c r="L937" s="5">
        <v>0</v>
      </c>
      <c r="M937" s="5">
        <v>100</v>
      </c>
      <c r="N937" s="5">
        <v>100</v>
      </c>
      <c r="O937" s="2">
        <v>0.93394566711287574</v>
      </c>
      <c r="P937" s="2">
        <v>1.0625532388524073</v>
      </c>
      <c r="Q937" s="2">
        <v>3.1490667091370848E-2</v>
      </c>
      <c r="R937" s="2">
        <v>7.042246429654582E-2</v>
      </c>
    </row>
    <row r="938" spans="1:18" x14ac:dyDescent="0.3">
      <c r="A938" s="7">
        <v>696</v>
      </c>
      <c r="B938" s="7">
        <v>64</v>
      </c>
      <c r="C938" s="7">
        <v>0</v>
      </c>
      <c r="D938" s="7">
        <v>1</v>
      </c>
      <c r="E938" s="20" t="str">
        <f t="shared" si="14"/>
        <v>01</v>
      </c>
      <c r="F938" s="21">
        <v>1.3325447456536399</v>
      </c>
      <c r="G938" s="4">
        <v>0.17899999999999999</v>
      </c>
      <c r="H938" s="4">
        <v>0.162886597938144</v>
      </c>
      <c r="I938" s="4">
        <v>6.2E-2</v>
      </c>
      <c r="J938" s="4">
        <v>5.8000000000000003E-2</v>
      </c>
      <c r="K938" s="5">
        <v>0</v>
      </c>
      <c r="L938" s="5">
        <v>0</v>
      </c>
      <c r="M938" s="5">
        <v>0</v>
      </c>
      <c r="N938" s="5">
        <v>0</v>
      </c>
      <c r="O938" s="2">
        <v>1.7203694731413821</v>
      </c>
      <c r="P938" s="2">
        <v>1.8147010384704638</v>
      </c>
      <c r="Q938" s="2">
        <v>2.7806208939370456</v>
      </c>
      <c r="R938" s="2">
        <v>2.8473122684357177</v>
      </c>
    </row>
    <row r="939" spans="1:18" x14ac:dyDescent="0.3">
      <c r="A939" s="7">
        <v>440</v>
      </c>
      <c r="B939" s="7">
        <v>65</v>
      </c>
      <c r="C939" s="7">
        <v>0</v>
      </c>
      <c r="D939" s="7">
        <v>1</v>
      </c>
      <c r="E939" s="20" t="str">
        <f t="shared" si="14"/>
        <v>01</v>
      </c>
      <c r="F939" s="21">
        <v>1.3597212042553299</v>
      </c>
      <c r="G939" s="4">
        <v>0.14799999999999999</v>
      </c>
      <c r="H939" s="4">
        <v>0.14110429447852799</v>
      </c>
      <c r="I939" s="4">
        <v>3.1E-2</v>
      </c>
      <c r="J939" s="4">
        <v>4.3999999999999997E-2</v>
      </c>
      <c r="K939" s="5">
        <v>0</v>
      </c>
      <c r="L939" s="5">
        <v>0</v>
      </c>
      <c r="M939" s="5">
        <v>0</v>
      </c>
      <c r="N939" s="5">
        <v>0</v>
      </c>
      <c r="O939" s="2">
        <v>1.9105430052180221</v>
      </c>
      <c r="P939" s="2">
        <v>1.95825598487761</v>
      </c>
      <c r="Q939" s="2">
        <v>3.473768074496991</v>
      </c>
      <c r="R939" s="2">
        <v>3.1235656450638758</v>
      </c>
    </row>
    <row r="940" spans="1:18" x14ac:dyDescent="0.3">
      <c r="A940" s="7">
        <v>568</v>
      </c>
      <c r="B940" s="7">
        <v>131</v>
      </c>
      <c r="C940" s="7">
        <v>0</v>
      </c>
      <c r="D940" s="7">
        <v>1</v>
      </c>
      <c r="E940" s="20" t="str">
        <f t="shared" si="14"/>
        <v>01</v>
      </c>
      <c r="F940" s="21">
        <v>1.414816405352</v>
      </c>
      <c r="G940" s="4">
        <v>0.47499999999999998</v>
      </c>
      <c r="H940" s="4">
        <v>0.41052631578947402</v>
      </c>
      <c r="I940" s="4">
        <v>0.96</v>
      </c>
      <c r="J940" s="4">
        <v>0.95699999999999996</v>
      </c>
      <c r="K940" s="5">
        <v>0</v>
      </c>
      <c r="L940" s="5">
        <v>0</v>
      </c>
      <c r="M940" s="5">
        <v>100</v>
      </c>
      <c r="N940" s="5">
        <v>100</v>
      </c>
      <c r="O940" s="2">
        <v>0.74444047494749588</v>
      </c>
      <c r="P940" s="2">
        <v>0.89031524547089358</v>
      </c>
      <c r="Q940" s="2">
        <v>4.0821994520255166E-2</v>
      </c>
      <c r="R940" s="2">
        <v>4.3951887529182831E-2</v>
      </c>
    </row>
    <row r="941" spans="1:18" x14ac:dyDescent="0.3">
      <c r="A941" s="7">
        <v>77</v>
      </c>
      <c r="B941" s="7">
        <v>45</v>
      </c>
      <c r="C941" s="7">
        <v>0</v>
      </c>
      <c r="D941" s="7">
        <v>1</v>
      </c>
      <c r="E941" s="20" t="str">
        <f t="shared" si="14"/>
        <v>01</v>
      </c>
      <c r="F941" s="21">
        <v>1.45165237702032</v>
      </c>
      <c r="G941" s="4">
        <v>0.68100000000000005</v>
      </c>
      <c r="H941" s="4">
        <v>0.65914221218961599</v>
      </c>
      <c r="I941" s="4">
        <v>0.96099999999999997</v>
      </c>
      <c r="J941" s="4">
        <v>0.95199999999999996</v>
      </c>
      <c r="K941" s="5">
        <v>100</v>
      </c>
      <c r="L941" s="5">
        <v>100</v>
      </c>
      <c r="M941" s="5">
        <v>100</v>
      </c>
      <c r="N941" s="5">
        <v>100</v>
      </c>
      <c r="O941" s="2">
        <v>0.3841929728326246</v>
      </c>
      <c r="P941" s="2">
        <v>0.41681596777685426</v>
      </c>
      <c r="Q941" s="2">
        <v>3.9780870011844598E-2</v>
      </c>
      <c r="R941" s="2">
        <v>4.9190244190771781E-2</v>
      </c>
    </row>
    <row r="942" spans="1:18" x14ac:dyDescent="0.3">
      <c r="A942" s="7">
        <v>213</v>
      </c>
      <c r="B942" s="7">
        <v>37</v>
      </c>
      <c r="C942" s="7">
        <v>0</v>
      </c>
      <c r="D942" s="7">
        <v>1</v>
      </c>
      <c r="E942" s="20" t="str">
        <f t="shared" si="14"/>
        <v>01</v>
      </c>
      <c r="F942" s="21">
        <v>1.4666638514652399</v>
      </c>
      <c r="G942" s="4">
        <v>0.60399999999999998</v>
      </c>
      <c r="H942" s="4">
        <v>0.55357142857142905</v>
      </c>
      <c r="I942" s="4">
        <v>0.97499999999999998</v>
      </c>
      <c r="J942" s="4">
        <v>0.98399999999999999</v>
      </c>
      <c r="K942" s="5">
        <v>100</v>
      </c>
      <c r="L942" s="5">
        <v>100</v>
      </c>
      <c r="M942" s="5">
        <v>100</v>
      </c>
      <c r="N942" s="5">
        <v>100</v>
      </c>
      <c r="O942" s="2">
        <v>0.50418108104732218</v>
      </c>
      <c r="P942" s="2">
        <v>0.59136448625000215</v>
      </c>
      <c r="Q942" s="2">
        <v>2.5317807984289897E-2</v>
      </c>
      <c r="R942" s="2">
        <v>1.6129381929883644E-2</v>
      </c>
    </row>
    <row r="943" spans="1:18" x14ac:dyDescent="0.3">
      <c r="A943" s="7">
        <v>966</v>
      </c>
      <c r="B943" s="7">
        <v>36</v>
      </c>
      <c r="C943" s="7">
        <v>0</v>
      </c>
      <c r="D943" s="7">
        <v>1</v>
      </c>
      <c r="E943" s="20" t="str">
        <f t="shared" si="14"/>
        <v>01</v>
      </c>
      <c r="F943" s="21">
        <v>1.48973193473524</v>
      </c>
      <c r="G943" s="4">
        <v>0.21099999999999999</v>
      </c>
      <c r="H943" s="4">
        <v>0.133187772925764</v>
      </c>
      <c r="I943" s="4">
        <v>5.3999999999999999E-2</v>
      </c>
      <c r="J943" s="4">
        <v>5.2999999999999999E-2</v>
      </c>
      <c r="K943" s="5">
        <v>0</v>
      </c>
      <c r="L943" s="5">
        <v>0</v>
      </c>
      <c r="M943" s="5">
        <v>0</v>
      </c>
      <c r="N943" s="5">
        <v>0</v>
      </c>
      <c r="O943" s="2">
        <v>1.5558971455060706</v>
      </c>
      <c r="P943" s="2">
        <v>2.0159953199408753</v>
      </c>
      <c r="Q943" s="2">
        <v>2.9187712324178627</v>
      </c>
      <c r="R943" s="2">
        <v>2.9374633654300153</v>
      </c>
    </row>
    <row r="944" spans="1:18" x14ac:dyDescent="0.3">
      <c r="A944" s="7">
        <v>570</v>
      </c>
      <c r="B944" s="7">
        <v>30</v>
      </c>
      <c r="C944" s="7">
        <v>0</v>
      </c>
      <c r="D944" s="7">
        <v>1</v>
      </c>
      <c r="E944" s="20" t="str">
        <f t="shared" si="14"/>
        <v>01</v>
      </c>
      <c r="F944" s="21">
        <v>1.5465670125564299</v>
      </c>
      <c r="G944" s="4">
        <v>0.13200000000000001</v>
      </c>
      <c r="H944" s="4">
        <v>0.14141414141414099</v>
      </c>
      <c r="I944" s="4">
        <v>4.7E-2</v>
      </c>
      <c r="J944" s="4">
        <v>4.5999999999999999E-2</v>
      </c>
      <c r="K944" s="5">
        <v>0</v>
      </c>
      <c r="L944" s="5">
        <v>0</v>
      </c>
      <c r="M944" s="5">
        <v>0</v>
      </c>
      <c r="N944" s="5">
        <v>0</v>
      </c>
      <c r="O944" s="2">
        <v>2.0249533563957662</v>
      </c>
      <c r="P944" s="2">
        <v>1.9560625205193343</v>
      </c>
      <c r="Q944" s="2">
        <v>3.0576076772720784</v>
      </c>
      <c r="R944" s="2">
        <v>3.0791138824930422</v>
      </c>
    </row>
    <row r="945" spans="1:18" x14ac:dyDescent="0.3">
      <c r="A945" s="7">
        <v>832</v>
      </c>
      <c r="B945" s="7">
        <v>38</v>
      </c>
      <c r="C945" s="7">
        <v>0</v>
      </c>
      <c r="D945" s="7">
        <v>1</v>
      </c>
      <c r="E945" s="20" t="str">
        <f t="shared" si="14"/>
        <v>01</v>
      </c>
      <c r="F945" s="21">
        <v>1.5655753673438799</v>
      </c>
      <c r="G945" s="4">
        <v>0.14499999999999999</v>
      </c>
      <c r="H945" s="4">
        <v>0.124748490945674</v>
      </c>
      <c r="I945" s="4">
        <v>0.96199999999999997</v>
      </c>
      <c r="J945" s="4">
        <v>0.95299999999999996</v>
      </c>
      <c r="K945" s="5">
        <v>0</v>
      </c>
      <c r="L945" s="5">
        <v>0</v>
      </c>
      <c r="M945" s="5">
        <v>100</v>
      </c>
      <c r="N945" s="5">
        <v>100</v>
      </c>
      <c r="O945" s="2">
        <v>1.9310215365615626</v>
      </c>
      <c r="P945" s="2">
        <v>2.0814556410515377</v>
      </c>
      <c r="Q945" s="2">
        <v>3.8740828316430595E-2</v>
      </c>
      <c r="R945" s="2">
        <v>4.8140375327934984E-2</v>
      </c>
    </row>
    <row r="946" spans="1:18" x14ac:dyDescent="0.3">
      <c r="A946" s="7">
        <v>10</v>
      </c>
      <c r="B946" s="7">
        <v>36</v>
      </c>
      <c r="C946" s="7">
        <v>0</v>
      </c>
      <c r="D946" s="7">
        <v>1</v>
      </c>
      <c r="E946" s="20" t="str">
        <f t="shared" si="14"/>
        <v>01</v>
      </c>
      <c r="F946" s="21">
        <v>1.5741182827721201</v>
      </c>
      <c r="G946" s="4">
        <v>0.30099999999999999</v>
      </c>
      <c r="H946" s="4">
        <v>0.28629032258064502</v>
      </c>
      <c r="I946" s="4">
        <v>0.89900000000000002</v>
      </c>
      <c r="J946" s="4">
        <v>0.93100000000000005</v>
      </c>
      <c r="K946" s="5">
        <v>0</v>
      </c>
      <c r="L946" s="5">
        <v>0</v>
      </c>
      <c r="M946" s="5">
        <v>100</v>
      </c>
      <c r="N946" s="5">
        <v>100</v>
      </c>
      <c r="O946" s="2">
        <v>1.2006450142332614</v>
      </c>
      <c r="P946" s="2">
        <v>1.2507488691236672</v>
      </c>
      <c r="Q946" s="2">
        <v>0.10647224451051676</v>
      </c>
      <c r="R946" s="2">
        <v>7.1496001705069923E-2</v>
      </c>
    </row>
    <row r="947" spans="1:18" x14ac:dyDescent="0.3">
      <c r="A947" s="7">
        <v>261</v>
      </c>
      <c r="B947" s="7">
        <v>34</v>
      </c>
      <c r="C947" s="7">
        <v>0</v>
      </c>
      <c r="D947" s="7">
        <v>1</v>
      </c>
      <c r="E947" s="20" t="str">
        <f t="shared" si="14"/>
        <v>01</v>
      </c>
      <c r="F947" s="21">
        <v>1.6471559641043101</v>
      </c>
      <c r="G947" s="4">
        <v>8.7999999999999995E-2</v>
      </c>
      <c r="H947" s="4">
        <v>9.0361445783132502E-2</v>
      </c>
      <c r="I947" s="4">
        <v>9.0999999999999998E-2</v>
      </c>
      <c r="J947" s="4">
        <v>8.5999999999999993E-2</v>
      </c>
      <c r="K947" s="5">
        <v>0</v>
      </c>
      <c r="L947" s="5">
        <v>0</v>
      </c>
      <c r="M947" s="5">
        <v>0</v>
      </c>
      <c r="N947" s="5">
        <v>0</v>
      </c>
      <c r="O947" s="2">
        <v>2.4304184645039308</v>
      </c>
      <c r="P947" s="2">
        <v>2.4039375872543336</v>
      </c>
      <c r="Q947" s="2">
        <v>2.3968957724652871</v>
      </c>
      <c r="R947" s="2">
        <v>2.4534079827286295</v>
      </c>
    </row>
    <row r="948" spans="1:18" x14ac:dyDescent="0.3">
      <c r="A948" s="7">
        <v>758</v>
      </c>
      <c r="B948" s="7">
        <v>26</v>
      </c>
      <c r="C948" s="7">
        <v>0</v>
      </c>
      <c r="D948" s="7">
        <v>1</v>
      </c>
      <c r="E948" s="20" t="str">
        <f t="shared" si="14"/>
        <v>01</v>
      </c>
      <c r="F948" s="21">
        <v>1.6618653672572701</v>
      </c>
      <c r="G948" s="4">
        <v>0.26700000000000002</v>
      </c>
      <c r="H948" s="4">
        <v>0.22680412371134001</v>
      </c>
      <c r="I948" s="4">
        <v>0.97399999999999998</v>
      </c>
      <c r="J948" s="4">
        <v>0.93600000000000005</v>
      </c>
      <c r="K948" s="5">
        <v>0</v>
      </c>
      <c r="L948" s="5">
        <v>0</v>
      </c>
      <c r="M948" s="5">
        <v>100</v>
      </c>
      <c r="N948" s="5">
        <v>100</v>
      </c>
      <c r="O948" s="2">
        <v>1.3205066205818874</v>
      </c>
      <c r="P948" s="2">
        <v>1.4836685251450679</v>
      </c>
      <c r="Q948" s="2">
        <v>2.6343975339601977E-2</v>
      </c>
      <c r="R948" s="2">
        <v>6.6139802504544945E-2</v>
      </c>
    </row>
    <row r="949" spans="1:18" x14ac:dyDescent="0.3">
      <c r="A949" s="7">
        <v>489</v>
      </c>
      <c r="B949" s="7">
        <v>27</v>
      </c>
      <c r="C949" s="7">
        <v>0</v>
      </c>
      <c r="D949" s="7">
        <v>1</v>
      </c>
      <c r="E949" s="20" t="str">
        <f t="shared" si="14"/>
        <v>01</v>
      </c>
      <c r="F949" s="21">
        <v>1.7003381710077301</v>
      </c>
      <c r="G949" s="4">
        <v>0.192</v>
      </c>
      <c r="H949" s="4">
        <v>0.18218623481781401</v>
      </c>
      <c r="I949" s="4">
        <v>0.92300000000000004</v>
      </c>
      <c r="J949" s="4">
        <v>0.93400000000000005</v>
      </c>
      <c r="K949" s="5">
        <v>0</v>
      </c>
      <c r="L949" s="5">
        <v>0</v>
      </c>
      <c r="M949" s="5">
        <v>100</v>
      </c>
      <c r="N949" s="5">
        <v>100</v>
      </c>
      <c r="O949" s="2">
        <v>1.6502599069543555</v>
      </c>
      <c r="P949" s="2">
        <v>1.702725846857656</v>
      </c>
      <c r="Q949" s="2">
        <v>8.0126044479284855E-2</v>
      </c>
      <c r="R949" s="2">
        <v>6.8278840753294379E-2</v>
      </c>
    </row>
    <row r="950" spans="1:18" x14ac:dyDescent="0.3">
      <c r="A950" s="7">
        <v>54</v>
      </c>
      <c r="B950" s="7">
        <v>29</v>
      </c>
      <c r="C950" s="7">
        <v>0</v>
      </c>
      <c r="D950" s="7">
        <v>1</v>
      </c>
      <c r="E950" s="20" t="str">
        <f t="shared" si="14"/>
        <v>01</v>
      </c>
      <c r="F950" s="21">
        <v>1.71110556927212</v>
      </c>
      <c r="G950" s="4">
        <v>0.27200000000000002</v>
      </c>
      <c r="H950" s="4">
        <v>0.28112449799196798</v>
      </c>
      <c r="I950" s="4">
        <v>0.97099999999999997</v>
      </c>
      <c r="J950" s="4">
        <v>0.97199999999999998</v>
      </c>
      <c r="K950" s="5">
        <v>0</v>
      </c>
      <c r="L950" s="5">
        <v>0</v>
      </c>
      <c r="M950" s="5">
        <v>100</v>
      </c>
      <c r="N950" s="5">
        <v>100</v>
      </c>
      <c r="O950" s="2">
        <v>1.3019532126861397</v>
      </c>
      <c r="P950" s="2">
        <v>1.2689576544153482</v>
      </c>
      <c r="Q950" s="2">
        <v>2.9428810690812168E-2</v>
      </c>
      <c r="R950" s="2">
        <v>2.8399474521698002E-2</v>
      </c>
    </row>
    <row r="951" spans="1:18" x14ac:dyDescent="0.3">
      <c r="A951" s="7">
        <v>634</v>
      </c>
      <c r="B951" s="7">
        <v>24</v>
      </c>
      <c r="C951" s="7">
        <v>0</v>
      </c>
      <c r="D951" s="7">
        <v>1</v>
      </c>
      <c r="E951" s="20" t="str">
        <f t="shared" si="14"/>
        <v>01</v>
      </c>
      <c r="F951" s="21">
        <v>1.75974356885565</v>
      </c>
      <c r="G951" s="4">
        <v>0.247</v>
      </c>
      <c r="H951" s="4">
        <v>0.233265720081136</v>
      </c>
      <c r="I951" s="4">
        <v>0.92300000000000004</v>
      </c>
      <c r="J951" s="4">
        <v>0.93100000000000005</v>
      </c>
      <c r="K951" s="5">
        <v>0</v>
      </c>
      <c r="L951" s="5">
        <v>0</v>
      </c>
      <c r="M951" s="5">
        <v>100</v>
      </c>
      <c r="N951" s="5">
        <v>100</v>
      </c>
      <c r="O951" s="2">
        <v>1.3983669423541598</v>
      </c>
      <c r="P951" s="2">
        <v>1.4555770456794397</v>
      </c>
      <c r="Q951" s="2">
        <v>8.0126044479284855E-2</v>
      </c>
      <c r="R951" s="2">
        <v>7.1496001705069923E-2</v>
      </c>
    </row>
    <row r="952" spans="1:18" x14ac:dyDescent="0.3">
      <c r="A952" s="7">
        <v>127</v>
      </c>
      <c r="B952" s="7">
        <v>25</v>
      </c>
      <c r="C952" s="7">
        <v>0</v>
      </c>
      <c r="D952" s="7">
        <v>1</v>
      </c>
      <c r="E952" s="20" t="str">
        <f t="shared" si="14"/>
        <v>01</v>
      </c>
      <c r="F952" s="21">
        <v>1.83071839934305</v>
      </c>
      <c r="G952" s="4">
        <v>0.35</v>
      </c>
      <c r="H952" s="4">
        <v>0.32157676348547698</v>
      </c>
      <c r="I952" s="4">
        <v>0.96</v>
      </c>
      <c r="J952" s="4">
        <v>0.95299999999999996</v>
      </c>
      <c r="K952" s="5">
        <v>0</v>
      </c>
      <c r="L952" s="5">
        <v>0</v>
      </c>
      <c r="M952" s="5">
        <v>100</v>
      </c>
      <c r="N952" s="5">
        <v>100</v>
      </c>
      <c r="O952" s="2">
        <v>1.0498221244986778</v>
      </c>
      <c r="P952" s="2">
        <v>1.1345189971313543</v>
      </c>
      <c r="Q952" s="2">
        <v>4.0821994520255166E-2</v>
      </c>
      <c r="R952" s="2">
        <v>4.8140375327934984E-2</v>
      </c>
    </row>
    <row r="953" spans="1:18" x14ac:dyDescent="0.3">
      <c r="A953" s="7">
        <v>210</v>
      </c>
      <c r="B953" s="7">
        <v>16</v>
      </c>
      <c r="C953" s="7">
        <v>0</v>
      </c>
      <c r="D953" s="7">
        <v>1</v>
      </c>
      <c r="E953" s="20" t="str">
        <f t="shared" si="14"/>
        <v>01</v>
      </c>
      <c r="F953" s="21">
        <v>2.0730043857065201</v>
      </c>
      <c r="G953" s="4">
        <v>8.5000000000000006E-2</v>
      </c>
      <c r="H953" s="4">
        <v>6.7346938775510207E-2</v>
      </c>
      <c r="I953" s="4">
        <v>4.2000000000000003E-2</v>
      </c>
      <c r="J953" s="4">
        <v>4.8000000000000001E-2</v>
      </c>
      <c r="K953" s="5">
        <v>0</v>
      </c>
      <c r="L953" s="5">
        <v>0</v>
      </c>
      <c r="M953" s="5">
        <v>0</v>
      </c>
      <c r="N953" s="5">
        <v>0</v>
      </c>
      <c r="O953" s="2">
        <v>2.4651040224918206</v>
      </c>
      <c r="P953" s="2">
        <v>2.6978978296381921</v>
      </c>
      <c r="Q953" s="2">
        <v>3.1700856606987688</v>
      </c>
      <c r="R953" s="2">
        <v>3.0365542680742461</v>
      </c>
    </row>
    <row r="954" spans="1:18" x14ac:dyDescent="0.3">
      <c r="A954" s="7">
        <v>480</v>
      </c>
      <c r="B954" s="7">
        <v>18</v>
      </c>
      <c r="C954" s="7">
        <v>0</v>
      </c>
      <c r="D954" s="7">
        <v>1</v>
      </c>
      <c r="E954" s="20" t="str">
        <f t="shared" si="14"/>
        <v>01</v>
      </c>
      <c r="F954" s="21">
        <v>2.1058542262803801</v>
      </c>
      <c r="G954" s="4">
        <v>5.6000000000000001E-2</v>
      </c>
      <c r="H954" s="4">
        <v>5.4545454545454501E-2</v>
      </c>
      <c r="I954" s="4">
        <v>0.04</v>
      </c>
      <c r="J954" s="4">
        <v>4.2999999999999997E-2</v>
      </c>
      <c r="K954" s="5">
        <v>0</v>
      </c>
      <c r="L954" s="5">
        <v>0</v>
      </c>
      <c r="M954" s="5">
        <v>0</v>
      </c>
      <c r="N954" s="5">
        <v>0</v>
      </c>
      <c r="O954" s="2">
        <v>2.8824035882469876</v>
      </c>
      <c r="P954" s="2">
        <v>2.9087208965643621</v>
      </c>
      <c r="Q954" s="2">
        <v>3.2188758248682006</v>
      </c>
      <c r="R954" s="2">
        <v>3.1465551632885749</v>
      </c>
    </row>
    <row r="955" spans="1:18" x14ac:dyDescent="0.3">
      <c r="A955" s="7">
        <v>40</v>
      </c>
      <c r="B955" s="7">
        <v>17</v>
      </c>
      <c r="C955" s="7">
        <v>0</v>
      </c>
      <c r="D955" s="7">
        <v>1</v>
      </c>
      <c r="E955" s="20" t="str">
        <f t="shared" si="14"/>
        <v>01</v>
      </c>
      <c r="F955" s="21">
        <v>2.1725860130327099</v>
      </c>
      <c r="G955" s="4">
        <v>0.19800000000000001</v>
      </c>
      <c r="H955" s="4">
        <v>0.20523138832998</v>
      </c>
      <c r="I955" s="4">
        <v>5.8000000000000003E-2</v>
      </c>
      <c r="J955" s="4">
        <v>5.6000000000000001E-2</v>
      </c>
      <c r="K955" s="5">
        <v>0</v>
      </c>
      <c r="L955" s="5">
        <v>0</v>
      </c>
      <c r="M955" s="5">
        <v>0</v>
      </c>
      <c r="N955" s="5">
        <v>0</v>
      </c>
      <c r="O955" s="2">
        <v>1.6194882482876019</v>
      </c>
      <c r="P955" s="2">
        <v>1.5836172128123571</v>
      </c>
      <c r="Q955" s="2">
        <v>2.8473122684357177</v>
      </c>
      <c r="R955" s="2">
        <v>2.8824035882469876</v>
      </c>
    </row>
    <row r="956" spans="1:18" x14ac:dyDescent="0.3">
      <c r="A956" s="7">
        <v>842</v>
      </c>
      <c r="B956" s="7">
        <v>11</v>
      </c>
      <c r="C956" s="7">
        <v>0</v>
      </c>
      <c r="D956" s="7">
        <v>1</v>
      </c>
      <c r="E956" s="20" t="str">
        <f t="shared" si="14"/>
        <v>01</v>
      </c>
      <c r="F956" s="21">
        <v>2.2545250863400299</v>
      </c>
      <c r="G956" s="4">
        <v>0.34799999999999998</v>
      </c>
      <c r="H956" s="4">
        <v>0.27231121281464499</v>
      </c>
      <c r="I956" s="4">
        <v>0.95099999999999996</v>
      </c>
      <c r="J956" s="4">
        <v>0.90100000000000002</v>
      </c>
      <c r="K956" s="5">
        <v>0</v>
      </c>
      <c r="L956" s="5">
        <v>0</v>
      </c>
      <c r="M956" s="5">
        <v>100</v>
      </c>
      <c r="N956" s="5">
        <v>100</v>
      </c>
      <c r="O956" s="2">
        <v>1.0555527992076628</v>
      </c>
      <c r="P956" s="2">
        <v>1.3008097019840619</v>
      </c>
      <c r="Q956" s="2">
        <v>5.024121643674679E-2</v>
      </c>
      <c r="R956" s="2">
        <v>0.10425002137379911</v>
      </c>
    </row>
    <row r="957" spans="1:18" x14ac:dyDescent="0.3">
      <c r="A957" s="7">
        <v>39</v>
      </c>
      <c r="B957" s="7">
        <v>10</v>
      </c>
      <c r="C957" s="7">
        <v>0</v>
      </c>
      <c r="D957" s="7">
        <v>1</v>
      </c>
      <c r="E957" s="20" t="str">
        <f t="shared" si="14"/>
        <v>01</v>
      </c>
      <c r="F957" s="21">
        <v>2.2997465699272199</v>
      </c>
      <c r="G957" s="4">
        <v>0.27300000000000002</v>
      </c>
      <c r="H957" s="4">
        <v>0.22821576763485499</v>
      </c>
      <c r="I957" s="4">
        <v>0.97899999999999998</v>
      </c>
      <c r="J957" s="4">
        <v>0.94</v>
      </c>
      <c r="K957" s="5">
        <v>0</v>
      </c>
      <c r="L957" s="5">
        <v>0</v>
      </c>
      <c r="M957" s="5">
        <v>100</v>
      </c>
      <c r="N957" s="5">
        <v>100</v>
      </c>
      <c r="O957" s="2">
        <v>1.2982834837971773</v>
      </c>
      <c r="P957" s="2">
        <v>1.4774637482581832</v>
      </c>
      <c r="Q957" s="2">
        <v>2.1223636451626688E-2</v>
      </c>
      <c r="R957" s="2">
        <v>6.1875403718087529E-2</v>
      </c>
    </row>
    <row r="958" spans="1:18" x14ac:dyDescent="0.3">
      <c r="A958" s="7">
        <v>217</v>
      </c>
      <c r="B958" s="7">
        <v>7</v>
      </c>
      <c r="C958" s="7">
        <v>0</v>
      </c>
      <c r="D958" s="7">
        <v>1</v>
      </c>
      <c r="E958" s="20" t="str">
        <f t="shared" si="14"/>
        <v>01</v>
      </c>
      <c r="F958" s="21">
        <v>2.3122479283818</v>
      </c>
      <c r="G958" s="4">
        <v>0.27500000000000002</v>
      </c>
      <c r="H958" s="4">
        <v>0.24948024948024899</v>
      </c>
      <c r="I958" s="4">
        <v>0.95099999999999996</v>
      </c>
      <c r="J958" s="4">
        <v>0.91800000000000004</v>
      </c>
      <c r="K958" s="5">
        <v>0</v>
      </c>
      <c r="L958" s="5">
        <v>0</v>
      </c>
      <c r="M958" s="5">
        <v>100</v>
      </c>
      <c r="N958" s="5">
        <v>100</v>
      </c>
      <c r="O958" s="2">
        <v>1.2909841813155656</v>
      </c>
      <c r="P958" s="2">
        <v>1.3883755273237171</v>
      </c>
      <c r="Q958" s="2">
        <v>5.024121643674679E-2</v>
      </c>
      <c r="R958" s="2">
        <v>8.5557888361646545E-2</v>
      </c>
    </row>
    <row r="959" spans="1:18" x14ac:dyDescent="0.3">
      <c r="A959" s="7">
        <v>443</v>
      </c>
      <c r="B959" s="7">
        <v>64</v>
      </c>
      <c r="C959" s="7">
        <v>0</v>
      </c>
      <c r="D959" s="7">
        <v>1</v>
      </c>
      <c r="E959" s="20" t="str">
        <f t="shared" si="14"/>
        <v>01</v>
      </c>
      <c r="F959" s="21">
        <v>2.3472745790732001</v>
      </c>
      <c r="G959" s="4">
        <v>6.5000000000000002E-2</v>
      </c>
      <c r="H959" s="4">
        <v>4.0485829959514198E-2</v>
      </c>
      <c r="I959" s="4">
        <v>0.59499999999999997</v>
      </c>
      <c r="J959" s="4">
        <v>0.56299999999999994</v>
      </c>
      <c r="K959" s="5">
        <v>0</v>
      </c>
      <c r="L959" s="5">
        <v>0</v>
      </c>
      <c r="M959" s="5">
        <v>100</v>
      </c>
      <c r="N959" s="5">
        <v>100</v>
      </c>
      <c r="O959" s="2">
        <v>2.7333680090865</v>
      </c>
      <c r="P959" s="2">
        <v>3.2068032436339307</v>
      </c>
      <c r="Q959" s="2">
        <v>0.51919387343650736</v>
      </c>
      <c r="R959" s="2">
        <v>0.57447565084244678</v>
      </c>
    </row>
    <row r="960" spans="1:18" x14ac:dyDescent="0.3">
      <c r="A960" s="7">
        <v>543</v>
      </c>
      <c r="B960" s="7">
        <v>6</v>
      </c>
      <c r="C960" s="7">
        <v>0</v>
      </c>
      <c r="D960" s="7">
        <v>1</v>
      </c>
      <c r="E960" s="20" t="str">
        <f t="shared" si="14"/>
        <v>01</v>
      </c>
      <c r="F960" s="21">
        <v>2.5589958608213701</v>
      </c>
      <c r="G960" s="4">
        <v>0.161</v>
      </c>
      <c r="H960" s="4">
        <v>0.160965794768612</v>
      </c>
      <c r="I960" s="4">
        <v>0.69699999999999995</v>
      </c>
      <c r="J960" s="4">
        <v>0.66300000000000003</v>
      </c>
      <c r="K960" s="5">
        <v>0</v>
      </c>
      <c r="L960" s="5">
        <v>0</v>
      </c>
      <c r="M960" s="5">
        <v>100</v>
      </c>
      <c r="N960" s="5">
        <v>100</v>
      </c>
      <c r="O960" s="2">
        <v>1.8263509139976741</v>
      </c>
      <c r="P960" s="2">
        <v>1.826563391422745</v>
      </c>
      <c r="Q960" s="2">
        <v>0.36096986822161325</v>
      </c>
      <c r="R960" s="2">
        <v>0.41098028879627452</v>
      </c>
    </row>
    <row r="961" spans="1:18" x14ac:dyDescent="0.3">
      <c r="A961" s="7">
        <v>505</v>
      </c>
      <c r="B961" s="7">
        <v>323</v>
      </c>
      <c r="C961" s="7">
        <v>0</v>
      </c>
      <c r="D961" s="7">
        <v>1</v>
      </c>
      <c r="E961" s="20" t="str">
        <f t="shared" si="14"/>
        <v>01</v>
      </c>
      <c r="F961" s="21">
        <v>2.6527996084718399</v>
      </c>
      <c r="G961" s="4">
        <v>0.115</v>
      </c>
      <c r="H961" s="4">
        <v>0.120240480961924</v>
      </c>
      <c r="I961" s="4">
        <v>0.05</v>
      </c>
      <c r="J961" s="4">
        <v>3.7999999999999999E-2</v>
      </c>
      <c r="K961" s="5">
        <v>0</v>
      </c>
      <c r="L961" s="5">
        <v>0</v>
      </c>
      <c r="M961" s="5">
        <v>0</v>
      </c>
      <c r="N961" s="5">
        <v>0</v>
      </c>
      <c r="O961" s="2">
        <v>2.1628231506188871</v>
      </c>
      <c r="P961" s="2">
        <v>2.1182615335294166</v>
      </c>
      <c r="Q961" s="2">
        <v>2.9957322735539909</v>
      </c>
      <c r="R961" s="2">
        <v>3.2701691192557512</v>
      </c>
    </row>
    <row r="962" spans="1:18" x14ac:dyDescent="0.3">
      <c r="A962" s="7">
        <v>921</v>
      </c>
      <c r="B962" s="7">
        <v>5</v>
      </c>
      <c r="C962" s="7">
        <v>0</v>
      </c>
      <c r="D962" s="7">
        <v>1</v>
      </c>
      <c r="E962" s="20" t="str">
        <f t="shared" ref="E962:E1025" si="15">_xlfn.CONCAT(C962,D962)</f>
        <v>01</v>
      </c>
      <c r="F962" s="21">
        <v>2.7094520285909698</v>
      </c>
      <c r="G962" s="4">
        <v>0.49</v>
      </c>
      <c r="H962" s="4">
        <v>0.47939262472885003</v>
      </c>
      <c r="I962" s="4">
        <v>0.70299999999999996</v>
      </c>
      <c r="J962" s="4">
        <v>0.63700000000000001</v>
      </c>
      <c r="K962" s="5">
        <v>0</v>
      </c>
      <c r="L962" s="5">
        <v>0</v>
      </c>
      <c r="M962" s="5">
        <v>100</v>
      </c>
      <c r="N962" s="5">
        <v>100</v>
      </c>
      <c r="O962" s="2">
        <v>0.71334988787746478</v>
      </c>
      <c r="P962" s="2">
        <v>0.73523534147889635</v>
      </c>
      <c r="Q962" s="2">
        <v>0.3523983871714722</v>
      </c>
      <c r="R962" s="2">
        <v>0.45098562340997367</v>
      </c>
    </row>
    <row r="963" spans="1:18" x14ac:dyDescent="0.3">
      <c r="A963" s="7">
        <v>29</v>
      </c>
      <c r="B963" s="7">
        <v>406</v>
      </c>
      <c r="C963" s="7">
        <v>0</v>
      </c>
      <c r="D963" s="7">
        <v>1</v>
      </c>
      <c r="E963" s="20" t="str">
        <f t="shared" si="15"/>
        <v>01</v>
      </c>
      <c r="F963" s="21">
        <v>2.7346675421695799</v>
      </c>
      <c r="G963" s="4">
        <v>0.29899999999999999</v>
      </c>
      <c r="H963" s="4">
        <v>0.29494949494949502</v>
      </c>
      <c r="I963" s="4">
        <v>0.12</v>
      </c>
      <c r="J963" s="4">
        <v>0.10299999999999999</v>
      </c>
      <c r="K963" s="5">
        <v>0</v>
      </c>
      <c r="L963" s="5">
        <v>0</v>
      </c>
      <c r="M963" s="5">
        <v>0</v>
      </c>
      <c r="N963" s="5">
        <v>0</v>
      </c>
      <c r="O963" s="2">
        <v>1.2073117055914506</v>
      </c>
      <c r="P963" s="2">
        <v>1.2209511408603537</v>
      </c>
      <c r="Q963" s="2">
        <v>2.120263536200091</v>
      </c>
      <c r="R963" s="2">
        <v>2.2730262907525014</v>
      </c>
    </row>
    <row r="964" spans="1:18" x14ac:dyDescent="0.3">
      <c r="A964" s="7">
        <v>352</v>
      </c>
      <c r="B964" s="7">
        <v>69</v>
      </c>
      <c r="C964" s="7">
        <v>0</v>
      </c>
      <c r="D964" s="7">
        <v>1</v>
      </c>
      <c r="E964" s="20" t="str">
        <f t="shared" si="15"/>
        <v>01</v>
      </c>
      <c r="F964" s="21">
        <v>3.1090181566336801</v>
      </c>
      <c r="G964" s="4">
        <v>0.191</v>
      </c>
      <c r="H964" s="4">
        <v>0.17755102040816301</v>
      </c>
      <c r="I964" s="4">
        <v>6.9000000000000006E-2</v>
      </c>
      <c r="J964" s="4">
        <v>0.112</v>
      </c>
      <c r="K964" s="5">
        <v>0</v>
      </c>
      <c r="L964" s="5">
        <v>0</v>
      </c>
      <c r="M964" s="5">
        <v>0</v>
      </c>
      <c r="N964" s="5">
        <v>0</v>
      </c>
      <c r="O964" s="2">
        <v>1.6554818509355071</v>
      </c>
      <c r="P964" s="2">
        <v>1.72849727245009</v>
      </c>
      <c r="Q964" s="2">
        <v>2.6736487743848776</v>
      </c>
      <c r="R964" s="2">
        <v>2.1892564076870427</v>
      </c>
    </row>
    <row r="965" spans="1:18" x14ac:dyDescent="0.3">
      <c r="A965" s="7">
        <v>44</v>
      </c>
      <c r="B965" s="7">
        <v>145</v>
      </c>
      <c r="C965" s="7">
        <v>0</v>
      </c>
      <c r="D965" s="7">
        <v>1</v>
      </c>
      <c r="E965" s="20" t="str">
        <f t="shared" si="15"/>
        <v>01</v>
      </c>
      <c r="F965" s="21">
        <v>3.4003294026250601</v>
      </c>
      <c r="G965" s="4">
        <v>0.35199999999999998</v>
      </c>
      <c r="H965" s="4">
        <v>0.34864300626304801</v>
      </c>
      <c r="I965" s="4">
        <v>0.93</v>
      </c>
      <c r="J965" s="4">
        <v>0.91200000000000003</v>
      </c>
      <c r="K965" s="5">
        <v>0</v>
      </c>
      <c r="L965" s="5">
        <v>0</v>
      </c>
      <c r="M965" s="5">
        <v>100</v>
      </c>
      <c r="N965" s="5">
        <v>100</v>
      </c>
      <c r="O965" s="2">
        <v>1.04412410338404</v>
      </c>
      <c r="P965" s="2">
        <v>1.0537067849941602</v>
      </c>
      <c r="Q965" s="2">
        <v>7.2570692834835374E-2</v>
      </c>
      <c r="R965" s="2">
        <v>9.2115288907805626E-2</v>
      </c>
    </row>
    <row r="966" spans="1:18" x14ac:dyDescent="0.3">
      <c r="A966" s="7">
        <v>979</v>
      </c>
      <c r="B966" s="7">
        <v>30</v>
      </c>
      <c r="C966" s="7">
        <v>0</v>
      </c>
      <c r="D966" s="7">
        <v>1</v>
      </c>
      <c r="E966" s="20" t="str">
        <f t="shared" si="15"/>
        <v>01</v>
      </c>
      <c r="F966" s="21">
        <v>3.9883554075407699</v>
      </c>
      <c r="G966" s="4">
        <v>0.309</v>
      </c>
      <c r="H966" s="4">
        <v>0.28920570264765799</v>
      </c>
      <c r="I966" s="4">
        <v>0.86199999999999999</v>
      </c>
      <c r="J966" s="4">
        <v>0.86499999999999999</v>
      </c>
      <c r="K966" s="5">
        <v>0</v>
      </c>
      <c r="L966" s="5">
        <v>0</v>
      </c>
      <c r="M966" s="5">
        <v>100</v>
      </c>
      <c r="N966" s="5">
        <v>100</v>
      </c>
      <c r="O966" s="2">
        <v>1.1744140020843916</v>
      </c>
      <c r="P966" s="2">
        <v>1.2406170701932593</v>
      </c>
      <c r="Q966" s="2">
        <v>0.14850000831844395</v>
      </c>
      <c r="R966" s="2">
        <v>0.14502577205025774</v>
      </c>
    </row>
    <row r="967" spans="1:18" x14ac:dyDescent="0.3">
      <c r="A967" s="7">
        <v>608</v>
      </c>
      <c r="B967" s="7">
        <v>490</v>
      </c>
      <c r="C967" s="7">
        <v>1</v>
      </c>
      <c r="D967" s="7">
        <v>1</v>
      </c>
      <c r="E967" s="20" t="str">
        <f t="shared" si="15"/>
        <v>11</v>
      </c>
      <c r="F967" s="21">
        <v>1.0724721921889099E-2</v>
      </c>
      <c r="G967" s="4">
        <v>0.36299999999999999</v>
      </c>
      <c r="H967" s="4">
        <v>1</v>
      </c>
      <c r="I967" s="4">
        <v>1</v>
      </c>
      <c r="J967" s="4">
        <v>1</v>
      </c>
      <c r="K967" s="5">
        <v>0</v>
      </c>
      <c r="L967" s="5">
        <v>100</v>
      </c>
      <c r="M967" s="5">
        <v>100</v>
      </c>
      <c r="N967" s="5">
        <v>100</v>
      </c>
      <c r="O967" s="2">
        <v>1.0133524447172864</v>
      </c>
      <c r="P967" s="2">
        <v>1.0000050000287824E-5</v>
      </c>
      <c r="Q967" s="2">
        <v>1.0000050000287824E-5</v>
      </c>
      <c r="R967" s="2">
        <v>1.0000050000287824E-5</v>
      </c>
    </row>
    <row r="968" spans="1:18" x14ac:dyDescent="0.3">
      <c r="A968" s="7">
        <v>469</v>
      </c>
      <c r="B968" s="7">
        <v>486</v>
      </c>
      <c r="C968" s="7">
        <v>1</v>
      </c>
      <c r="D968" s="7">
        <v>1</v>
      </c>
      <c r="E968" s="20" t="str">
        <f t="shared" si="15"/>
        <v>11</v>
      </c>
      <c r="F968" s="21">
        <v>1.3217031331732101E-2</v>
      </c>
      <c r="G968" s="4">
        <v>0.57599999999999996</v>
      </c>
      <c r="H968" s="4">
        <v>0.677966101694915</v>
      </c>
      <c r="I968" s="4">
        <v>0.99399999999999999</v>
      </c>
      <c r="J968" s="4">
        <v>1</v>
      </c>
      <c r="K968" s="5">
        <v>100</v>
      </c>
      <c r="L968" s="5">
        <v>100</v>
      </c>
      <c r="M968" s="5">
        <v>100</v>
      </c>
      <c r="N968" s="5">
        <v>100</v>
      </c>
      <c r="O968" s="2">
        <v>0.55164761828624587</v>
      </c>
      <c r="P968" s="2">
        <v>0.38865798979178351</v>
      </c>
      <c r="Q968" s="2">
        <v>6.0180723255630212E-3</v>
      </c>
      <c r="R968" s="2">
        <v>1.0000050000287824E-5</v>
      </c>
    </row>
    <row r="969" spans="1:18" x14ac:dyDescent="0.3">
      <c r="A969" s="7">
        <v>765</v>
      </c>
      <c r="B969" s="7">
        <v>487</v>
      </c>
      <c r="C969" s="7">
        <v>1</v>
      </c>
      <c r="D969" s="7">
        <v>1</v>
      </c>
      <c r="E969" s="20" t="str">
        <f t="shared" si="15"/>
        <v>11</v>
      </c>
      <c r="F969" s="21">
        <v>1.47906863732747E-2</v>
      </c>
      <c r="G969" s="4">
        <v>0.25900000000000001</v>
      </c>
      <c r="H969" s="4">
        <v>1</v>
      </c>
      <c r="I969" s="4">
        <v>0.98899999999999999</v>
      </c>
      <c r="J969" s="4">
        <v>1</v>
      </c>
      <c r="K969" s="5">
        <v>0</v>
      </c>
      <c r="L969" s="5">
        <v>100</v>
      </c>
      <c r="M969" s="5">
        <v>100</v>
      </c>
      <c r="N969" s="5">
        <v>100</v>
      </c>
      <c r="O969" s="2">
        <v>1.3509272172825992</v>
      </c>
      <c r="P969" s="2">
        <v>1.0000050000287824E-5</v>
      </c>
      <c r="Q969" s="2">
        <v>1.1060947359424948E-2</v>
      </c>
      <c r="R969" s="2">
        <v>1.0000050000287824E-5</v>
      </c>
    </row>
    <row r="970" spans="1:18" x14ac:dyDescent="0.3">
      <c r="A970" s="7">
        <v>192</v>
      </c>
      <c r="B970" s="7">
        <v>479</v>
      </c>
      <c r="C970" s="7">
        <v>1</v>
      </c>
      <c r="D970" s="7">
        <v>1</v>
      </c>
      <c r="E970" s="20" t="str">
        <f t="shared" si="15"/>
        <v>11</v>
      </c>
      <c r="F970" s="21">
        <v>2.17460961103558E-2</v>
      </c>
      <c r="G970" s="4">
        <v>0.35799999999999998</v>
      </c>
      <c r="H970" s="4">
        <v>1</v>
      </c>
      <c r="I970" s="4">
        <v>0.999</v>
      </c>
      <c r="J970" s="4">
        <v>1</v>
      </c>
      <c r="K970" s="5">
        <v>0</v>
      </c>
      <c r="L970" s="5">
        <v>100</v>
      </c>
      <c r="M970" s="5">
        <v>100</v>
      </c>
      <c r="N970" s="5">
        <v>100</v>
      </c>
      <c r="O970" s="2">
        <v>1.0272222925814367</v>
      </c>
      <c r="P970" s="2">
        <v>1.0000050000287824E-5</v>
      </c>
      <c r="Q970" s="2">
        <v>1.0005003335835344E-3</v>
      </c>
      <c r="R970" s="2">
        <v>1.0000050000287824E-5</v>
      </c>
    </row>
    <row r="971" spans="1:18" x14ac:dyDescent="0.3">
      <c r="A971" s="7">
        <v>183</v>
      </c>
      <c r="B971" s="7">
        <v>483</v>
      </c>
      <c r="C971" s="7">
        <v>1</v>
      </c>
      <c r="D971" s="7">
        <v>1</v>
      </c>
      <c r="E971" s="20" t="str">
        <f t="shared" si="15"/>
        <v>11</v>
      </c>
      <c r="F971" s="21">
        <v>2.6327303248475001E-2</v>
      </c>
      <c r="G971" s="4">
        <v>0.113</v>
      </c>
      <c r="H971" s="4">
        <v>0.58333333333333304</v>
      </c>
      <c r="I971" s="4">
        <v>0.999</v>
      </c>
      <c r="J971" s="4">
        <v>1</v>
      </c>
      <c r="K971" s="5">
        <v>0</v>
      </c>
      <c r="L971" s="5">
        <v>100</v>
      </c>
      <c r="M971" s="5">
        <v>100</v>
      </c>
      <c r="N971" s="5">
        <v>100</v>
      </c>
      <c r="O971" s="2">
        <v>2.1803674602697964</v>
      </c>
      <c r="P971" s="2">
        <v>0.53899650073268757</v>
      </c>
      <c r="Q971" s="2">
        <v>1.0005003335835344E-3</v>
      </c>
      <c r="R971" s="2">
        <v>1.0000050000287824E-5</v>
      </c>
    </row>
    <row r="972" spans="1:18" x14ac:dyDescent="0.3">
      <c r="A972" s="7">
        <v>224</v>
      </c>
      <c r="B972" s="7">
        <v>456</v>
      </c>
      <c r="C972" s="7">
        <v>1</v>
      </c>
      <c r="D972" s="7">
        <v>1</v>
      </c>
      <c r="E972" s="20" t="str">
        <f t="shared" si="15"/>
        <v>11</v>
      </c>
      <c r="F972" s="21">
        <v>4.0877542942084101E-2</v>
      </c>
      <c r="G972" s="4">
        <v>0.30099999999999999</v>
      </c>
      <c r="H972" s="4">
        <v>1</v>
      </c>
      <c r="I972" s="4">
        <v>1</v>
      </c>
      <c r="J972" s="4">
        <v>0.999</v>
      </c>
      <c r="K972" s="5">
        <v>0</v>
      </c>
      <c r="L972" s="5">
        <v>100</v>
      </c>
      <c r="M972" s="5">
        <v>100</v>
      </c>
      <c r="N972" s="5">
        <v>100</v>
      </c>
      <c r="O972" s="2">
        <v>1.2006450142332614</v>
      </c>
      <c r="P972" s="2">
        <v>1.0000050000287824E-5</v>
      </c>
      <c r="Q972" s="2">
        <v>1.0000050000287824E-5</v>
      </c>
      <c r="R972" s="2">
        <v>1.0005003335835344E-3</v>
      </c>
    </row>
    <row r="973" spans="1:18" x14ac:dyDescent="0.3">
      <c r="A973" s="7">
        <v>18</v>
      </c>
      <c r="B973" s="7">
        <v>450</v>
      </c>
      <c r="C973" s="7">
        <v>1</v>
      </c>
      <c r="D973" s="7">
        <v>1</v>
      </c>
      <c r="E973" s="20" t="str">
        <f t="shared" si="15"/>
        <v>11</v>
      </c>
      <c r="F973" s="21">
        <v>6.0913390042598901E-2</v>
      </c>
      <c r="G973" s="4">
        <v>0.27900000000000003</v>
      </c>
      <c r="H973" s="4">
        <v>1</v>
      </c>
      <c r="I973" s="4">
        <v>0.998</v>
      </c>
      <c r="J973" s="4">
        <v>1</v>
      </c>
      <c r="K973" s="5">
        <v>0</v>
      </c>
      <c r="L973" s="5">
        <v>100</v>
      </c>
      <c r="M973" s="5">
        <v>100</v>
      </c>
      <c r="N973" s="5">
        <v>100</v>
      </c>
      <c r="O973" s="2">
        <v>1.2765434971607714</v>
      </c>
      <c r="P973" s="2">
        <v>1.0000050000287824E-5</v>
      </c>
      <c r="Q973" s="2">
        <v>2.0020026706730793E-3</v>
      </c>
      <c r="R973" s="2">
        <v>1.0000050000287824E-5</v>
      </c>
    </row>
    <row r="974" spans="1:18" x14ac:dyDescent="0.3">
      <c r="A974" s="7">
        <v>882</v>
      </c>
      <c r="B974" s="7">
        <v>428</v>
      </c>
      <c r="C974" s="7">
        <v>1</v>
      </c>
      <c r="D974" s="7">
        <v>1</v>
      </c>
      <c r="E974" s="20" t="str">
        <f t="shared" si="15"/>
        <v>11</v>
      </c>
      <c r="F974" s="21">
        <v>8.1553423025418806E-2</v>
      </c>
      <c r="G974" s="4">
        <v>0.26700000000000002</v>
      </c>
      <c r="H974" s="4">
        <v>1</v>
      </c>
      <c r="I974" s="4">
        <v>0.998</v>
      </c>
      <c r="J974" s="4">
        <v>1</v>
      </c>
      <c r="K974" s="5">
        <v>0</v>
      </c>
      <c r="L974" s="5">
        <v>100</v>
      </c>
      <c r="M974" s="5">
        <v>100</v>
      </c>
      <c r="N974" s="5">
        <v>100</v>
      </c>
      <c r="O974" s="2">
        <v>1.3205066205818874</v>
      </c>
      <c r="P974" s="2">
        <v>1.0000050000287824E-5</v>
      </c>
      <c r="Q974" s="2">
        <v>2.0020026706730793E-3</v>
      </c>
      <c r="R974" s="2">
        <v>1.0000050000287824E-5</v>
      </c>
    </row>
    <row r="975" spans="1:18" x14ac:dyDescent="0.3">
      <c r="A975" s="7">
        <v>585</v>
      </c>
      <c r="B975" s="7">
        <v>439</v>
      </c>
      <c r="C975" s="7">
        <v>1</v>
      </c>
      <c r="D975" s="7">
        <v>1</v>
      </c>
      <c r="E975" s="20" t="str">
        <f t="shared" si="15"/>
        <v>11</v>
      </c>
      <c r="F975" s="21">
        <v>8.9144224186277099E-2</v>
      </c>
      <c r="G975" s="4">
        <v>0.17899999999999999</v>
      </c>
      <c r="H975" s="4">
        <v>1</v>
      </c>
      <c r="I975" s="4">
        <v>0.997</v>
      </c>
      <c r="J975" s="4">
        <v>1</v>
      </c>
      <c r="K975" s="5">
        <v>0</v>
      </c>
      <c r="L975" s="5">
        <v>100</v>
      </c>
      <c r="M975" s="5">
        <v>100</v>
      </c>
      <c r="N975" s="5">
        <v>100</v>
      </c>
      <c r="O975" s="2">
        <v>1.7203694731413821</v>
      </c>
      <c r="P975" s="2">
        <v>1.0000050000287824E-5</v>
      </c>
      <c r="Q975" s="2">
        <v>3.0045090202987243E-3</v>
      </c>
      <c r="R975" s="2">
        <v>1.0000050000287824E-5</v>
      </c>
    </row>
    <row r="976" spans="1:18" x14ac:dyDescent="0.3">
      <c r="A976" s="7">
        <v>366</v>
      </c>
      <c r="B976" s="7">
        <v>407</v>
      </c>
      <c r="C976" s="7">
        <v>1</v>
      </c>
      <c r="D976" s="7">
        <v>1</v>
      </c>
      <c r="E976" s="20" t="str">
        <f t="shared" si="15"/>
        <v>11</v>
      </c>
      <c r="F976" s="21">
        <v>9.3676374632269105E-2</v>
      </c>
      <c r="G976" s="4">
        <v>0.39300000000000002</v>
      </c>
      <c r="H976" s="4">
        <v>1</v>
      </c>
      <c r="I976" s="4">
        <v>0.998</v>
      </c>
      <c r="J976" s="4">
        <v>1</v>
      </c>
      <c r="K976" s="5">
        <v>0</v>
      </c>
      <c r="L976" s="5">
        <v>100</v>
      </c>
      <c r="M976" s="5">
        <v>100</v>
      </c>
      <c r="N976" s="5">
        <v>100</v>
      </c>
      <c r="O976" s="2">
        <v>0.93394566711287574</v>
      </c>
      <c r="P976" s="2">
        <v>1.0000050000287824E-5</v>
      </c>
      <c r="Q976" s="2">
        <v>2.0020026706730793E-3</v>
      </c>
      <c r="R976" s="2">
        <v>1.0000050000287824E-5</v>
      </c>
    </row>
    <row r="977" spans="1:18" x14ac:dyDescent="0.3">
      <c r="A977" s="7">
        <v>447</v>
      </c>
      <c r="B977" s="7">
        <v>425</v>
      </c>
      <c r="C977" s="7">
        <v>1</v>
      </c>
      <c r="D977" s="7">
        <v>1</v>
      </c>
      <c r="E977" s="20" t="str">
        <f t="shared" si="15"/>
        <v>11</v>
      </c>
      <c r="F977" s="21">
        <v>9.796488626864E-2</v>
      </c>
      <c r="G977" s="4">
        <v>0.66300000000000003</v>
      </c>
      <c r="H977" s="4">
        <v>0.94915254237288105</v>
      </c>
      <c r="I977" s="4">
        <v>0.995</v>
      </c>
      <c r="J977" s="4">
        <v>0.999</v>
      </c>
      <c r="K977" s="5">
        <v>100</v>
      </c>
      <c r="L977" s="5">
        <v>100</v>
      </c>
      <c r="M977" s="5">
        <v>100</v>
      </c>
      <c r="N977" s="5">
        <v>100</v>
      </c>
      <c r="O977" s="2">
        <v>0.41098028879627452</v>
      </c>
      <c r="P977" s="2">
        <v>5.2185753170570545E-2</v>
      </c>
      <c r="Q977" s="2">
        <v>5.0125418235442863E-3</v>
      </c>
      <c r="R977" s="2">
        <v>1.0005003335835344E-3</v>
      </c>
    </row>
    <row r="978" spans="1:18" x14ac:dyDescent="0.3">
      <c r="A978" s="7">
        <v>158</v>
      </c>
      <c r="B978" s="7">
        <v>409</v>
      </c>
      <c r="C978" s="7">
        <v>1</v>
      </c>
      <c r="D978" s="7">
        <v>1</v>
      </c>
      <c r="E978" s="20" t="str">
        <f t="shared" si="15"/>
        <v>11</v>
      </c>
      <c r="F978" s="21">
        <v>0.128469111002293</v>
      </c>
      <c r="G978" s="4">
        <v>0.219</v>
      </c>
      <c r="H978" s="4">
        <v>1</v>
      </c>
      <c r="I978" s="4">
        <v>0.999</v>
      </c>
      <c r="J978" s="4">
        <v>1</v>
      </c>
      <c r="K978" s="5">
        <v>0</v>
      </c>
      <c r="L978" s="5">
        <v>100</v>
      </c>
      <c r="M978" s="5">
        <v>100</v>
      </c>
      <c r="N978" s="5">
        <v>100</v>
      </c>
      <c r="O978" s="2">
        <v>1.5186835491656363</v>
      </c>
      <c r="P978" s="2">
        <v>1.0000050000287824E-5</v>
      </c>
      <c r="Q978" s="2">
        <v>1.0005003335835344E-3</v>
      </c>
      <c r="R978" s="2">
        <v>1.0000050000287824E-5</v>
      </c>
    </row>
    <row r="979" spans="1:18" x14ac:dyDescent="0.3">
      <c r="A979" s="7">
        <v>304</v>
      </c>
      <c r="B979" s="7">
        <v>339</v>
      </c>
      <c r="C979" s="7">
        <v>1</v>
      </c>
      <c r="D979" s="7">
        <v>1</v>
      </c>
      <c r="E979" s="20" t="str">
        <f t="shared" si="15"/>
        <v>11</v>
      </c>
      <c r="F979" s="21">
        <v>0.231149329714186</v>
      </c>
      <c r="G979" s="4">
        <v>0.435</v>
      </c>
      <c r="H979" s="4">
        <v>1</v>
      </c>
      <c r="I979" s="4">
        <v>0.995</v>
      </c>
      <c r="J979" s="4">
        <v>1</v>
      </c>
      <c r="K979" s="5">
        <v>0</v>
      </c>
      <c r="L979" s="5">
        <v>100</v>
      </c>
      <c r="M979" s="5">
        <v>100</v>
      </c>
      <c r="N979" s="5">
        <v>100</v>
      </c>
      <c r="O979" s="2">
        <v>0.83240924789345294</v>
      </c>
      <c r="P979" s="2">
        <v>1.0000050000287824E-5</v>
      </c>
      <c r="Q979" s="2">
        <v>5.0125418235442863E-3</v>
      </c>
      <c r="R979" s="2">
        <v>1.0000050000287824E-5</v>
      </c>
    </row>
    <row r="980" spans="1:18" x14ac:dyDescent="0.3">
      <c r="A980" s="7">
        <v>148</v>
      </c>
      <c r="B980" s="7">
        <v>335</v>
      </c>
      <c r="C980" s="7">
        <v>1</v>
      </c>
      <c r="D980" s="7">
        <v>1</v>
      </c>
      <c r="E980" s="20" t="str">
        <f t="shared" si="15"/>
        <v>11</v>
      </c>
      <c r="F980" s="21">
        <v>0.25208329832301501</v>
      </c>
      <c r="G980" s="4">
        <v>0.155</v>
      </c>
      <c r="H980" s="4">
        <v>1</v>
      </c>
      <c r="I980" s="4">
        <v>1</v>
      </c>
      <c r="J980" s="4">
        <v>1</v>
      </c>
      <c r="K980" s="5">
        <v>0</v>
      </c>
      <c r="L980" s="5">
        <v>100</v>
      </c>
      <c r="M980" s="5">
        <v>100</v>
      </c>
      <c r="N980" s="5">
        <v>100</v>
      </c>
      <c r="O980" s="2">
        <v>1.8643301620628905</v>
      </c>
      <c r="P980" s="2">
        <v>1.0000050000287824E-5</v>
      </c>
      <c r="Q980" s="2">
        <v>1.0000050000287824E-5</v>
      </c>
      <c r="R980" s="2">
        <v>1.0000050000287824E-5</v>
      </c>
    </row>
    <row r="981" spans="1:18" x14ac:dyDescent="0.3">
      <c r="A981" s="7">
        <v>292</v>
      </c>
      <c r="B981" s="7">
        <v>298</v>
      </c>
      <c r="C981" s="7">
        <v>1</v>
      </c>
      <c r="D981" s="7">
        <v>1</v>
      </c>
      <c r="E981" s="20" t="str">
        <f t="shared" si="15"/>
        <v>11</v>
      </c>
      <c r="F981" s="21">
        <v>0.28147972079578398</v>
      </c>
      <c r="G981" s="4">
        <v>0.66</v>
      </c>
      <c r="H981" s="4">
        <v>1</v>
      </c>
      <c r="I981" s="4">
        <v>0.98699999999999999</v>
      </c>
      <c r="J981" s="4">
        <v>1</v>
      </c>
      <c r="K981" s="5">
        <v>100</v>
      </c>
      <c r="L981" s="5">
        <v>100</v>
      </c>
      <c r="M981" s="5">
        <v>100</v>
      </c>
      <c r="N981" s="5">
        <v>100</v>
      </c>
      <c r="O981" s="2">
        <v>0.41551544396166579</v>
      </c>
      <c r="P981" s="2">
        <v>1.0000050000287824E-5</v>
      </c>
      <c r="Q981" s="2">
        <v>1.3085239548655481E-2</v>
      </c>
      <c r="R981" s="2">
        <v>1.0000050000287824E-5</v>
      </c>
    </row>
    <row r="982" spans="1:18" x14ac:dyDescent="0.3">
      <c r="A982" s="7">
        <v>643</v>
      </c>
      <c r="B982" s="7">
        <v>321</v>
      </c>
      <c r="C982" s="7">
        <v>1</v>
      </c>
      <c r="D982" s="7">
        <v>1</v>
      </c>
      <c r="E982" s="20" t="str">
        <f t="shared" si="15"/>
        <v>11</v>
      </c>
      <c r="F982" s="21">
        <v>0.28377066861832301</v>
      </c>
      <c r="G982" s="4">
        <v>0.64200000000000002</v>
      </c>
      <c r="H982" s="4">
        <v>1</v>
      </c>
      <c r="I982" s="4">
        <v>0.997</v>
      </c>
      <c r="J982" s="4">
        <v>1</v>
      </c>
      <c r="K982" s="5">
        <v>100</v>
      </c>
      <c r="L982" s="5">
        <v>100</v>
      </c>
      <c r="M982" s="5">
        <v>100</v>
      </c>
      <c r="N982" s="5">
        <v>100</v>
      </c>
      <c r="O982" s="2">
        <v>0.44316697529217586</v>
      </c>
      <c r="P982" s="2">
        <v>1.0000050000287824E-5</v>
      </c>
      <c r="Q982" s="2">
        <v>3.0045090202987243E-3</v>
      </c>
      <c r="R982" s="2">
        <v>1.0000050000287824E-5</v>
      </c>
    </row>
    <row r="983" spans="1:18" x14ac:dyDescent="0.3">
      <c r="A983" s="7">
        <v>386</v>
      </c>
      <c r="B983" s="7">
        <v>285</v>
      </c>
      <c r="C983" s="7">
        <v>1</v>
      </c>
      <c r="D983" s="7">
        <v>1</v>
      </c>
      <c r="E983" s="20" t="str">
        <f t="shared" si="15"/>
        <v>11</v>
      </c>
      <c r="F983" s="21">
        <v>0.33445960947394598</v>
      </c>
      <c r="G983" s="4">
        <v>0.89500000000000002</v>
      </c>
      <c r="H983" s="4">
        <v>1</v>
      </c>
      <c r="I983" s="4">
        <v>0.98799999999999999</v>
      </c>
      <c r="J983" s="4">
        <v>1</v>
      </c>
      <c r="K983" s="5">
        <v>100</v>
      </c>
      <c r="L983" s="5">
        <v>100</v>
      </c>
      <c r="M983" s="5">
        <v>100</v>
      </c>
      <c r="N983" s="5">
        <v>100</v>
      </c>
      <c r="O983" s="2">
        <v>0.11093156070728166</v>
      </c>
      <c r="P983" s="2">
        <v>1.0000050000287824E-5</v>
      </c>
      <c r="Q983" s="2">
        <v>1.2072581234269249E-2</v>
      </c>
      <c r="R983" s="2">
        <v>1.0000050000287824E-5</v>
      </c>
    </row>
    <row r="984" spans="1:18" x14ac:dyDescent="0.3">
      <c r="A984" s="7">
        <v>465</v>
      </c>
      <c r="B984" s="7">
        <v>273</v>
      </c>
      <c r="C984" s="7">
        <v>1</v>
      </c>
      <c r="D984" s="7">
        <v>1</v>
      </c>
      <c r="E984" s="20" t="str">
        <f t="shared" si="15"/>
        <v>11</v>
      </c>
      <c r="F984" s="21">
        <v>0.34508589919323601</v>
      </c>
      <c r="G984" s="4">
        <v>0.81</v>
      </c>
      <c r="H984" s="4">
        <v>1</v>
      </c>
      <c r="I984" s="4">
        <v>0.99399999999999999</v>
      </c>
      <c r="J984" s="4">
        <v>1</v>
      </c>
      <c r="K984" s="5">
        <v>100</v>
      </c>
      <c r="L984" s="5">
        <v>100</v>
      </c>
      <c r="M984" s="5">
        <v>100</v>
      </c>
      <c r="N984" s="5">
        <v>100</v>
      </c>
      <c r="O984" s="2">
        <v>0.21072103131565253</v>
      </c>
      <c r="P984" s="2">
        <v>1.0000050000287824E-5</v>
      </c>
      <c r="Q984" s="2">
        <v>6.0180723255630212E-3</v>
      </c>
      <c r="R984" s="2">
        <v>1.0000050000287824E-5</v>
      </c>
    </row>
    <row r="985" spans="1:18" x14ac:dyDescent="0.3">
      <c r="A985" s="7">
        <v>205</v>
      </c>
      <c r="B985" s="7">
        <v>259</v>
      </c>
      <c r="C985" s="7">
        <v>1</v>
      </c>
      <c r="D985" s="7">
        <v>1</v>
      </c>
      <c r="E985" s="20" t="str">
        <f t="shared" si="15"/>
        <v>11</v>
      </c>
      <c r="F985" s="21">
        <v>0.35981027937429499</v>
      </c>
      <c r="G985" s="4">
        <v>0.42099999999999999</v>
      </c>
      <c r="H985" s="4">
        <v>1</v>
      </c>
      <c r="I985" s="4">
        <v>0.995</v>
      </c>
      <c r="J985" s="4">
        <v>1</v>
      </c>
      <c r="K985" s="5">
        <v>0</v>
      </c>
      <c r="L985" s="5">
        <v>100</v>
      </c>
      <c r="M985" s="5">
        <v>100</v>
      </c>
      <c r="N985" s="5">
        <v>100</v>
      </c>
      <c r="O985" s="2">
        <v>0.86512244529975568</v>
      </c>
      <c r="P985" s="2">
        <v>1.0000050000287824E-5</v>
      </c>
      <c r="Q985" s="2">
        <v>5.0125418235442863E-3</v>
      </c>
      <c r="R985" s="2">
        <v>1.0000050000287824E-5</v>
      </c>
    </row>
    <row r="986" spans="1:18" x14ac:dyDescent="0.3">
      <c r="A986" s="7">
        <v>644</v>
      </c>
      <c r="B986" s="7">
        <v>252</v>
      </c>
      <c r="C986" s="7">
        <v>1</v>
      </c>
      <c r="D986" s="7">
        <v>1</v>
      </c>
      <c r="E986" s="20" t="str">
        <f t="shared" si="15"/>
        <v>11</v>
      </c>
      <c r="F986" s="21">
        <v>0.36750589475544099</v>
      </c>
      <c r="G986" s="4">
        <v>0.90800000000000003</v>
      </c>
      <c r="H986" s="4">
        <v>1</v>
      </c>
      <c r="I986" s="4">
        <v>0.99299999999999999</v>
      </c>
      <c r="J986" s="4">
        <v>1</v>
      </c>
      <c r="K986" s="5">
        <v>100</v>
      </c>
      <c r="L986" s="5">
        <v>100</v>
      </c>
      <c r="M986" s="5">
        <v>100</v>
      </c>
      <c r="N986" s="5">
        <v>100</v>
      </c>
      <c r="O986" s="2">
        <v>9.6510900380843728E-2</v>
      </c>
      <c r="P986" s="2">
        <v>1.0000050000287824E-5</v>
      </c>
      <c r="Q986" s="2">
        <v>7.0246149369644663E-3</v>
      </c>
      <c r="R986" s="2">
        <v>1.0000050000287824E-5</v>
      </c>
    </row>
    <row r="987" spans="1:18" x14ac:dyDescent="0.3">
      <c r="A987" s="7">
        <v>257</v>
      </c>
      <c r="B987" s="7">
        <v>281</v>
      </c>
      <c r="C987" s="7">
        <v>1</v>
      </c>
      <c r="D987" s="7">
        <v>1</v>
      </c>
      <c r="E987" s="20" t="str">
        <f t="shared" si="15"/>
        <v>11</v>
      </c>
      <c r="F987" s="21">
        <v>0.36864360170205501</v>
      </c>
      <c r="G987" s="4">
        <v>0.14299999999999999</v>
      </c>
      <c r="H987" s="4">
        <v>1</v>
      </c>
      <c r="I987" s="4">
        <v>0.98899999999999999</v>
      </c>
      <c r="J987" s="4">
        <v>0.997</v>
      </c>
      <c r="K987" s="5">
        <v>0</v>
      </c>
      <c r="L987" s="5">
        <v>100</v>
      </c>
      <c r="M987" s="5">
        <v>100</v>
      </c>
      <c r="N987" s="5">
        <v>100</v>
      </c>
      <c r="O987" s="2">
        <v>1.9449106487222299</v>
      </c>
      <c r="P987" s="2">
        <v>1.0000050000287824E-5</v>
      </c>
      <c r="Q987" s="2">
        <v>1.1060947359424948E-2</v>
      </c>
      <c r="R987" s="2">
        <v>3.0045090202987243E-3</v>
      </c>
    </row>
    <row r="988" spans="1:18" x14ac:dyDescent="0.3">
      <c r="A988" s="7">
        <v>318</v>
      </c>
      <c r="B988" s="7">
        <v>230</v>
      </c>
      <c r="C988" s="7">
        <v>1</v>
      </c>
      <c r="D988" s="7">
        <v>1</v>
      </c>
      <c r="E988" s="20" t="str">
        <f t="shared" si="15"/>
        <v>11</v>
      </c>
      <c r="F988" s="21">
        <v>0.43066760457768199</v>
      </c>
      <c r="G988" s="4">
        <v>0.122</v>
      </c>
      <c r="H988" s="4">
        <v>1</v>
      </c>
      <c r="I988" s="4">
        <v>0.997</v>
      </c>
      <c r="J988" s="4">
        <v>0.99299999999999999</v>
      </c>
      <c r="K988" s="5">
        <v>0</v>
      </c>
      <c r="L988" s="5">
        <v>100</v>
      </c>
      <c r="M988" s="5">
        <v>100</v>
      </c>
      <c r="N988" s="5">
        <v>100</v>
      </c>
      <c r="O988" s="2">
        <v>2.1037342342488805</v>
      </c>
      <c r="P988" s="2">
        <v>1.0000050000287824E-5</v>
      </c>
      <c r="Q988" s="2">
        <v>3.0045090202987243E-3</v>
      </c>
      <c r="R988" s="2">
        <v>7.0246149369644663E-3</v>
      </c>
    </row>
    <row r="989" spans="1:18" x14ac:dyDescent="0.3">
      <c r="A989" s="7">
        <v>47</v>
      </c>
      <c r="B989" s="7">
        <v>224</v>
      </c>
      <c r="C989" s="7">
        <v>1</v>
      </c>
      <c r="D989" s="7">
        <v>1</v>
      </c>
      <c r="E989" s="20" t="str">
        <f t="shared" si="15"/>
        <v>11</v>
      </c>
      <c r="F989" s="21">
        <v>0.43492207591639398</v>
      </c>
      <c r="G989" s="4">
        <v>0.59899999999999998</v>
      </c>
      <c r="H989" s="4">
        <v>1</v>
      </c>
      <c r="I989" s="4">
        <v>0.98499999999999999</v>
      </c>
      <c r="J989" s="4">
        <v>1</v>
      </c>
      <c r="K989" s="5">
        <v>100</v>
      </c>
      <c r="L989" s="5">
        <v>100</v>
      </c>
      <c r="M989" s="5">
        <v>100</v>
      </c>
      <c r="N989" s="5">
        <v>100</v>
      </c>
      <c r="O989" s="2">
        <v>0.51249368086668778</v>
      </c>
      <c r="P989" s="2">
        <v>1.0000050000287824E-5</v>
      </c>
      <c r="Q989" s="2">
        <v>1.5113637810048184E-2</v>
      </c>
      <c r="R989" s="2">
        <v>1.0000050000287824E-5</v>
      </c>
    </row>
    <row r="990" spans="1:18" x14ac:dyDescent="0.3">
      <c r="A990" s="7">
        <v>111</v>
      </c>
      <c r="B990" s="7">
        <v>246</v>
      </c>
      <c r="C990" s="7">
        <v>1</v>
      </c>
      <c r="D990" s="7">
        <v>1</v>
      </c>
      <c r="E990" s="20" t="str">
        <f t="shared" si="15"/>
        <v>11</v>
      </c>
      <c r="F990" s="21">
        <v>0.45540926971255002</v>
      </c>
      <c r="G990" s="4">
        <v>0.63500000000000001</v>
      </c>
      <c r="H990" s="4">
        <v>1</v>
      </c>
      <c r="I990" s="4">
        <v>0.98799999999999999</v>
      </c>
      <c r="J990" s="4">
        <v>1</v>
      </c>
      <c r="K990" s="5">
        <v>100</v>
      </c>
      <c r="L990" s="5">
        <v>100</v>
      </c>
      <c r="M990" s="5">
        <v>100</v>
      </c>
      <c r="N990" s="5">
        <v>100</v>
      </c>
      <c r="O990" s="2">
        <v>0.45413028008944539</v>
      </c>
      <c r="P990" s="2">
        <v>1.0000050000287824E-5</v>
      </c>
      <c r="Q990" s="2">
        <v>1.2072581234269249E-2</v>
      </c>
      <c r="R990" s="2">
        <v>1.0000050000287824E-5</v>
      </c>
    </row>
    <row r="991" spans="1:18" x14ac:dyDescent="0.3">
      <c r="A991" s="7">
        <v>359</v>
      </c>
      <c r="B991" s="7">
        <v>184</v>
      </c>
      <c r="C991" s="7">
        <v>1</v>
      </c>
      <c r="D991" s="7">
        <v>1</v>
      </c>
      <c r="E991" s="20" t="str">
        <f t="shared" si="15"/>
        <v>11</v>
      </c>
      <c r="F991" s="21">
        <v>0.58130033681478499</v>
      </c>
      <c r="G991" s="4">
        <v>0.49099999999999999</v>
      </c>
      <c r="H991" s="4">
        <v>0.86666666666666703</v>
      </c>
      <c r="I991" s="4">
        <v>0.98</v>
      </c>
      <c r="J991" s="4">
        <v>0.997</v>
      </c>
      <c r="K991" s="5">
        <v>0</v>
      </c>
      <c r="L991" s="5">
        <v>100</v>
      </c>
      <c r="M991" s="5">
        <v>100</v>
      </c>
      <c r="N991" s="5">
        <v>100</v>
      </c>
      <c r="O991" s="2">
        <v>0.71131115118761645</v>
      </c>
      <c r="P991" s="2">
        <v>0.14310084364067291</v>
      </c>
      <c r="Q991" s="2">
        <v>2.0202707317519466E-2</v>
      </c>
      <c r="R991" s="2">
        <v>3.0045090202987243E-3</v>
      </c>
    </row>
    <row r="992" spans="1:18" x14ac:dyDescent="0.3">
      <c r="A992" s="7">
        <v>587</v>
      </c>
      <c r="B992" s="7">
        <v>128</v>
      </c>
      <c r="C992" s="7">
        <v>1</v>
      </c>
      <c r="D992" s="7">
        <v>1</v>
      </c>
      <c r="E992" s="20" t="str">
        <f t="shared" si="15"/>
        <v>11</v>
      </c>
      <c r="F992" s="21">
        <v>0.67354224562371701</v>
      </c>
      <c r="G992" s="4">
        <v>0.40799999999999997</v>
      </c>
      <c r="H992" s="4">
        <v>1</v>
      </c>
      <c r="I992" s="4">
        <v>0.97099999999999997</v>
      </c>
      <c r="J992" s="4">
        <v>0.999</v>
      </c>
      <c r="K992" s="5">
        <v>0</v>
      </c>
      <c r="L992" s="5">
        <v>100</v>
      </c>
      <c r="M992" s="5">
        <v>100</v>
      </c>
      <c r="N992" s="5">
        <v>100</v>
      </c>
      <c r="O992" s="2">
        <v>0.89648810457797545</v>
      </c>
      <c r="P992" s="2">
        <v>1.0000050000287824E-5</v>
      </c>
      <c r="Q992" s="2">
        <v>2.9428810690812168E-2</v>
      </c>
      <c r="R992" s="2">
        <v>1.0005003335835344E-3</v>
      </c>
    </row>
    <row r="993" spans="1:18" x14ac:dyDescent="0.3">
      <c r="A993" s="7">
        <v>104</v>
      </c>
      <c r="B993" s="7">
        <v>142</v>
      </c>
      <c r="C993" s="7">
        <v>1</v>
      </c>
      <c r="D993" s="7">
        <v>1</v>
      </c>
      <c r="E993" s="20" t="str">
        <f t="shared" si="15"/>
        <v>11</v>
      </c>
      <c r="F993" s="21">
        <v>0.69570756077050699</v>
      </c>
      <c r="G993" s="4">
        <v>0.61499999999999999</v>
      </c>
      <c r="H993" s="4">
        <v>1</v>
      </c>
      <c r="I993" s="4">
        <v>0.99099999999999999</v>
      </c>
      <c r="J993" s="4">
        <v>1</v>
      </c>
      <c r="K993" s="5">
        <v>100</v>
      </c>
      <c r="L993" s="5">
        <v>100</v>
      </c>
      <c r="M993" s="5">
        <v>100</v>
      </c>
      <c r="N993" s="5">
        <v>100</v>
      </c>
      <c r="O993" s="2">
        <v>0.48613301117561919</v>
      </c>
      <c r="P993" s="2">
        <v>1.0000050000287824E-5</v>
      </c>
      <c r="Q993" s="2">
        <v>9.0407446521490707E-3</v>
      </c>
      <c r="R993" s="2">
        <v>1.0000050000287824E-5</v>
      </c>
    </row>
    <row r="994" spans="1:18" x14ac:dyDescent="0.3">
      <c r="A994" s="7">
        <v>288</v>
      </c>
      <c r="B994" s="7">
        <v>137</v>
      </c>
      <c r="C994" s="7">
        <v>1</v>
      </c>
      <c r="D994" s="7">
        <v>1</v>
      </c>
      <c r="E994" s="20" t="str">
        <f t="shared" si="15"/>
        <v>11</v>
      </c>
      <c r="F994" s="21">
        <v>0.83437136914274401</v>
      </c>
      <c r="G994" s="4">
        <v>0.19</v>
      </c>
      <c r="H994" s="4">
        <v>0.96875</v>
      </c>
      <c r="I994" s="4">
        <v>0.97299999999999998</v>
      </c>
      <c r="J994" s="4">
        <v>0.96</v>
      </c>
      <c r="K994" s="5">
        <v>0</v>
      </c>
      <c r="L994" s="5">
        <v>100</v>
      </c>
      <c r="M994" s="5">
        <v>100</v>
      </c>
      <c r="N994" s="5">
        <v>100</v>
      </c>
      <c r="O994" s="2">
        <v>1.6607312068216509</v>
      </c>
      <c r="P994" s="2">
        <v>3.1748698314580298E-2</v>
      </c>
      <c r="Q994" s="2">
        <v>2.7371196796132015E-2</v>
      </c>
      <c r="R994" s="2">
        <v>4.0821994520255166E-2</v>
      </c>
    </row>
    <row r="995" spans="1:18" x14ac:dyDescent="0.3">
      <c r="A995" s="7">
        <v>461</v>
      </c>
      <c r="B995" s="7">
        <v>108</v>
      </c>
      <c r="C995" s="7">
        <v>1</v>
      </c>
      <c r="D995" s="7">
        <v>1</v>
      </c>
      <c r="E995" s="20" t="str">
        <f t="shared" si="15"/>
        <v>11</v>
      </c>
      <c r="F995" s="21">
        <v>0.92824092135292702</v>
      </c>
      <c r="G995" s="4">
        <v>0.47399999999999998</v>
      </c>
      <c r="H995" s="4">
        <v>1</v>
      </c>
      <c r="I995" s="4">
        <v>0.94</v>
      </c>
      <c r="J995" s="4">
        <v>0.995</v>
      </c>
      <c r="K995" s="5">
        <v>0</v>
      </c>
      <c r="L995" s="5">
        <v>100</v>
      </c>
      <c r="M995" s="5">
        <v>100</v>
      </c>
      <c r="N995" s="5">
        <v>100</v>
      </c>
      <c r="O995" s="2">
        <v>0.74654795728706058</v>
      </c>
      <c r="P995" s="2">
        <v>1.0000050000287824E-5</v>
      </c>
      <c r="Q995" s="2">
        <v>6.1875403718087529E-2</v>
      </c>
      <c r="R995" s="2">
        <v>5.0125418235442863E-3</v>
      </c>
    </row>
    <row r="996" spans="1:18" x14ac:dyDescent="0.3">
      <c r="A996" s="7">
        <v>723</v>
      </c>
      <c r="B996" s="7">
        <v>83</v>
      </c>
      <c r="C996" s="7">
        <v>1</v>
      </c>
      <c r="D996" s="7">
        <v>1</v>
      </c>
      <c r="E996" s="20" t="str">
        <f t="shared" si="15"/>
        <v>11</v>
      </c>
      <c r="F996" s="21">
        <v>0.97620099152470796</v>
      </c>
      <c r="G996" s="4">
        <v>0.26200000000000001</v>
      </c>
      <c r="H996" s="4">
        <v>1</v>
      </c>
      <c r="I996" s="4">
        <v>0.97899999999999998</v>
      </c>
      <c r="J996" s="4">
        <v>0.99</v>
      </c>
      <c r="K996" s="5">
        <v>0</v>
      </c>
      <c r="L996" s="5">
        <v>100</v>
      </c>
      <c r="M996" s="5">
        <v>100</v>
      </c>
      <c r="N996" s="5">
        <v>100</v>
      </c>
      <c r="O996" s="2">
        <v>1.3394107752210402</v>
      </c>
      <c r="P996" s="2">
        <v>1.0000050000287824E-5</v>
      </c>
      <c r="Q996" s="2">
        <v>2.1223636451626688E-2</v>
      </c>
      <c r="R996" s="2">
        <v>1.0050335853501451E-2</v>
      </c>
    </row>
    <row r="997" spans="1:18" x14ac:dyDescent="0.3">
      <c r="A997" s="7">
        <v>683</v>
      </c>
      <c r="B997" s="7">
        <v>184</v>
      </c>
      <c r="C997" s="7">
        <v>1</v>
      </c>
      <c r="D997" s="7">
        <v>1</v>
      </c>
      <c r="E997" s="20" t="str">
        <f t="shared" si="15"/>
        <v>11</v>
      </c>
      <c r="F997" s="21">
        <v>1.0406831946758399</v>
      </c>
      <c r="G997" s="4">
        <v>0.17299999999999999</v>
      </c>
      <c r="H997" s="4" t="s">
        <v>78</v>
      </c>
      <c r="I997" s="4">
        <v>5.0999999999999997E-2</v>
      </c>
      <c r="J997" s="4">
        <v>0.441</v>
      </c>
      <c r="K997" s="5">
        <v>0</v>
      </c>
      <c r="L997" s="5">
        <v>100</v>
      </c>
      <c r="M997" s="5">
        <v>0</v>
      </c>
      <c r="N997" s="5">
        <v>0</v>
      </c>
      <c r="O997" s="2">
        <v>1.7544636844843582</v>
      </c>
      <c r="P997" s="2"/>
      <c r="Q997" s="2">
        <v>2.9759296462578115</v>
      </c>
      <c r="R997" s="2">
        <v>0.81871040353529101</v>
      </c>
    </row>
    <row r="998" spans="1:18" x14ac:dyDescent="0.3">
      <c r="A998" s="7">
        <v>355</v>
      </c>
      <c r="B998" s="7">
        <v>345</v>
      </c>
      <c r="C998" s="7">
        <v>1</v>
      </c>
      <c r="D998" s="7">
        <v>1</v>
      </c>
      <c r="E998" s="20" t="str">
        <f t="shared" si="15"/>
        <v>11</v>
      </c>
      <c r="F998" s="21">
        <v>1.6178553738589501</v>
      </c>
      <c r="G998" s="4">
        <v>0.255</v>
      </c>
      <c r="H998" s="4">
        <v>1</v>
      </c>
      <c r="I998" s="4">
        <v>0.92600000000000005</v>
      </c>
      <c r="J998" s="4">
        <v>0.995</v>
      </c>
      <c r="K998" s="5">
        <v>0</v>
      </c>
      <c r="L998" s="5">
        <v>100</v>
      </c>
      <c r="M998" s="5">
        <v>100</v>
      </c>
      <c r="N998" s="5">
        <v>100</v>
      </c>
      <c r="O998" s="2">
        <v>1.3664917338237108</v>
      </c>
      <c r="P998" s="2">
        <v>1.0000050000287824E-5</v>
      </c>
      <c r="Q998" s="2">
        <v>7.6881044335957618E-2</v>
      </c>
      <c r="R998" s="2">
        <v>5.0125418235442863E-3</v>
      </c>
    </row>
    <row r="999" spans="1:18" x14ac:dyDescent="0.3">
      <c r="A999" s="7">
        <v>367</v>
      </c>
      <c r="B999" s="7">
        <v>28</v>
      </c>
      <c r="C999" s="7">
        <v>1</v>
      </c>
      <c r="D999" s="7">
        <v>1</v>
      </c>
      <c r="E999" s="20" t="str">
        <f t="shared" si="15"/>
        <v>11</v>
      </c>
      <c r="F999" s="21">
        <v>1.8330973530599499</v>
      </c>
      <c r="G999" s="4">
        <v>0.123</v>
      </c>
      <c r="H999" s="4">
        <v>1</v>
      </c>
      <c r="I999" s="4">
        <v>0.92600000000000005</v>
      </c>
      <c r="J999" s="4">
        <v>0.98599999999999999</v>
      </c>
      <c r="K999" s="5">
        <v>0</v>
      </c>
      <c r="L999" s="5">
        <v>100</v>
      </c>
      <c r="M999" s="5">
        <v>100</v>
      </c>
      <c r="N999" s="5">
        <v>100</v>
      </c>
      <c r="O999" s="2">
        <v>2.0955709236097197</v>
      </c>
      <c r="P999" s="2">
        <v>1.0000050000287824E-5</v>
      </c>
      <c r="Q999" s="2">
        <v>7.6881044335957618E-2</v>
      </c>
      <c r="R999" s="2">
        <v>1.4098924379501648E-2</v>
      </c>
    </row>
    <row r="1000" spans="1:18" x14ac:dyDescent="0.3">
      <c r="A1000" s="7">
        <v>464</v>
      </c>
      <c r="B1000" s="7">
        <v>26</v>
      </c>
      <c r="C1000" s="7">
        <v>1</v>
      </c>
      <c r="D1000" s="7">
        <v>1</v>
      </c>
      <c r="E1000" s="20" t="str">
        <f t="shared" si="15"/>
        <v>11</v>
      </c>
      <c r="F1000" s="21">
        <v>2.0110526172053498</v>
      </c>
      <c r="G1000" s="4">
        <v>7.4999999999999997E-2</v>
      </c>
      <c r="H1000" s="4">
        <v>0</v>
      </c>
      <c r="I1000" s="4">
        <v>0.95</v>
      </c>
      <c r="J1000" s="4">
        <v>0.60399999999999998</v>
      </c>
      <c r="K1000" s="5">
        <v>0</v>
      </c>
      <c r="L1000" s="5">
        <v>0</v>
      </c>
      <c r="M1000" s="5">
        <v>100</v>
      </c>
      <c r="N1000" s="5">
        <v>100</v>
      </c>
      <c r="O1000" s="2">
        <v>2.5902671654458267</v>
      </c>
      <c r="P1000" s="2">
        <v>11.512925464970229</v>
      </c>
      <c r="Q1000" s="2">
        <v>5.1293294387550578E-2</v>
      </c>
      <c r="R1000" s="2">
        <v>0.50418108104732218</v>
      </c>
    </row>
    <row r="1001" spans="1:18" x14ac:dyDescent="0.3">
      <c r="A1001" s="7">
        <v>720</v>
      </c>
      <c r="B1001" s="7">
        <v>13</v>
      </c>
      <c r="C1001" s="7">
        <v>1</v>
      </c>
      <c r="D1001" s="7">
        <v>1</v>
      </c>
      <c r="E1001" s="20" t="str">
        <f t="shared" si="15"/>
        <v>11</v>
      </c>
      <c r="F1001" s="21">
        <v>4.9772119630205101</v>
      </c>
      <c r="G1001" s="4">
        <v>0.129</v>
      </c>
      <c r="H1001" s="4">
        <v>1</v>
      </c>
      <c r="I1001" s="4">
        <v>0.14299999999999999</v>
      </c>
      <c r="J1001" s="4">
        <v>0.98099999999999998</v>
      </c>
      <c r="K1001" s="5">
        <v>0</v>
      </c>
      <c r="L1001" s="5">
        <v>100</v>
      </c>
      <c r="M1001" s="5">
        <v>0</v>
      </c>
      <c r="N1001" s="5">
        <v>100</v>
      </c>
      <c r="O1001" s="2">
        <v>2.0479428746204649</v>
      </c>
      <c r="P1001" s="2">
        <v>1.0000050000287824E-5</v>
      </c>
      <c r="Q1001" s="2">
        <v>1.9449106487222299</v>
      </c>
      <c r="R1001" s="2">
        <v>1.9182819416773987E-2</v>
      </c>
    </row>
    <row r="1002" spans="1:18" x14ac:dyDescent="0.3">
      <c r="P1002" s="2"/>
    </row>
  </sheetData>
  <sortState xmlns:xlrd2="http://schemas.microsoft.com/office/spreadsheetml/2017/richdata2" ref="A2:R1002">
    <sortCondition ref="E2:E1002"/>
    <sortCondition ref="F2:F1002"/>
  </sortState>
  <conditionalFormatting sqref="E2:E1001">
    <cfRule type="containsText" dxfId="11" priority="10" operator="containsText" text="11">
      <formula>NOT(ISERROR(SEARCH("11",E2)))</formula>
    </cfRule>
    <cfRule type="containsText" dxfId="10" priority="11" operator="containsText" text="10">
      <formula>NOT(ISERROR(SEARCH("10",E2)))</formula>
    </cfRule>
    <cfRule type="containsText" dxfId="9" priority="12" operator="containsText" text="01">
      <formula>NOT(ISERROR(SEARCH("01",E2)))</formula>
    </cfRule>
    <cfRule type="containsText" dxfId="8" priority="13" operator="containsText" text="00">
      <formula>NOT(ISERROR(SEARCH("00",E2)))</formula>
    </cfRule>
  </conditionalFormatting>
  <conditionalFormatting sqref="O1002:R1048576">
    <cfRule type="colorScale" priority="2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conditionalFormatting sqref="F1002:F1048576">
    <cfRule type="colorScale" priority="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2:N1048576">
    <cfRule type="colorScale" priority="486">
      <colorScale>
        <cfvo type="min"/>
        <cfvo type="max"/>
        <color theme="0" tint="-0.14999847407452621"/>
        <color theme="4" tint="0.39997558519241921"/>
      </colorScale>
    </cfRule>
    <cfRule type="colorScale" priority="487">
      <colorScale>
        <cfvo type="min"/>
        <cfvo type="max"/>
        <color theme="0" tint="-4.9989318521683403E-2"/>
        <color rgb="FF7030A0"/>
      </colorScale>
    </cfRule>
  </conditionalFormatting>
  <conditionalFormatting sqref="O2:R1001">
    <cfRule type="colorScale" priority="48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48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49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49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4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92C6-AC64-4083-90F1-8E237F4BE151}">
  <dimension ref="A1:R1002"/>
  <sheetViews>
    <sheetView zoomScaleNormal="10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77734375" style="7" bestFit="1" customWidth="1"/>
    <col min="2" max="2" width="5.6640625" style="7" bestFit="1" customWidth="1"/>
    <col min="3" max="4" width="1.77734375" style="5" bestFit="1" customWidth="1"/>
    <col min="5" max="5" width="2.77734375" style="9" bestFit="1" customWidth="1"/>
    <col min="6" max="6" width="7.88671875" style="20" bestFit="1" customWidth="1"/>
    <col min="7" max="10" width="7.44140625" style="4" customWidth="1"/>
    <col min="11" max="14" width="7.109375" style="3" customWidth="1"/>
    <col min="15" max="18" width="7.21875" customWidth="1"/>
  </cols>
  <sheetData>
    <row r="1" spans="1:18" s="10" customFormat="1" x14ac:dyDescent="0.3">
      <c r="A1" s="6" t="s">
        <v>0</v>
      </c>
      <c r="B1" s="6" t="s">
        <v>2</v>
      </c>
      <c r="C1" s="6" t="s">
        <v>3</v>
      </c>
      <c r="D1" s="6" t="s">
        <v>4</v>
      </c>
      <c r="E1" s="8" t="s">
        <v>32</v>
      </c>
      <c r="F1" s="8" t="s">
        <v>5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  <c r="O1" s="10" t="s">
        <v>18</v>
      </c>
      <c r="P1" s="10" t="s">
        <v>19</v>
      </c>
      <c r="Q1" s="10" t="s">
        <v>20</v>
      </c>
      <c r="R1" s="10" t="s">
        <v>21</v>
      </c>
    </row>
    <row r="2" spans="1:18" x14ac:dyDescent="0.3">
      <c r="A2" s="7">
        <v>883</v>
      </c>
      <c r="B2" s="7">
        <v>497</v>
      </c>
      <c r="C2" s="7">
        <v>0</v>
      </c>
      <c r="D2" s="7">
        <v>0</v>
      </c>
      <c r="E2" s="20" t="str">
        <f t="shared" ref="E2:E65" si="0">_xlfn.CONCAT(C2,D2)</f>
        <v>00</v>
      </c>
      <c r="F2" s="21">
        <v>3.4618232290696999E-4</v>
      </c>
      <c r="G2" s="4">
        <v>0.24399999999999999</v>
      </c>
      <c r="H2" s="4">
        <v>0.213836477987421</v>
      </c>
      <c r="I2" s="4">
        <v>0</v>
      </c>
      <c r="J2" s="4">
        <v>0</v>
      </c>
      <c r="K2" s="5">
        <v>100</v>
      </c>
      <c r="L2" s="5">
        <v>100</v>
      </c>
      <c r="M2" s="5">
        <v>100</v>
      </c>
      <c r="N2" s="5">
        <v>100</v>
      </c>
      <c r="O2" s="2">
        <v>0.27971390280260405</v>
      </c>
      <c r="P2" s="2">
        <v>0.24059046491792993</v>
      </c>
      <c r="Q2" s="2">
        <v>1.0000050000287824E-5</v>
      </c>
      <c r="R2" s="2">
        <v>1.0000050000287824E-5</v>
      </c>
    </row>
    <row r="3" spans="1:18" x14ac:dyDescent="0.3">
      <c r="A3" s="7">
        <v>689</v>
      </c>
      <c r="B3" s="7">
        <v>499</v>
      </c>
      <c r="C3" s="7">
        <v>0</v>
      </c>
      <c r="D3" s="7">
        <v>0</v>
      </c>
      <c r="E3" s="20" t="str">
        <f t="shared" si="0"/>
        <v>00</v>
      </c>
      <c r="F3" s="21">
        <v>9.6720469265401698E-4</v>
      </c>
      <c r="G3" s="4">
        <v>0.222</v>
      </c>
      <c r="H3" s="4">
        <v>0.20781893004115201</v>
      </c>
      <c r="I3" s="4">
        <v>0</v>
      </c>
      <c r="J3" s="4">
        <v>0</v>
      </c>
      <c r="K3" s="5">
        <v>100</v>
      </c>
      <c r="L3" s="5">
        <v>100</v>
      </c>
      <c r="M3" s="5">
        <v>100</v>
      </c>
      <c r="N3" s="5">
        <v>100</v>
      </c>
      <c r="O3" s="2">
        <v>0.25102875480374542</v>
      </c>
      <c r="P3" s="2">
        <v>0.23296528961270926</v>
      </c>
      <c r="Q3" s="2">
        <v>1.0000050000287824E-5</v>
      </c>
      <c r="R3" s="2">
        <v>1.0000050000287824E-5</v>
      </c>
    </row>
    <row r="4" spans="1:18" x14ac:dyDescent="0.3">
      <c r="A4" s="7">
        <v>830</v>
      </c>
      <c r="B4" s="7">
        <v>500</v>
      </c>
      <c r="C4" s="7">
        <v>0</v>
      </c>
      <c r="D4" s="7">
        <v>0</v>
      </c>
      <c r="E4" s="20" t="str">
        <f t="shared" si="0"/>
        <v>00</v>
      </c>
      <c r="F4" s="21">
        <v>1.50181649836656E-3</v>
      </c>
      <c r="G4" s="4">
        <v>0.29899999999999999</v>
      </c>
      <c r="H4" s="4">
        <v>0.27157894736842098</v>
      </c>
      <c r="I4" s="4">
        <v>0</v>
      </c>
      <c r="J4" s="4">
        <v>0</v>
      </c>
      <c r="K4" s="5">
        <v>100</v>
      </c>
      <c r="L4" s="5">
        <v>100</v>
      </c>
      <c r="M4" s="5">
        <v>100</v>
      </c>
      <c r="N4" s="5">
        <v>100</v>
      </c>
      <c r="O4" s="2">
        <v>0.35524739194754684</v>
      </c>
      <c r="P4" s="2">
        <v>0.31687602897691675</v>
      </c>
      <c r="Q4" s="2">
        <v>1.0000050000287824E-5</v>
      </c>
      <c r="R4" s="2">
        <v>1.0000050000287824E-5</v>
      </c>
    </row>
    <row r="5" spans="1:18" x14ac:dyDescent="0.3">
      <c r="A5" s="7">
        <v>366</v>
      </c>
      <c r="B5" s="7">
        <v>495</v>
      </c>
      <c r="C5" s="7">
        <v>0</v>
      </c>
      <c r="D5" s="7">
        <v>0</v>
      </c>
      <c r="E5" s="20" t="str">
        <f t="shared" si="0"/>
        <v>00</v>
      </c>
      <c r="F5" s="21">
        <v>3.37734840804509E-3</v>
      </c>
      <c r="G5" s="4">
        <v>0.49099999999999999</v>
      </c>
      <c r="H5" s="4">
        <v>0.41648106904231602</v>
      </c>
      <c r="I5" s="4">
        <v>0</v>
      </c>
      <c r="J5" s="4">
        <v>0</v>
      </c>
      <c r="K5" s="5">
        <v>100</v>
      </c>
      <c r="L5" s="5">
        <v>100</v>
      </c>
      <c r="M5" s="5">
        <v>100</v>
      </c>
      <c r="N5" s="5">
        <v>100</v>
      </c>
      <c r="O5" s="2">
        <v>0.67530726243161432</v>
      </c>
      <c r="P5" s="2">
        <v>0.53867838398115697</v>
      </c>
      <c r="Q5" s="2">
        <v>1.0000050000287824E-5</v>
      </c>
      <c r="R5" s="2">
        <v>1.0000050000287824E-5</v>
      </c>
    </row>
    <row r="6" spans="1:18" x14ac:dyDescent="0.3">
      <c r="A6" s="7">
        <v>407</v>
      </c>
      <c r="B6" s="7">
        <v>498</v>
      </c>
      <c r="C6" s="7">
        <v>0</v>
      </c>
      <c r="D6" s="7">
        <v>0</v>
      </c>
      <c r="E6" s="20" t="str">
        <f t="shared" si="0"/>
        <v>00</v>
      </c>
      <c r="F6" s="21">
        <v>4.1743742630774702E-3</v>
      </c>
      <c r="G6" s="4">
        <v>0.30199999999999999</v>
      </c>
      <c r="H6" s="4">
        <v>0.19955156950672601</v>
      </c>
      <c r="I6" s="4">
        <v>1E-3</v>
      </c>
      <c r="J6" s="4">
        <v>1E-3</v>
      </c>
      <c r="K6" s="5">
        <v>100</v>
      </c>
      <c r="L6" s="5">
        <v>100</v>
      </c>
      <c r="M6" s="5">
        <v>100</v>
      </c>
      <c r="N6" s="5">
        <v>100</v>
      </c>
      <c r="O6" s="2">
        <v>0.35953617621976464</v>
      </c>
      <c r="P6" s="2">
        <v>0.22258317024042445</v>
      </c>
      <c r="Q6" s="2">
        <v>1.0005003335835344E-3</v>
      </c>
      <c r="R6" s="2">
        <v>1.0005003335835344E-3</v>
      </c>
    </row>
    <row r="7" spans="1:18" x14ac:dyDescent="0.3">
      <c r="A7" s="7">
        <v>479</v>
      </c>
      <c r="B7" s="7">
        <v>494</v>
      </c>
      <c r="C7" s="7">
        <v>0</v>
      </c>
      <c r="D7" s="7">
        <v>0</v>
      </c>
      <c r="E7" s="20" t="str">
        <f t="shared" si="0"/>
        <v>00</v>
      </c>
      <c r="F7" s="21">
        <v>4.2379052382544103E-3</v>
      </c>
      <c r="G7" s="4">
        <v>0.50600000000000001</v>
      </c>
      <c r="H7" s="4">
        <v>0.443914081145585</v>
      </c>
      <c r="I7" s="4">
        <v>0</v>
      </c>
      <c r="J7" s="4">
        <v>0</v>
      </c>
      <c r="K7" s="5">
        <v>0</v>
      </c>
      <c r="L7" s="5">
        <v>100</v>
      </c>
      <c r="M7" s="5">
        <v>100</v>
      </c>
      <c r="N7" s="5">
        <v>100</v>
      </c>
      <c r="O7" s="2">
        <v>0.70521976179421453</v>
      </c>
      <c r="P7" s="2">
        <v>0.58683246635643782</v>
      </c>
      <c r="Q7" s="2">
        <v>1.0000050000287824E-5</v>
      </c>
      <c r="R7" s="2">
        <v>1.0000050000287824E-5</v>
      </c>
    </row>
    <row r="8" spans="1:18" x14ac:dyDescent="0.3">
      <c r="A8" s="7">
        <v>427</v>
      </c>
      <c r="B8" s="7">
        <v>492</v>
      </c>
      <c r="C8" s="7">
        <v>0</v>
      </c>
      <c r="D8" s="7">
        <v>0</v>
      </c>
      <c r="E8" s="20" t="str">
        <f t="shared" si="0"/>
        <v>00</v>
      </c>
      <c r="F8" s="21">
        <v>9.1923061586609307E-3</v>
      </c>
      <c r="G8" s="4">
        <v>0.48299999999999998</v>
      </c>
      <c r="H8" s="4">
        <v>0.28684210526315801</v>
      </c>
      <c r="I8" s="4">
        <v>2E-3</v>
      </c>
      <c r="J8" s="4">
        <v>0</v>
      </c>
      <c r="K8" s="5">
        <v>100</v>
      </c>
      <c r="L8" s="5">
        <v>100</v>
      </c>
      <c r="M8" s="5">
        <v>100</v>
      </c>
      <c r="N8" s="5">
        <v>100</v>
      </c>
      <c r="O8" s="2">
        <v>0.65971240447370794</v>
      </c>
      <c r="P8" s="2">
        <v>0.33805243184073069</v>
      </c>
      <c r="Q8" s="2">
        <v>2.0020026706730793E-3</v>
      </c>
      <c r="R8" s="2">
        <v>1.0000050000287824E-5</v>
      </c>
    </row>
    <row r="9" spans="1:18" x14ac:dyDescent="0.3">
      <c r="A9" s="7">
        <v>288</v>
      </c>
      <c r="B9" s="7">
        <v>495</v>
      </c>
      <c r="C9" s="7">
        <v>0</v>
      </c>
      <c r="D9" s="7">
        <v>0</v>
      </c>
      <c r="E9" s="20" t="str">
        <f t="shared" si="0"/>
        <v>00</v>
      </c>
      <c r="F9" s="21">
        <v>1.0302079111901201E-2</v>
      </c>
      <c r="G9" s="4">
        <v>0.40300000000000002</v>
      </c>
      <c r="H9" s="4">
        <v>0.35064935064935099</v>
      </c>
      <c r="I9" s="4">
        <v>2E-3</v>
      </c>
      <c r="J9" s="4">
        <v>0</v>
      </c>
      <c r="K9" s="5">
        <v>100</v>
      </c>
      <c r="L9" s="5">
        <v>100</v>
      </c>
      <c r="M9" s="5">
        <v>100</v>
      </c>
      <c r="N9" s="5">
        <v>100</v>
      </c>
      <c r="O9" s="2">
        <v>0.51583816558953499</v>
      </c>
      <c r="P9" s="2">
        <v>0.43178241642553833</v>
      </c>
      <c r="Q9" s="2">
        <v>2.0020026706730793E-3</v>
      </c>
      <c r="R9" s="2">
        <v>1.0000050000287824E-5</v>
      </c>
    </row>
    <row r="10" spans="1:18" x14ac:dyDescent="0.3">
      <c r="A10" s="7">
        <v>846</v>
      </c>
      <c r="B10" s="7">
        <v>491</v>
      </c>
      <c r="C10" s="7">
        <v>0</v>
      </c>
      <c r="D10" s="7">
        <v>0</v>
      </c>
      <c r="E10" s="20" t="str">
        <f t="shared" si="0"/>
        <v>00</v>
      </c>
      <c r="F10" s="21">
        <v>1.0337214366687501E-2</v>
      </c>
      <c r="G10" s="4">
        <v>0.23499999999999999</v>
      </c>
      <c r="H10" s="4">
        <v>0.21995926680244399</v>
      </c>
      <c r="I10" s="4">
        <v>1E-3</v>
      </c>
      <c r="J10" s="4">
        <v>0</v>
      </c>
      <c r="K10" s="5">
        <v>100</v>
      </c>
      <c r="L10" s="5">
        <v>100</v>
      </c>
      <c r="M10" s="5">
        <v>100</v>
      </c>
      <c r="N10" s="5">
        <v>100</v>
      </c>
      <c r="O10" s="2">
        <v>0.26787944515560119</v>
      </c>
      <c r="P10" s="2">
        <v>0.24840913861387451</v>
      </c>
      <c r="Q10" s="2">
        <v>1.0005003335835344E-3</v>
      </c>
      <c r="R10" s="2">
        <v>1.0000050000287824E-5</v>
      </c>
    </row>
    <row r="11" spans="1:18" x14ac:dyDescent="0.3">
      <c r="A11" s="7">
        <v>811</v>
      </c>
      <c r="B11" s="7">
        <v>489</v>
      </c>
      <c r="C11" s="7">
        <v>0</v>
      </c>
      <c r="D11" s="7">
        <v>0</v>
      </c>
      <c r="E11" s="20" t="str">
        <f t="shared" si="0"/>
        <v>00</v>
      </c>
      <c r="F11" s="21">
        <v>1.33742689233703E-2</v>
      </c>
      <c r="G11" s="4">
        <v>0.29799999999999999</v>
      </c>
      <c r="H11" s="4">
        <v>0.24093816631130099</v>
      </c>
      <c r="I11" s="4">
        <v>0</v>
      </c>
      <c r="J11" s="4">
        <v>0</v>
      </c>
      <c r="K11" s="5">
        <v>100</v>
      </c>
      <c r="L11" s="5">
        <v>100</v>
      </c>
      <c r="M11" s="5">
        <v>100</v>
      </c>
      <c r="N11" s="5">
        <v>100</v>
      </c>
      <c r="O11" s="2">
        <v>0.353821874956326</v>
      </c>
      <c r="P11" s="2">
        <v>0.27567203759424946</v>
      </c>
      <c r="Q11" s="2">
        <v>1.0000050000287824E-5</v>
      </c>
      <c r="R11" s="2">
        <v>1.0000050000287824E-5</v>
      </c>
    </row>
    <row r="12" spans="1:18" x14ac:dyDescent="0.3">
      <c r="A12" s="7">
        <v>52</v>
      </c>
      <c r="B12" s="7">
        <v>492</v>
      </c>
      <c r="C12" s="7">
        <v>0</v>
      </c>
      <c r="D12" s="7">
        <v>0</v>
      </c>
      <c r="E12" s="20" t="str">
        <f t="shared" si="0"/>
        <v>00</v>
      </c>
      <c r="F12" s="21">
        <v>1.66383103207789E-2</v>
      </c>
      <c r="G12" s="4">
        <v>0.44400000000000001</v>
      </c>
      <c r="H12" s="4">
        <v>0.36504424778761102</v>
      </c>
      <c r="I12" s="4">
        <v>3.0000000000000001E-3</v>
      </c>
      <c r="J12" s="4">
        <v>1E-3</v>
      </c>
      <c r="K12" s="5">
        <v>100</v>
      </c>
      <c r="L12" s="5">
        <v>100</v>
      </c>
      <c r="M12" s="5">
        <v>100</v>
      </c>
      <c r="N12" s="5">
        <v>100</v>
      </c>
      <c r="O12" s="2">
        <v>0.58698698473155464</v>
      </c>
      <c r="P12" s="2">
        <v>0.45419996407261071</v>
      </c>
      <c r="Q12" s="2">
        <v>3.0045090202987243E-3</v>
      </c>
      <c r="R12" s="2">
        <v>1.0005003335835344E-3</v>
      </c>
    </row>
    <row r="13" spans="1:18" x14ac:dyDescent="0.3">
      <c r="A13" s="7">
        <v>13</v>
      </c>
      <c r="B13" s="7">
        <v>485</v>
      </c>
      <c r="C13" s="7">
        <v>0</v>
      </c>
      <c r="D13" s="7">
        <v>0</v>
      </c>
      <c r="E13" s="20" t="str">
        <f t="shared" si="0"/>
        <v>00</v>
      </c>
      <c r="F13" s="21">
        <v>1.7157717461463801E-2</v>
      </c>
      <c r="G13" s="4">
        <v>0.46800000000000003</v>
      </c>
      <c r="H13" s="4">
        <v>0.41666666666666702</v>
      </c>
      <c r="I13" s="4">
        <v>1E-3</v>
      </c>
      <c r="J13" s="4">
        <v>1E-3</v>
      </c>
      <c r="K13" s="5">
        <v>100</v>
      </c>
      <c r="L13" s="5">
        <v>100</v>
      </c>
      <c r="M13" s="5">
        <v>100</v>
      </c>
      <c r="N13" s="5">
        <v>100</v>
      </c>
      <c r="O13" s="2">
        <v>0.63111178964049264</v>
      </c>
      <c r="P13" s="2">
        <v>0.53899650073268757</v>
      </c>
      <c r="Q13" s="2">
        <v>1.0005003335835344E-3</v>
      </c>
      <c r="R13" s="2">
        <v>1.0005003335835344E-3</v>
      </c>
    </row>
    <row r="14" spans="1:18" x14ac:dyDescent="0.3">
      <c r="A14" s="7">
        <v>210</v>
      </c>
      <c r="B14" s="7">
        <v>483</v>
      </c>
      <c r="C14" s="7">
        <v>0</v>
      </c>
      <c r="D14" s="7">
        <v>0</v>
      </c>
      <c r="E14" s="20" t="str">
        <f t="shared" si="0"/>
        <v>00</v>
      </c>
      <c r="F14" s="21">
        <v>1.9099198471364699E-2</v>
      </c>
      <c r="G14" s="4">
        <v>0.47399999999999998</v>
      </c>
      <c r="H14" s="4">
        <v>0.397701149425287</v>
      </c>
      <c r="I14" s="4">
        <v>2E-3</v>
      </c>
      <c r="J14" s="4">
        <v>1E-3</v>
      </c>
      <c r="K14" s="5">
        <v>100</v>
      </c>
      <c r="L14" s="5">
        <v>100</v>
      </c>
      <c r="M14" s="5">
        <v>100</v>
      </c>
      <c r="N14" s="5">
        <v>100</v>
      </c>
      <c r="O14" s="2">
        <v>0.64245406624442714</v>
      </c>
      <c r="P14" s="2">
        <v>0.50700152732758663</v>
      </c>
      <c r="Q14" s="2">
        <v>2.0020026706730793E-3</v>
      </c>
      <c r="R14" s="2">
        <v>1.0005003335835344E-3</v>
      </c>
    </row>
    <row r="15" spans="1:18" x14ac:dyDescent="0.3">
      <c r="A15" s="7">
        <v>277</v>
      </c>
      <c r="B15" s="7">
        <v>490</v>
      </c>
      <c r="C15" s="7">
        <v>0</v>
      </c>
      <c r="D15" s="7">
        <v>0</v>
      </c>
      <c r="E15" s="20" t="str">
        <f t="shared" si="0"/>
        <v>00</v>
      </c>
      <c r="F15" s="21">
        <v>1.9295958058863201E-2</v>
      </c>
      <c r="G15" s="4">
        <v>0.47899999999999998</v>
      </c>
      <c r="H15" s="4">
        <v>0.45315904139433499</v>
      </c>
      <c r="I15" s="4">
        <v>3.0000000000000001E-3</v>
      </c>
      <c r="J15" s="4">
        <v>1E-3</v>
      </c>
      <c r="K15" s="5">
        <v>100</v>
      </c>
      <c r="L15" s="5">
        <v>100</v>
      </c>
      <c r="M15" s="5">
        <v>100</v>
      </c>
      <c r="N15" s="5">
        <v>100</v>
      </c>
      <c r="O15" s="2">
        <v>0.65200523722877013</v>
      </c>
      <c r="P15" s="2">
        <v>0.60359727092876025</v>
      </c>
      <c r="Q15" s="2">
        <v>3.0045090202987243E-3</v>
      </c>
      <c r="R15" s="2">
        <v>1.0005003335835344E-3</v>
      </c>
    </row>
    <row r="16" spans="1:18" x14ac:dyDescent="0.3">
      <c r="A16" s="7">
        <v>341</v>
      </c>
      <c r="B16" s="7">
        <v>478</v>
      </c>
      <c r="C16" s="7">
        <v>0</v>
      </c>
      <c r="D16" s="7">
        <v>0</v>
      </c>
      <c r="E16" s="20" t="str">
        <f t="shared" si="0"/>
        <v>00</v>
      </c>
      <c r="F16" s="21">
        <v>2.1451134026826999E-2</v>
      </c>
      <c r="G16" s="4">
        <v>0.27600000000000002</v>
      </c>
      <c r="H16" s="4">
        <v>0.22317596566523601</v>
      </c>
      <c r="I16" s="4">
        <v>1E-3</v>
      </c>
      <c r="J16" s="4">
        <v>0</v>
      </c>
      <c r="K16" s="5">
        <v>100</v>
      </c>
      <c r="L16" s="5">
        <v>100</v>
      </c>
      <c r="M16" s="5">
        <v>100</v>
      </c>
      <c r="N16" s="5">
        <v>100</v>
      </c>
      <c r="O16" s="2">
        <v>0.32296388659642072</v>
      </c>
      <c r="P16" s="2">
        <v>0.25254142229987475</v>
      </c>
      <c r="Q16" s="2">
        <v>1.0005003335835344E-3</v>
      </c>
      <c r="R16" s="2">
        <v>1.0000050000287824E-5</v>
      </c>
    </row>
    <row r="17" spans="1:18" x14ac:dyDescent="0.3">
      <c r="A17" s="7">
        <v>51</v>
      </c>
      <c r="B17" s="7">
        <v>475</v>
      </c>
      <c r="C17" s="7">
        <v>0</v>
      </c>
      <c r="D17" s="7">
        <v>0</v>
      </c>
      <c r="E17" s="20" t="str">
        <f t="shared" si="0"/>
        <v>00</v>
      </c>
      <c r="F17" s="21">
        <v>2.22935603609518E-2</v>
      </c>
      <c r="G17" s="4">
        <v>0.246</v>
      </c>
      <c r="H17" s="4">
        <v>0.186582809224319</v>
      </c>
      <c r="I17" s="4">
        <v>2E-3</v>
      </c>
      <c r="J17" s="4">
        <v>1E-3</v>
      </c>
      <c r="K17" s="5">
        <v>100</v>
      </c>
      <c r="L17" s="5">
        <v>100</v>
      </c>
      <c r="M17" s="5">
        <v>100</v>
      </c>
      <c r="N17" s="5">
        <v>100</v>
      </c>
      <c r="O17" s="2">
        <v>0.28236291097418098</v>
      </c>
      <c r="P17" s="2">
        <v>0.20651115126506822</v>
      </c>
      <c r="Q17" s="2">
        <v>2.0020026706730793E-3</v>
      </c>
      <c r="R17" s="2">
        <v>1.0005003335835344E-3</v>
      </c>
    </row>
    <row r="18" spans="1:18" x14ac:dyDescent="0.3">
      <c r="A18" s="7">
        <v>296</v>
      </c>
      <c r="B18" s="7">
        <v>482</v>
      </c>
      <c r="C18" s="7">
        <v>0</v>
      </c>
      <c r="D18" s="7">
        <v>0</v>
      </c>
      <c r="E18" s="20" t="str">
        <f t="shared" si="0"/>
        <v>00</v>
      </c>
      <c r="F18" s="21">
        <v>2.46129626857431E-2</v>
      </c>
      <c r="G18" s="4">
        <v>0.37</v>
      </c>
      <c r="H18" s="4">
        <v>0.33760683760683802</v>
      </c>
      <c r="I18" s="4">
        <v>2E-3</v>
      </c>
      <c r="J18" s="4">
        <v>4.0000000000000001E-3</v>
      </c>
      <c r="K18" s="5">
        <v>100</v>
      </c>
      <c r="L18" s="5">
        <v>100</v>
      </c>
      <c r="M18" s="5">
        <v>100</v>
      </c>
      <c r="N18" s="5">
        <v>100</v>
      </c>
      <c r="O18" s="2">
        <v>0.46203545959655867</v>
      </c>
      <c r="P18" s="2">
        <v>0.41189599843845537</v>
      </c>
      <c r="Q18" s="2">
        <v>2.0020026706730793E-3</v>
      </c>
      <c r="R18" s="2">
        <v>4.0080213975388218E-3</v>
      </c>
    </row>
    <row r="19" spans="1:18" x14ac:dyDescent="0.3">
      <c r="A19" s="7">
        <v>669</v>
      </c>
      <c r="B19" s="7">
        <v>479</v>
      </c>
      <c r="C19" s="7">
        <v>0</v>
      </c>
      <c r="D19" s="7">
        <v>0</v>
      </c>
      <c r="E19" s="20" t="str">
        <f t="shared" si="0"/>
        <v>00</v>
      </c>
      <c r="F19" s="21">
        <v>2.4960252977724501E-2</v>
      </c>
      <c r="G19" s="4">
        <v>0.39200000000000002</v>
      </c>
      <c r="H19" s="4">
        <v>0.27684964200477302</v>
      </c>
      <c r="I19" s="4">
        <v>1E-3</v>
      </c>
      <c r="J19" s="4">
        <v>1E-3</v>
      </c>
      <c r="K19" s="5">
        <v>100</v>
      </c>
      <c r="L19" s="5">
        <v>100</v>
      </c>
      <c r="M19" s="5">
        <v>100</v>
      </c>
      <c r="N19" s="5">
        <v>100</v>
      </c>
      <c r="O19" s="2">
        <v>0.49758039701597007</v>
      </c>
      <c r="P19" s="2">
        <v>0.32413811441276824</v>
      </c>
      <c r="Q19" s="2">
        <v>1.0005003335835344E-3</v>
      </c>
      <c r="R19" s="2">
        <v>1.0005003335835344E-3</v>
      </c>
    </row>
    <row r="20" spans="1:18" x14ac:dyDescent="0.3">
      <c r="A20" s="7">
        <v>975</v>
      </c>
      <c r="B20" s="7">
        <v>477</v>
      </c>
      <c r="C20" s="7">
        <v>0</v>
      </c>
      <c r="D20" s="7">
        <v>0</v>
      </c>
      <c r="E20" s="20" t="str">
        <f t="shared" si="0"/>
        <v>00</v>
      </c>
      <c r="F20" s="21">
        <v>2.71891793990305E-2</v>
      </c>
      <c r="G20" s="4">
        <v>0.51800000000000002</v>
      </c>
      <c r="H20" s="4">
        <v>0.44226044226044198</v>
      </c>
      <c r="I20" s="4">
        <v>2E-3</v>
      </c>
      <c r="J20" s="4">
        <v>4.0000000000000001E-3</v>
      </c>
      <c r="K20" s="5">
        <v>0</v>
      </c>
      <c r="L20" s="5">
        <v>100</v>
      </c>
      <c r="M20" s="5">
        <v>100</v>
      </c>
      <c r="N20" s="5">
        <v>100</v>
      </c>
      <c r="O20" s="2">
        <v>0.72981116493153675</v>
      </c>
      <c r="P20" s="2">
        <v>0.58386316796119175</v>
      </c>
      <c r="Q20" s="2">
        <v>2.0020026706730793E-3</v>
      </c>
      <c r="R20" s="2">
        <v>4.0080213975388218E-3</v>
      </c>
    </row>
    <row r="21" spans="1:18" x14ac:dyDescent="0.3">
      <c r="A21" s="7">
        <v>686</v>
      </c>
      <c r="B21" s="7">
        <v>476</v>
      </c>
      <c r="C21" s="7">
        <v>0</v>
      </c>
      <c r="D21" s="7">
        <v>0</v>
      </c>
      <c r="E21" s="20" t="str">
        <f t="shared" si="0"/>
        <v>00</v>
      </c>
      <c r="F21" s="21">
        <v>2.7259764179658599E-2</v>
      </c>
      <c r="G21" s="4">
        <v>0.318</v>
      </c>
      <c r="H21" s="4">
        <v>0.29025423728813599</v>
      </c>
      <c r="I21" s="4">
        <v>0</v>
      </c>
      <c r="J21" s="4">
        <v>2E-3</v>
      </c>
      <c r="K21" s="5">
        <v>100</v>
      </c>
      <c r="L21" s="5">
        <v>100</v>
      </c>
      <c r="M21" s="5">
        <v>100</v>
      </c>
      <c r="N21" s="5">
        <v>100</v>
      </c>
      <c r="O21" s="2">
        <v>0.38272562113867503</v>
      </c>
      <c r="P21" s="2">
        <v>0.34284845376048956</v>
      </c>
      <c r="Q21" s="2">
        <v>1.0000050000287824E-5</v>
      </c>
      <c r="R21" s="2">
        <v>2.0020026706730793E-3</v>
      </c>
    </row>
    <row r="22" spans="1:18" x14ac:dyDescent="0.3">
      <c r="A22" s="7">
        <v>659</v>
      </c>
      <c r="B22" s="7">
        <v>471</v>
      </c>
      <c r="C22" s="7">
        <v>0</v>
      </c>
      <c r="D22" s="7">
        <v>0</v>
      </c>
      <c r="E22" s="20" t="str">
        <f t="shared" si="0"/>
        <v>00</v>
      </c>
      <c r="F22" s="21">
        <v>2.7577804821480999E-2</v>
      </c>
      <c r="G22" s="4">
        <v>0.33</v>
      </c>
      <c r="H22" s="4">
        <v>0.258351893095768</v>
      </c>
      <c r="I22" s="4">
        <v>4.0000000000000001E-3</v>
      </c>
      <c r="J22" s="4">
        <v>2E-3</v>
      </c>
      <c r="K22" s="5">
        <v>100</v>
      </c>
      <c r="L22" s="5">
        <v>100</v>
      </c>
      <c r="M22" s="5">
        <v>100</v>
      </c>
      <c r="N22" s="5">
        <v>100</v>
      </c>
      <c r="O22" s="2">
        <v>0.40047756659712541</v>
      </c>
      <c r="P22" s="2">
        <v>0.29888039776180997</v>
      </c>
      <c r="Q22" s="2">
        <v>4.0080213975388218E-3</v>
      </c>
      <c r="R22" s="2">
        <v>2.0020026706730793E-3</v>
      </c>
    </row>
    <row r="23" spans="1:18" x14ac:dyDescent="0.3">
      <c r="A23" s="7">
        <v>485</v>
      </c>
      <c r="B23" s="7">
        <v>476</v>
      </c>
      <c r="C23" s="7">
        <v>0</v>
      </c>
      <c r="D23" s="7">
        <v>0</v>
      </c>
      <c r="E23" s="20" t="str">
        <f t="shared" si="0"/>
        <v>00</v>
      </c>
      <c r="F23" s="21">
        <v>2.88524335241175E-2</v>
      </c>
      <c r="G23" s="4">
        <v>0.30099999999999999</v>
      </c>
      <c r="H23" s="4">
        <v>0.26495726495726502</v>
      </c>
      <c r="I23" s="4">
        <v>1E-3</v>
      </c>
      <c r="J23" s="4">
        <v>3.0000000000000001E-3</v>
      </c>
      <c r="K23" s="5">
        <v>100</v>
      </c>
      <c r="L23" s="5">
        <v>100</v>
      </c>
      <c r="M23" s="5">
        <v>100</v>
      </c>
      <c r="N23" s="5">
        <v>100</v>
      </c>
      <c r="O23" s="2">
        <v>0.35810453674832671</v>
      </c>
      <c r="P23" s="2">
        <v>0.30782663854424847</v>
      </c>
      <c r="Q23" s="2">
        <v>1.0005003335835344E-3</v>
      </c>
      <c r="R23" s="2">
        <v>3.0045090202987243E-3</v>
      </c>
    </row>
    <row r="24" spans="1:18" x14ac:dyDescent="0.3">
      <c r="A24" s="7">
        <v>281</v>
      </c>
      <c r="B24" s="7">
        <v>475</v>
      </c>
      <c r="C24" s="7">
        <v>0</v>
      </c>
      <c r="D24" s="7">
        <v>0</v>
      </c>
      <c r="E24" s="20" t="str">
        <f t="shared" si="0"/>
        <v>00</v>
      </c>
      <c r="F24" s="21">
        <v>3.0524110262822299E-2</v>
      </c>
      <c r="G24" s="4">
        <v>0.61699999999999999</v>
      </c>
      <c r="H24" s="4">
        <v>0.5</v>
      </c>
      <c r="I24" s="4">
        <v>1E-3</v>
      </c>
      <c r="J24" s="4">
        <v>2E-3</v>
      </c>
      <c r="K24" s="5">
        <v>0</v>
      </c>
      <c r="L24" s="5">
        <v>0</v>
      </c>
      <c r="M24" s="5">
        <v>100</v>
      </c>
      <c r="N24" s="5">
        <v>100</v>
      </c>
      <c r="O24" s="2">
        <v>0.95972028980149104</v>
      </c>
      <c r="P24" s="2">
        <v>0.69314718055994529</v>
      </c>
      <c r="Q24" s="2">
        <v>1.0005003335835344E-3</v>
      </c>
      <c r="R24" s="2">
        <v>2.0020026706730793E-3</v>
      </c>
    </row>
    <row r="25" spans="1:18" x14ac:dyDescent="0.3">
      <c r="A25" s="7">
        <v>866</v>
      </c>
      <c r="B25" s="7">
        <v>463</v>
      </c>
      <c r="C25" s="7">
        <v>0</v>
      </c>
      <c r="D25" s="7">
        <v>0</v>
      </c>
      <c r="E25" s="20" t="str">
        <f t="shared" si="0"/>
        <v>00</v>
      </c>
      <c r="F25" s="21">
        <v>3.1210242777753999E-2</v>
      </c>
      <c r="G25" s="4">
        <v>0.29799999999999999</v>
      </c>
      <c r="H25" s="4">
        <v>0.28930817610062898</v>
      </c>
      <c r="I25" s="4">
        <v>1E-3</v>
      </c>
      <c r="J25" s="4">
        <v>4.0000000000000001E-3</v>
      </c>
      <c r="K25" s="5">
        <v>100</v>
      </c>
      <c r="L25" s="5">
        <v>100</v>
      </c>
      <c r="M25" s="5">
        <v>100</v>
      </c>
      <c r="N25" s="5">
        <v>100</v>
      </c>
      <c r="O25" s="2">
        <v>0.353821874956326</v>
      </c>
      <c r="P25" s="2">
        <v>0.34151638350789104</v>
      </c>
      <c r="Q25" s="2">
        <v>1.0005003335835344E-3</v>
      </c>
      <c r="R25" s="2">
        <v>4.0080213975388218E-3</v>
      </c>
    </row>
    <row r="26" spans="1:18" x14ac:dyDescent="0.3">
      <c r="A26" s="7">
        <v>127</v>
      </c>
      <c r="B26" s="7">
        <v>487</v>
      </c>
      <c r="C26" s="7">
        <v>0</v>
      </c>
      <c r="D26" s="7">
        <v>0</v>
      </c>
      <c r="E26" s="20" t="str">
        <f t="shared" si="0"/>
        <v>00</v>
      </c>
      <c r="F26" s="21">
        <v>3.2641466258957703E-2</v>
      </c>
      <c r="G26" s="4">
        <v>0.34499999999999997</v>
      </c>
      <c r="H26" s="4">
        <v>0.28414096916299603</v>
      </c>
      <c r="I26" s="4">
        <v>4.0000000000000001E-3</v>
      </c>
      <c r="J26" s="4">
        <v>6.0000000000000001E-3</v>
      </c>
      <c r="K26" s="5">
        <v>100</v>
      </c>
      <c r="L26" s="5">
        <v>100</v>
      </c>
      <c r="M26" s="5">
        <v>100</v>
      </c>
      <c r="N26" s="5">
        <v>100</v>
      </c>
      <c r="O26" s="2">
        <v>0.42312004334688508</v>
      </c>
      <c r="P26" s="2">
        <v>0.33427201571161108</v>
      </c>
      <c r="Q26" s="2">
        <v>4.0080213975388218E-3</v>
      </c>
      <c r="R26" s="2">
        <v>6.0180723255630212E-3</v>
      </c>
    </row>
    <row r="27" spans="1:18" x14ac:dyDescent="0.3">
      <c r="A27" s="7">
        <v>714</v>
      </c>
      <c r="B27" s="7">
        <v>476</v>
      </c>
      <c r="C27" s="7">
        <v>0</v>
      </c>
      <c r="D27" s="7">
        <v>0</v>
      </c>
      <c r="E27" s="20" t="str">
        <f t="shared" si="0"/>
        <v>00</v>
      </c>
      <c r="F27" s="21">
        <v>3.2765510433772398E-2</v>
      </c>
      <c r="G27" s="4">
        <v>0.40100000000000002</v>
      </c>
      <c r="H27" s="4">
        <v>0.365957446808511</v>
      </c>
      <c r="I27" s="4">
        <v>2E-3</v>
      </c>
      <c r="J27" s="4">
        <v>3.0000000000000001E-3</v>
      </c>
      <c r="K27" s="5">
        <v>100</v>
      </c>
      <c r="L27" s="5">
        <v>100</v>
      </c>
      <c r="M27" s="5">
        <v>100</v>
      </c>
      <c r="N27" s="5">
        <v>100</v>
      </c>
      <c r="O27" s="2">
        <v>0.51249368086668778</v>
      </c>
      <c r="P27" s="2">
        <v>0.4556392081987003</v>
      </c>
      <c r="Q27" s="2">
        <v>2.0020026706730793E-3</v>
      </c>
      <c r="R27" s="2">
        <v>3.0045090202987243E-3</v>
      </c>
    </row>
    <row r="28" spans="1:18" x14ac:dyDescent="0.3">
      <c r="A28" s="7">
        <v>516</v>
      </c>
      <c r="B28" s="7">
        <v>475</v>
      </c>
      <c r="C28" s="7">
        <v>0</v>
      </c>
      <c r="D28" s="7">
        <v>0</v>
      </c>
      <c r="E28" s="20" t="str">
        <f t="shared" si="0"/>
        <v>00</v>
      </c>
      <c r="F28" s="21">
        <v>3.4135376126043802E-2</v>
      </c>
      <c r="G28" s="4">
        <v>0.29299999999999998</v>
      </c>
      <c r="H28" s="4">
        <v>0.266666666666667</v>
      </c>
      <c r="I28" s="4">
        <v>7.0000000000000001E-3</v>
      </c>
      <c r="J28" s="4">
        <v>5.0000000000000001E-3</v>
      </c>
      <c r="K28" s="5">
        <v>100</v>
      </c>
      <c r="L28" s="5">
        <v>100</v>
      </c>
      <c r="M28" s="5">
        <v>100</v>
      </c>
      <c r="N28" s="5">
        <v>100</v>
      </c>
      <c r="O28" s="2">
        <v>0.34672461308556418</v>
      </c>
      <c r="P28" s="2">
        <v>0.31015492830384006</v>
      </c>
      <c r="Q28" s="2">
        <v>7.0246149369644663E-3</v>
      </c>
      <c r="R28" s="2">
        <v>5.0125418235442863E-3</v>
      </c>
    </row>
    <row r="29" spans="1:18" x14ac:dyDescent="0.3">
      <c r="A29" s="7">
        <v>187</v>
      </c>
      <c r="B29" s="7">
        <v>472</v>
      </c>
      <c r="C29" s="7">
        <v>0</v>
      </c>
      <c r="D29" s="7">
        <v>0</v>
      </c>
      <c r="E29" s="20" t="str">
        <f t="shared" si="0"/>
        <v>00</v>
      </c>
      <c r="F29" s="21">
        <v>3.5053563821239801E-2</v>
      </c>
      <c r="G29" s="4">
        <v>0.752</v>
      </c>
      <c r="H29" s="4">
        <v>0.68384074941452</v>
      </c>
      <c r="I29" s="4">
        <v>2E-3</v>
      </c>
      <c r="J29" s="4">
        <v>1E-3</v>
      </c>
      <c r="K29" s="5">
        <v>0</v>
      </c>
      <c r="L29" s="5">
        <v>0</v>
      </c>
      <c r="M29" s="5">
        <v>100</v>
      </c>
      <c r="N29" s="5">
        <v>100</v>
      </c>
      <c r="O29" s="2">
        <v>1.3943265328171548</v>
      </c>
      <c r="P29" s="2">
        <v>1.1515092347901954</v>
      </c>
      <c r="Q29" s="2">
        <v>2.0020026706730793E-3</v>
      </c>
      <c r="R29" s="2">
        <v>1.0005003335835344E-3</v>
      </c>
    </row>
    <row r="30" spans="1:18" x14ac:dyDescent="0.3">
      <c r="A30" s="7">
        <v>660</v>
      </c>
      <c r="B30" s="7">
        <v>473</v>
      </c>
      <c r="C30" s="7">
        <v>0</v>
      </c>
      <c r="D30" s="7">
        <v>0</v>
      </c>
      <c r="E30" s="20" t="str">
        <f t="shared" si="0"/>
        <v>00</v>
      </c>
      <c r="F30" s="21">
        <v>3.67286507918336E-2</v>
      </c>
      <c r="G30" s="4">
        <v>0.27300000000000002</v>
      </c>
      <c r="H30" s="4">
        <v>0.24421052631578899</v>
      </c>
      <c r="I30" s="4">
        <v>4.0000000000000001E-3</v>
      </c>
      <c r="J30" s="4">
        <v>1E-3</v>
      </c>
      <c r="K30" s="5">
        <v>100</v>
      </c>
      <c r="L30" s="5">
        <v>100</v>
      </c>
      <c r="M30" s="5">
        <v>100</v>
      </c>
      <c r="N30" s="5">
        <v>100</v>
      </c>
      <c r="O30" s="2">
        <v>0.31882880144861769</v>
      </c>
      <c r="P30" s="2">
        <v>0.27999241554636167</v>
      </c>
      <c r="Q30" s="2">
        <v>4.0080213975388218E-3</v>
      </c>
      <c r="R30" s="2">
        <v>1.0005003335835344E-3</v>
      </c>
    </row>
    <row r="31" spans="1:18" x14ac:dyDescent="0.3">
      <c r="A31" s="7">
        <v>330</v>
      </c>
      <c r="B31" s="7">
        <v>469</v>
      </c>
      <c r="C31" s="7">
        <v>0</v>
      </c>
      <c r="D31" s="7">
        <v>0</v>
      </c>
      <c r="E31" s="20" t="str">
        <f t="shared" si="0"/>
        <v>00</v>
      </c>
      <c r="F31" s="21">
        <v>3.6733953174855602E-2</v>
      </c>
      <c r="G31" s="4">
        <v>0.35599999999999998</v>
      </c>
      <c r="H31" s="4">
        <v>0.27293577981651401</v>
      </c>
      <c r="I31" s="4">
        <v>4.0000000000000001E-3</v>
      </c>
      <c r="J31" s="4">
        <v>3.0000000000000001E-3</v>
      </c>
      <c r="K31" s="5">
        <v>100</v>
      </c>
      <c r="L31" s="5">
        <v>100</v>
      </c>
      <c r="M31" s="5">
        <v>100</v>
      </c>
      <c r="N31" s="5">
        <v>100</v>
      </c>
      <c r="O31" s="2">
        <v>0.44005655287778339</v>
      </c>
      <c r="P31" s="2">
        <v>0.318740469471754</v>
      </c>
      <c r="Q31" s="2">
        <v>4.0080213975388218E-3</v>
      </c>
      <c r="R31" s="2">
        <v>3.0045090202987243E-3</v>
      </c>
    </row>
    <row r="32" spans="1:18" x14ac:dyDescent="0.3">
      <c r="A32" s="7">
        <v>400</v>
      </c>
      <c r="B32" s="7">
        <v>462</v>
      </c>
      <c r="C32" s="7">
        <v>0</v>
      </c>
      <c r="D32" s="7">
        <v>0</v>
      </c>
      <c r="E32" s="20" t="str">
        <f t="shared" si="0"/>
        <v>00</v>
      </c>
      <c r="F32" s="21">
        <v>3.73969744602922E-2</v>
      </c>
      <c r="G32" s="4">
        <v>0.41599999999999998</v>
      </c>
      <c r="H32" s="4">
        <v>0.34151785714285698</v>
      </c>
      <c r="I32" s="4">
        <v>4.0000000000000001E-3</v>
      </c>
      <c r="J32" s="4">
        <v>3.0000000000000001E-3</v>
      </c>
      <c r="K32" s="5">
        <v>100</v>
      </c>
      <c r="L32" s="5">
        <v>100</v>
      </c>
      <c r="M32" s="5">
        <v>100</v>
      </c>
      <c r="N32" s="5">
        <v>100</v>
      </c>
      <c r="O32" s="2">
        <v>0.53785429615390989</v>
      </c>
      <c r="P32" s="2">
        <v>0.41781787607516507</v>
      </c>
      <c r="Q32" s="2">
        <v>4.0080213975388218E-3</v>
      </c>
      <c r="R32" s="2">
        <v>3.0045090202987243E-3</v>
      </c>
    </row>
    <row r="33" spans="1:18" x14ac:dyDescent="0.3">
      <c r="A33" s="7">
        <v>451</v>
      </c>
      <c r="B33" s="7">
        <v>463</v>
      </c>
      <c r="C33" s="7">
        <v>0</v>
      </c>
      <c r="D33" s="7">
        <v>0</v>
      </c>
      <c r="E33" s="20" t="str">
        <f t="shared" si="0"/>
        <v>00</v>
      </c>
      <c r="F33" s="21">
        <v>3.8249149876049299E-2</v>
      </c>
      <c r="G33" s="4">
        <v>0.35099999999999998</v>
      </c>
      <c r="H33" s="4">
        <v>0.29372197309416997</v>
      </c>
      <c r="I33" s="4">
        <v>3.0000000000000001E-3</v>
      </c>
      <c r="J33" s="4">
        <v>4.0000000000000001E-3</v>
      </c>
      <c r="K33" s="5">
        <v>100</v>
      </c>
      <c r="L33" s="5">
        <v>100</v>
      </c>
      <c r="M33" s="5">
        <v>100</v>
      </c>
      <c r="N33" s="5">
        <v>100</v>
      </c>
      <c r="O33" s="2">
        <v>0.43232256227804705</v>
      </c>
      <c r="P33" s="2">
        <v>0.3477463131944305</v>
      </c>
      <c r="Q33" s="2">
        <v>3.0045090202987243E-3</v>
      </c>
      <c r="R33" s="2">
        <v>4.0080213975388218E-3</v>
      </c>
    </row>
    <row r="34" spans="1:18" x14ac:dyDescent="0.3">
      <c r="A34" s="7">
        <v>833</v>
      </c>
      <c r="B34" s="7">
        <v>453</v>
      </c>
      <c r="C34" s="7">
        <v>0</v>
      </c>
      <c r="D34" s="7">
        <v>0</v>
      </c>
      <c r="E34" s="20" t="str">
        <f t="shared" si="0"/>
        <v>00</v>
      </c>
      <c r="F34" s="21">
        <v>3.9849415664657203E-2</v>
      </c>
      <c r="G34" s="4">
        <v>0.27800000000000002</v>
      </c>
      <c r="H34" s="4">
        <v>0.24416135881104001</v>
      </c>
      <c r="I34" s="4">
        <v>4.0000000000000001E-3</v>
      </c>
      <c r="J34" s="4">
        <v>7.0000000000000001E-3</v>
      </c>
      <c r="K34" s="5">
        <v>100</v>
      </c>
      <c r="L34" s="5">
        <v>100</v>
      </c>
      <c r="M34" s="5">
        <v>100</v>
      </c>
      <c r="N34" s="5">
        <v>100</v>
      </c>
      <c r="O34" s="2">
        <v>0.32573014008931084</v>
      </c>
      <c r="P34" s="2">
        <v>0.27992736316438693</v>
      </c>
      <c r="Q34" s="2">
        <v>4.0080213975388218E-3</v>
      </c>
      <c r="R34" s="2">
        <v>7.0246149369644663E-3</v>
      </c>
    </row>
    <row r="35" spans="1:18" x14ac:dyDescent="0.3">
      <c r="A35" s="7">
        <v>746</v>
      </c>
      <c r="B35" s="7">
        <v>460</v>
      </c>
      <c r="C35" s="7">
        <v>0</v>
      </c>
      <c r="D35" s="7">
        <v>0</v>
      </c>
      <c r="E35" s="20" t="str">
        <f t="shared" si="0"/>
        <v>00</v>
      </c>
      <c r="F35" s="21">
        <v>4.00546902230631E-2</v>
      </c>
      <c r="G35" s="4">
        <v>0.30099999999999999</v>
      </c>
      <c r="H35" s="4">
        <v>0.25</v>
      </c>
      <c r="I35" s="4">
        <v>2E-3</v>
      </c>
      <c r="J35" s="4">
        <v>3.0000000000000001E-3</v>
      </c>
      <c r="K35" s="5">
        <v>100</v>
      </c>
      <c r="L35" s="5">
        <v>100</v>
      </c>
      <c r="M35" s="5">
        <v>100</v>
      </c>
      <c r="N35" s="5">
        <v>100</v>
      </c>
      <c r="O35" s="2">
        <v>0.35810453674832671</v>
      </c>
      <c r="P35" s="2">
        <v>0.2876820724517809</v>
      </c>
      <c r="Q35" s="2">
        <v>2.0020026706730793E-3</v>
      </c>
      <c r="R35" s="2">
        <v>3.0045090202987243E-3</v>
      </c>
    </row>
    <row r="36" spans="1:18" x14ac:dyDescent="0.3">
      <c r="A36" s="7">
        <v>102</v>
      </c>
      <c r="B36" s="7">
        <v>451</v>
      </c>
      <c r="C36" s="7">
        <v>0</v>
      </c>
      <c r="D36" s="7">
        <v>0</v>
      </c>
      <c r="E36" s="20" t="str">
        <f t="shared" si="0"/>
        <v>00</v>
      </c>
      <c r="F36" s="21">
        <v>4.1295034393928703E-2</v>
      </c>
      <c r="G36" s="4">
        <v>0.30499999999999999</v>
      </c>
      <c r="H36" s="4">
        <v>0.21505376344086</v>
      </c>
      <c r="I36" s="4">
        <v>0.01</v>
      </c>
      <c r="J36" s="4">
        <v>3.0000000000000001E-3</v>
      </c>
      <c r="K36" s="5">
        <v>100</v>
      </c>
      <c r="L36" s="5">
        <v>100</v>
      </c>
      <c r="M36" s="5">
        <v>100</v>
      </c>
      <c r="N36" s="5">
        <v>100</v>
      </c>
      <c r="O36" s="2">
        <v>0.36384343341734482</v>
      </c>
      <c r="P36" s="2">
        <v>0.24214005200486458</v>
      </c>
      <c r="Q36" s="2">
        <v>1.0050335853501451E-2</v>
      </c>
      <c r="R36" s="2">
        <v>3.0045090202987243E-3</v>
      </c>
    </row>
    <row r="37" spans="1:18" x14ac:dyDescent="0.3">
      <c r="A37" s="7">
        <v>619</v>
      </c>
      <c r="B37" s="7">
        <v>476</v>
      </c>
      <c r="C37" s="7">
        <v>0</v>
      </c>
      <c r="D37" s="7">
        <v>0</v>
      </c>
      <c r="E37" s="20" t="str">
        <f t="shared" si="0"/>
        <v>00</v>
      </c>
      <c r="F37" s="21">
        <v>4.2241883011383798E-2</v>
      </c>
      <c r="G37" s="4">
        <v>0.434</v>
      </c>
      <c r="H37" s="4">
        <v>0.33027522935779802</v>
      </c>
      <c r="I37" s="4">
        <v>4.0000000000000001E-3</v>
      </c>
      <c r="J37" s="4">
        <v>7.0000000000000001E-3</v>
      </c>
      <c r="K37" s="5">
        <v>100</v>
      </c>
      <c r="L37" s="5">
        <v>100</v>
      </c>
      <c r="M37" s="5">
        <v>100</v>
      </c>
      <c r="N37" s="5">
        <v>100</v>
      </c>
      <c r="O37" s="2">
        <v>0.56916120077895405</v>
      </c>
      <c r="P37" s="2">
        <v>0.40088844108075228</v>
      </c>
      <c r="Q37" s="2">
        <v>4.0080213975388218E-3</v>
      </c>
      <c r="R37" s="2">
        <v>7.0246149369644663E-3</v>
      </c>
    </row>
    <row r="38" spans="1:18" x14ac:dyDescent="0.3">
      <c r="A38" s="7">
        <v>850</v>
      </c>
      <c r="B38" s="7">
        <v>448</v>
      </c>
      <c r="C38" s="7">
        <v>0</v>
      </c>
      <c r="D38" s="7">
        <v>0</v>
      </c>
      <c r="E38" s="20" t="str">
        <f t="shared" si="0"/>
        <v>00</v>
      </c>
      <c r="F38" s="21">
        <v>4.5018443515262803E-2</v>
      </c>
      <c r="G38" s="4">
        <v>0.35499999999999998</v>
      </c>
      <c r="H38" s="4">
        <v>0.33611691022964502</v>
      </c>
      <c r="I38" s="4">
        <v>3.0000000000000001E-3</v>
      </c>
      <c r="J38" s="4">
        <v>5.0000000000000001E-3</v>
      </c>
      <c r="K38" s="5">
        <v>100</v>
      </c>
      <c r="L38" s="5">
        <v>100</v>
      </c>
      <c r="M38" s="5">
        <v>100</v>
      </c>
      <c r="N38" s="5">
        <v>100</v>
      </c>
      <c r="O38" s="2">
        <v>0.43850496218636453</v>
      </c>
      <c r="P38" s="2">
        <v>0.40964921463073839</v>
      </c>
      <c r="Q38" s="2">
        <v>3.0045090202987243E-3</v>
      </c>
      <c r="R38" s="2">
        <v>5.0125418235442863E-3</v>
      </c>
    </row>
    <row r="39" spans="1:18" x14ac:dyDescent="0.3">
      <c r="A39" s="7">
        <v>376</v>
      </c>
      <c r="B39" s="7">
        <v>461</v>
      </c>
      <c r="C39" s="7">
        <v>0</v>
      </c>
      <c r="D39" s="7">
        <v>0</v>
      </c>
      <c r="E39" s="20" t="str">
        <f t="shared" si="0"/>
        <v>00</v>
      </c>
      <c r="F39" s="21">
        <v>4.5223752729805999E-2</v>
      </c>
      <c r="G39" s="4">
        <v>0.30499999999999999</v>
      </c>
      <c r="H39" s="4">
        <v>0.27291666666666697</v>
      </c>
      <c r="I39" s="4">
        <v>2E-3</v>
      </c>
      <c r="J39" s="4">
        <v>4.0000000000000001E-3</v>
      </c>
      <c r="K39" s="5">
        <v>100</v>
      </c>
      <c r="L39" s="5">
        <v>100</v>
      </c>
      <c r="M39" s="5">
        <v>100</v>
      </c>
      <c r="N39" s="5">
        <v>100</v>
      </c>
      <c r="O39" s="2">
        <v>0.36384343341734482</v>
      </c>
      <c r="P39" s="2">
        <v>0.31871418169950977</v>
      </c>
      <c r="Q39" s="2">
        <v>2.0020026706730793E-3</v>
      </c>
      <c r="R39" s="2">
        <v>4.0080213975388218E-3</v>
      </c>
    </row>
    <row r="40" spans="1:18" x14ac:dyDescent="0.3">
      <c r="A40" s="7">
        <v>742</v>
      </c>
      <c r="B40" s="7">
        <v>454</v>
      </c>
      <c r="C40" s="7">
        <v>0</v>
      </c>
      <c r="D40" s="7">
        <v>0</v>
      </c>
      <c r="E40" s="20" t="str">
        <f t="shared" si="0"/>
        <v>00</v>
      </c>
      <c r="F40" s="21">
        <v>4.5294120745323803E-2</v>
      </c>
      <c r="G40" s="4">
        <v>0.495</v>
      </c>
      <c r="H40" s="4">
        <v>0.387019230769231</v>
      </c>
      <c r="I40" s="4">
        <v>7.0000000000000001E-3</v>
      </c>
      <c r="J40" s="4">
        <v>6.0000000000000001E-3</v>
      </c>
      <c r="K40" s="5">
        <v>100</v>
      </c>
      <c r="L40" s="5">
        <v>100</v>
      </c>
      <c r="M40" s="5">
        <v>100</v>
      </c>
      <c r="N40" s="5">
        <v>100</v>
      </c>
      <c r="O40" s="2">
        <v>0.68319684970677719</v>
      </c>
      <c r="P40" s="2">
        <v>0.48942171510283761</v>
      </c>
      <c r="Q40" s="2">
        <v>7.0246149369644663E-3</v>
      </c>
      <c r="R40" s="2">
        <v>6.0180723255630212E-3</v>
      </c>
    </row>
    <row r="41" spans="1:18" x14ac:dyDescent="0.3">
      <c r="A41" s="7">
        <v>685</v>
      </c>
      <c r="B41" s="7">
        <v>461</v>
      </c>
      <c r="C41" s="7">
        <v>0</v>
      </c>
      <c r="D41" s="7">
        <v>0</v>
      </c>
      <c r="E41" s="20" t="str">
        <f t="shared" si="0"/>
        <v>00</v>
      </c>
      <c r="F41" s="21">
        <v>4.5449209194436499E-2</v>
      </c>
      <c r="G41" s="4">
        <v>0.34399999999999997</v>
      </c>
      <c r="H41" s="4">
        <v>0.32</v>
      </c>
      <c r="I41" s="4">
        <v>7.0000000000000001E-3</v>
      </c>
      <c r="J41" s="4">
        <v>1E-3</v>
      </c>
      <c r="K41" s="5">
        <v>100</v>
      </c>
      <c r="L41" s="5">
        <v>100</v>
      </c>
      <c r="M41" s="5">
        <v>100</v>
      </c>
      <c r="N41" s="5">
        <v>100</v>
      </c>
      <c r="O41" s="2">
        <v>0.42159449003804794</v>
      </c>
      <c r="P41" s="2">
        <v>0.38566248081198479</v>
      </c>
      <c r="Q41" s="2">
        <v>7.0246149369644663E-3</v>
      </c>
      <c r="R41" s="2">
        <v>1.0005003335835344E-3</v>
      </c>
    </row>
    <row r="42" spans="1:18" x14ac:dyDescent="0.3">
      <c r="A42" s="7">
        <v>180</v>
      </c>
      <c r="B42" s="7">
        <v>460</v>
      </c>
      <c r="C42" s="7">
        <v>0</v>
      </c>
      <c r="D42" s="7">
        <v>0</v>
      </c>
      <c r="E42" s="20" t="str">
        <f t="shared" si="0"/>
        <v>00</v>
      </c>
      <c r="F42" s="21">
        <v>4.5751802312066103E-2</v>
      </c>
      <c r="G42" s="4">
        <v>0.27700000000000002</v>
      </c>
      <c r="H42" s="4">
        <v>0.23602484472049701</v>
      </c>
      <c r="I42" s="4">
        <v>2E-3</v>
      </c>
      <c r="J42" s="4">
        <v>0</v>
      </c>
      <c r="K42" s="5">
        <v>100</v>
      </c>
      <c r="L42" s="5">
        <v>100</v>
      </c>
      <c r="M42" s="5">
        <v>100</v>
      </c>
      <c r="N42" s="5">
        <v>100</v>
      </c>
      <c r="O42" s="2">
        <v>0.32434605682337242</v>
      </c>
      <c r="P42" s="2">
        <v>0.26922000961204567</v>
      </c>
      <c r="Q42" s="2">
        <v>2.0020026706730793E-3</v>
      </c>
      <c r="R42" s="2">
        <v>1.0000050000287824E-5</v>
      </c>
    </row>
    <row r="43" spans="1:18" x14ac:dyDescent="0.3">
      <c r="A43" s="7">
        <v>611</v>
      </c>
      <c r="B43" s="7">
        <v>451</v>
      </c>
      <c r="C43" s="7">
        <v>0</v>
      </c>
      <c r="D43" s="7">
        <v>0</v>
      </c>
      <c r="E43" s="20" t="str">
        <f t="shared" si="0"/>
        <v>00</v>
      </c>
      <c r="F43" s="21">
        <v>4.63060666096064E-2</v>
      </c>
      <c r="G43" s="4">
        <v>0.27400000000000002</v>
      </c>
      <c r="H43" s="4">
        <v>0.24590163934426201</v>
      </c>
      <c r="I43" s="4">
        <v>4.0000000000000001E-3</v>
      </c>
      <c r="J43" s="4">
        <v>7.0000000000000001E-3</v>
      </c>
      <c r="K43" s="5">
        <v>100</v>
      </c>
      <c r="L43" s="5">
        <v>100</v>
      </c>
      <c r="M43" s="5">
        <v>100</v>
      </c>
      <c r="N43" s="5">
        <v>100</v>
      </c>
      <c r="O43" s="2">
        <v>0.32020526415734102</v>
      </c>
      <c r="P43" s="2">
        <v>0.28223246768421589</v>
      </c>
      <c r="Q43" s="2">
        <v>4.0080213975388218E-3</v>
      </c>
      <c r="R43" s="2">
        <v>7.0246149369644663E-3</v>
      </c>
    </row>
    <row r="44" spans="1:18" x14ac:dyDescent="0.3">
      <c r="A44" s="7">
        <v>757</v>
      </c>
      <c r="B44" s="7">
        <v>461</v>
      </c>
      <c r="C44" s="7">
        <v>0</v>
      </c>
      <c r="D44" s="7">
        <v>0</v>
      </c>
      <c r="E44" s="20" t="str">
        <f t="shared" si="0"/>
        <v>00</v>
      </c>
      <c r="F44" s="21">
        <v>4.6510617977586197E-2</v>
      </c>
      <c r="G44" s="4">
        <v>0.432</v>
      </c>
      <c r="H44" s="4">
        <v>0.40376569037656901</v>
      </c>
      <c r="I44" s="4">
        <v>2E-3</v>
      </c>
      <c r="J44" s="4">
        <v>3.0000000000000001E-3</v>
      </c>
      <c r="K44" s="5">
        <v>100</v>
      </c>
      <c r="L44" s="5">
        <v>100</v>
      </c>
      <c r="M44" s="5">
        <v>100</v>
      </c>
      <c r="N44" s="5">
        <v>100</v>
      </c>
      <c r="O44" s="2">
        <v>0.56563386026098561</v>
      </c>
      <c r="P44" s="2">
        <v>0.51712155222280531</v>
      </c>
      <c r="Q44" s="2">
        <v>2.0020026706730793E-3</v>
      </c>
      <c r="R44" s="2">
        <v>3.0045090202987243E-3</v>
      </c>
    </row>
    <row r="45" spans="1:18" x14ac:dyDescent="0.3">
      <c r="A45" s="7">
        <v>972</v>
      </c>
      <c r="B45" s="7">
        <v>462</v>
      </c>
      <c r="C45" s="7">
        <v>0</v>
      </c>
      <c r="D45" s="7">
        <v>0</v>
      </c>
      <c r="E45" s="20" t="str">
        <f t="shared" si="0"/>
        <v>00</v>
      </c>
      <c r="F45" s="21">
        <v>4.8408368162926603E-2</v>
      </c>
      <c r="G45" s="4">
        <v>0.69499999999999995</v>
      </c>
      <c r="H45" s="4">
        <v>0.56764705882352895</v>
      </c>
      <c r="I45" s="4">
        <v>5.0000000000000001E-3</v>
      </c>
      <c r="J45" s="4">
        <v>3.0000000000000001E-3</v>
      </c>
      <c r="K45" s="5">
        <v>0</v>
      </c>
      <c r="L45" s="5">
        <v>0</v>
      </c>
      <c r="M45" s="5">
        <v>100</v>
      </c>
      <c r="N45" s="5">
        <v>100</v>
      </c>
      <c r="O45" s="2">
        <v>1.1874435023747252</v>
      </c>
      <c r="P45" s="2">
        <v>0.83851303083146966</v>
      </c>
      <c r="Q45" s="2">
        <v>5.0125418235442863E-3</v>
      </c>
      <c r="R45" s="2">
        <v>3.0045090202987243E-3</v>
      </c>
    </row>
    <row r="46" spans="1:18" x14ac:dyDescent="0.3">
      <c r="A46" s="7">
        <v>667</v>
      </c>
      <c r="B46" s="7">
        <v>448</v>
      </c>
      <c r="C46" s="7">
        <v>0</v>
      </c>
      <c r="D46" s="7">
        <v>0</v>
      </c>
      <c r="E46" s="20" t="str">
        <f t="shared" si="0"/>
        <v>00</v>
      </c>
      <c r="F46" s="21">
        <v>5.2373667602156497E-2</v>
      </c>
      <c r="G46" s="4">
        <v>0.48699999999999999</v>
      </c>
      <c r="H46" s="4">
        <v>0.323155216284987</v>
      </c>
      <c r="I46" s="4">
        <v>7.0000000000000001E-3</v>
      </c>
      <c r="J46" s="4">
        <v>7.0000000000000001E-3</v>
      </c>
      <c r="K46" s="5">
        <v>100</v>
      </c>
      <c r="L46" s="5">
        <v>100</v>
      </c>
      <c r="M46" s="5">
        <v>100</v>
      </c>
      <c r="N46" s="5">
        <v>100</v>
      </c>
      <c r="O46" s="2">
        <v>0.66747943381136754</v>
      </c>
      <c r="P46" s="2">
        <v>0.39031330308756174</v>
      </c>
      <c r="Q46" s="2">
        <v>7.0246149369644663E-3</v>
      </c>
      <c r="R46" s="2">
        <v>7.0246149369644663E-3</v>
      </c>
    </row>
    <row r="47" spans="1:18" x14ac:dyDescent="0.3">
      <c r="A47" s="7">
        <v>869</v>
      </c>
      <c r="B47" s="7">
        <v>452</v>
      </c>
      <c r="C47" s="7">
        <v>0</v>
      </c>
      <c r="D47" s="7">
        <v>0</v>
      </c>
      <c r="E47" s="20" t="str">
        <f t="shared" si="0"/>
        <v>00</v>
      </c>
      <c r="F47" s="21">
        <v>5.2494791343569602E-2</v>
      </c>
      <c r="G47" s="4">
        <v>0.35799999999999998</v>
      </c>
      <c r="H47" s="4">
        <v>0.29497907949790803</v>
      </c>
      <c r="I47" s="4">
        <v>6.0000000000000001E-3</v>
      </c>
      <c r="J47" s="4">
        <v>1.2E-2</v>
      </c>
      <c r="K47" s="5">
        <v>100</v>
      </c>
      <c r="L47" s="5">
        <v>100</v>
      </c>
      <c r="M47" s="5">
        <v>100</v>
      </c>
      <c r="N47" s="5">
        <v>100</v>
      </c>
      <c r="O47" s="2">
        <v>0.44316697529217586</v>
      </c>
      <c r="P47" s="2">
        <v>0.34952780213909435</v>
      </c>
      <c r="Q47" s="2">
        <v>6.0180723255630212E-3</v>
      </c>
      <c r="R47" s="2">
        <v>1.2072581234269249E-2</v>
      </c>
    </row>
    <row r="48" spans="1:18" x14ac:dyDescent="0.3">
      <c r="A48" s="7">
        <v>842</v>
      </c>
      <c r="B48" s="7">
        <v>441</v>
      </c>
      <c r="C48" s="7">
        <v>0</v>
      </c>
      <c r="D48" s="7">
        <v>0</v>
      </c>
      <c r="E48" s="20" t="str">
        <f t="shared" si="0"/>
        <v>00</v>
      </c>
      <c r="F48" s="21">
        <v>5.35539838525593E-2</v>
      </c>
      <c r="G48" s="4">
        <v>0.248</v>
      </c>
      <c r="H48" s="4">
        <v>0.22621564482029599</v>
      </c>
      <c r="I48" s="4">
        <v>7.0000000000000001E-3</v>
      </c>
      <c r="J48" s="4">
        <v>4.0000000000000001E-3</v>
      </c>
      <c r="K48" s="5">
        <v>100</v>
      </c>
      <c r="L48" s="5">
        <v>100</v>
      </c>
      <c r="M48" s="5">
        <v>100</v>
      </c>
      <c r="N48" s="5">
        <v>100</v>
      </c>
      <c r="O48" s="2">
        <v>0.28501895503229724</v>
      </c>
      <c r="P48" s="2">
        <v>0.25646205509056674</v>
      </c>
      <c r="Q48" s="2">
        <v>7.0246149369644663E-3</v>
      </c>
      <c r="R48" s="2">
        <v>4.0080213975388218E-3</v>
      </c>
    </row>
    <row r="49" spans="1:18" x14ac:dyDescent="0.3">
      <c r="A49" s="7">
        <v>557</v>
      </c>
      <c r="B49" s="7">
        <v>465</v>
      </c>
      <c r="C49" s="7">
        <v>0</v>
      </c>
      <c r="D49" s="7">
        <v>0</v>
      </c>
      <c r="E49" s="20" t="str">
        <f t="shared" si="0"/>
        <v>00</v>
      </c>
      <c r="F49" s="21">
        <v>5.4146841093117098E-2</v>
      </c>
      <c r="G49" s="4">
        <v>0.61699999999999999</v>
      </c>
      <c r="H49" s="4">
        <v>0.539800995024876</v>
      </c>
      <c r="I49" s="4">
        <v>3.0000000000000001E-3</v>
      </c>
      <c r="J49" s="4">
        <v>3.0000000000000001E-3</v>
      </c>
      <c r="K49" s="5">
        <v>0</v>
      </c>
      <c r="L49" s="5">
        <v>0</v>
      </c>
      <c r="M49" s="5">
        <v>100</v>
      </c>
      <c r="N49" s="5">
        <v>100</v>
      </c>
      <c r="O49" s="2">
        <v>0.95972028980149104</v>
      </c>
      <c r="P49" s="2">
        <v>0.77609626354069705</v>
      </c>
      <c r="Q49" s="2">
        <v>3.0045090202987243E-3</v>
      </c>
      <c r="R49" s="2">
        <v>3.0045090202987243E-3</v>
      </c>
    </row>
    <row r="50" spans="1:18" x14ac:dyDescent="0.3">
      <c r="A50" s="7">
        <v>593</v>
      </c>
      <c r="B50" s="7">
        <v>451</v>
      </c>
      <c r="C50" s="7">
        <v>0</v>
      </c>
      <c r="D50" s="7">
        <v>0</v>
      </c>
      <c r="E50" s="20" t="str">
        <f t="shared" si="0"/>
        <v>00</v>
      </c>
      <c r="F50" s="21">
        <v>5.4580279547544401E-2</v>
      </c>
      <c r="G50" s="4">
        <v>0.39100000000000001</v>
      </c>
      <c r="H50" s="4">
        <v>0.32378854625550701</v>
      </c>
      <c r="I50" s="4">
        <v>2E-3</v>
      </c>
      <c r="J50" s="4">
        <v>5.0000000000000001E-3</v>
      </c>
      <c r="K50" s="5">
        <v>100</v>
      </c>
      <c r="L50" s="5">
        <v>100</v>
      </c>
      <c r="M50" s="5">
        <v>100</v>
      </c>
      <c r="N50" s="5">
        <v>100</v>
      </c>
      <c r="O50" s="2">
        <v>0.49593701127224005</v>
      </c>
      <c r="P50" s="2">
        <v>0.39124945045415144</v>
      </c>
      <c r="Q50" s="2">
        <v>2.0020026706730793E-3</v>
      </c>
      <c r="R50" s="2">
        <v>5.0125418235442863E-3</v>
      </c>
    </row>
    <row r="51" spans="1:18" x14ac:dyDescent="0.3">
      <c r="A51" s="7">
        <v>640</v>
      </c>
      <c r="B51" s="7">
        <v>442</v>
      </c>
      <c r="C51" s="7">
        <v>0</v>
      </c>
      <c r="D51" s="7">
        <v>0</v>
      </c>
      <c r="E51" s="20" t="str">
        <f t="shared" si="0"/>
        <v>00</v>
      </c>
      <c r="F51" s="21">
        <v>5.4845275311096599E-2</v>
      </c>
      <c r="G51" s="4">
        <v>0.33300000000000002</v>
      </c>
      <c r="H51" s="4">
        <v>0.27021276595744698</v>
      </c>
      <c r="I51" s="4">
        <v>2E-3</v>
      </c>
      <c r="J51" s="4">
        <v>4.0000000000000001E-3</v>
      </c>
      <c r="K51" s="5">
        <v>100</v>
      </c>
      <c r="L51" s="5">
        <v>100</v>
      </c>
      <c r="M51" s="5">
        <v>100</v>
      </c>
      <c r="N51" s="5">
        <v>100</v>
      </c>
      <c r="O51" s="2">
        <v>0.40496523306651327</v>
      </c>
      <c r="P51" s="2">
        <v>0.31500224753816453</v>
      </c>
      <c r="Q51" s="2">
        <v>2.0020026706730793E-3</v>
      </c>
      <c r="R51" s="2">
        <v>4.0080213975388218E-3</v>
      </c>
    </row>
    <row r="52" spans="1:18" x14ac:dyDescent="0.3">
      <c r="A52" s="7">
        <v>403</v>
      </c>
      <c r="B52" s="7">
        <v>438</v>
      </c>
      <c r="C52" s="7">
        <v>0</v>
      </c>
      <c r="D52" s="7">
        <v>0</v>
      </c>
      <c r="E52" s="20" t="str">
        <f t="shared" si="0"/>
        <v>00</v>
      </c>
      <c r="F52" s="21">
        <v>5.4945921214698303E-2</v>
      </c>
      <c r="G52" s="4">
        <v>0.312</v>
      </c>
      <c r="H52" s="4">
        <v>0.27766179540709801</v>
      </c>
      <c r="I52" s="4">
        <v>4.0000000000000001E-3</v>
      </c>
      <c r="J52" s="4">
        <v>7.0000000000000001E-3</v>
      </c>
      <c r="K52" s="5">
        <v>100</v>
      </c>
      <c r="L52" s="5">
        <v>100</v>
      </c>
      <c r="M52" s="5">
        <v>100</v>
      </c>
      <c r="N52" s="5">
        <v>100</v>
      </c>
      <c r="O52" s="2">
        <v>0.37396644104879345</v>
      </c>
      <c r="P52" s="2">
        <v>0.32526182235319084</v>
      </c>
      <c r="Q52" s="2">
        <v>4.0080213975388218E-3</v>
      </c>
      <c r="R52" s="2">
        <v>7.0246149369644663E-3</v>
      </c>
    </row>
    <row r="53" spans="1:18" x14ac:dyDescent="0.3">
      <c r="A53" s="7">
        <v>536</v>
      </c>
      <c r="B53" s="7">
        <v>438</v>
      </c>
      <c r="C53" s="7">
        <v>0</v>
      </c>
      <c r="D53" s="7">
        <v>0</v>
      </c>
      <c r="E53" s="20" t="str">
        <f t="shared" si="0"/>
        <v>00</v>
      </c>
      <c r="F53" s="21">
        <v>5.6537169545642203E-2</v>
      </c>
      <c r="G53" s="4">
        <v>0.47199999999999998</v>
      </c>
      <c r="H53" s="4">
        <v>0.297368421052632</v>
      </c>
      <c r="I53" s="4">
        <v>7.0000000000000001E-3</v>
      </c>
      <c r="J53" s="4">
        <v>7.0000000000000001E-3</v>
      </c>
      <c r="K53" s="5">
        <v>100</v>
      </c>
      <c r="L53" s="5">
        <v>100</v>
      </c>
      <c r="M53" s="5">
        <v>100</v>
      </c>
      <c r="N53" s="5">
        <v>100</v>
      </c>
      <c r="O53" s="2">
        <v>0.63865899527587555</v>
      </c>
      <c r="P53" s="2">
        <v>0.35292259432018247</v>
      </c>
      <c r="Q53" s="2">
        <v>7.0246149369644663E-3</v>
      </c>
      <c r="R53" s="2">
        <v>7.0246149369644663E-3</v>
      </c>
    </row>
    <row r="54" spans="1:18" x14ac:dyDescent="0.3">
      <c r="A54" s="7">
        <v>184</v>
      </c>
      <c r="B54" s="7">
        <v>418</v>
      </c>
      <c r="C54" s="7">
        <v>0</v>
      </c>
      <c r="D54" s="7">
        <v>0</v>
      </c>
      <c r="E54" s="20" t="str">
        <f t="shared" si="0"/>
        <v>00</v>
      </c>
      <c r="F54" s="21">
        <v>5.6569526503903601E-2</v>
      </c>
      <c r="G54" s="4">
        <v>0.38600000000000001</v>
      </c>
      <c r="H54" s="4">
        <v>0.307359307359307</v>
      </c>
      <c r="I54" s="4">
        <v>4.0000000000000001E-3</v>
      </c>
      <c r="J54" s="4">
        <v>5.0000000000000001E-3</v>
      </c>
      <c r="K54" s="5">
        <v>100</v>
      </c>
      <c r="L54" s="5">
        <v>100</v>
      </c>
      <c r="M54" s="5">
        <v>100</v>
      </c>
      <c r="N54" s="5">
        <v>100</v>
      </c>
      <c r="O54" s="2">
        <v>0.48776035083499458</v>
      </c>
      <c r="P54" s="2">
        <v>0.36724389528796619</v>
      </c>
      <c r="Q54" s="2">
        <v>4.0080213975388218E-3</v>
      </c>
      <c r="R54" s="2">
        <v>5.0125418235442863E-3</v>
      </c>
    </row>
    <row r="55" spans="1:18" x14ac:dyDescent="0.3">
      <c r="A55" s="7">
        <v>711</v>
      </c>
      <c r="B55" s="7">
        <v>453</v>
      </c>
      <c r="C55" s="7">
        <v>0</v>
      </c>
      <c r="D55" s="7">
        <v>0</v>
      </c>
      <c r="E55" s="20" t="str">
        <f t="shared" si="0"/>
        <v>00</v>
      </c>
      <c r="F55" s="21">
        <v>5.74115938982473E-2</v>
      </c>
      <c r="G55" s="4">
        <v>0.32100000000000001</v>
      </c>
      <c r="H55" s="4">
        <v>0.25269978401727899</v>
      </c>
      <c r="I55" s="4">
        <v>6.0000000000000001E-3</v>
      </c>
      <c r="J55" s="4">
        <v>6.0000000000000001E-3</v>
      </c>
      <c r="K55" s="5">
        <v>100</v>
      </c>
      <c r="L55" s="5">
        <v>100</v>
      </c>
      <c r="M55" s="5">
        <v>100</v>
      </c>
      <c r="N55" s="5">
        <v>100</v>
      </c>
      <c r="O55" s="2">
        <v>0.38713415142344088</v>
      </c>
      <c r="P55" s="2">
        <v>0.29128827902851034</v>
      </c>
      <c r="Q55" s="2">
        <v>6.0180723255630212E-3</v>
      </c>
      <c r="R55" s="2">
        <v>6.0180723255630212E-3</v>
      </c>
    </row>
    <row r="56" spans="1:18" x14ac:dyDescent="0.3">
      <c r="A56" s="7">
        <v>706</v>
      </c>
      <c r="B56" s="7">
        <v>452</v>
      </c>
      <c r="C56" s="7">
        <v>0</v>
      </c>
      <c r="D56" s="7">
        <v>0</v>
      </c>
      <c r="E56" s="20" t="str">
        <f t="shared" si="0"/>
        <v>00</v>
      </c>
      <c r="F56" s="21">
        <v>5.9960649467619399E-2</v>
      </c>
      <c r="G56" s="4">
        <v>0.34</v>
      </c>
      <c r="H56" s="4">
        <v>0.293064876957494</v>
      </c>
      <c r="I56" s="4">
        <v>4.0000000000000001E-3</v>
      </c>
      <c r="J56" s="4">
        <v>4.0000000000000001E-3</v>
      </c>
      <c r="K56" s="5">
        <v>100</v>
      </c>
      <c r="L56" s="5">
        <v>100</v>
      </c>
      <c r="M56" s="5">
        <v>100</v>
      </c>
      <c r="N56" s="5">
        <v>100</v>
      </c>
      <c r="O56" s="2">
        <v>0.41551544396166595</v>
      </c>
      <c r="P56" s="2">
        <v>0.34681638102665607</v>
      </c>
      <c r="Q56" s="2">
        <v>4.0080213975388218E-3</v>
      </c>
      <c r="R56" s="2">
        <v>4.0080213975388218E-3</v>
      </c>
    </row>
    <row r="57" spans="1:18" x14ac:dyDescent="0.3">
      <c r="A57" s="7">
        <v>398</v>
      </c>
      <c r="B57" s="7">
        <v>451</v>
      </c>
      <c r="C57" s="7">
        <v>0</v>
      </c>
      <c r="D57" s="7">
        <v>0</v>
      </c>
      <c r="E57" s="20" t="str">
        <f t="shared" si="0"/>
        <v>00</v>
      </c>
      <c r="F57" s="21">
        <v>6.0022540613894802E-2</v>
      </c>
      <c r="G57" s="4">
        <v>0.40600000000000003</v>
      </c>
      <c r="H57" s="4">
        <v>0.34482758620689702</v>
      </c>
      <c r="I57" s="4">
        <v>6.0000000000000001E-3</v>
      </c>
      <c r="J57" s="4">
        <v>4.0000000000000001E-3</v>
      </c>
      <c r="K57" s="5">
        <v>100</v>
      </c>
      <c r="L57" s="5">
        <v>100</v>
      </c>
      <c r="M57" s="5">
        <v>100</v>
      </c>
      <c r="N57" s="5">
        <v>100</v>
      </c>
      <c r="O57" s="2">
        <v>0.52087595961949218</v>
      </c>
      <c r="P57" s="2">
        <v>0.42285685082003427</v>
      </c>
      <c r="Q57" s="2">
        <v>6.0180723255630212E-3</v>
      </c>
      <c r="R57" s="2">
        <v>4.0080213975388218E-3</v>
      </c>
    </row>
    <row r="58" spans="1:18" x14ac:dyDescent="0.3">
      <c r="A58" s="7">
        <v>122</v>
      </c>
      <c r="B58" s="7">
        <v>449</v>
      </c>
      <c r="C58" s="7">
        <v>0</v>
      </c>
      <c r="D58" s="7">
        <v>0</v>
      </c>
      <c r="E58" s="20" t="str">
        <f t="shared" si="0"/>
        <v>00</v>
      </c>
      <c r="F58" s="21">
        <v>6.0147223141607697E-2</v>
      </c>
      <c r="G58" s="4">
        <v>0.27900000000000003</v>
      </c>
      <c r="H58" s="4">
        <v>0.22687224669603501</v>
      </c>
      <c r="I58" s="4">
        <v>4.0000000000000001E-3</v>
      </c>
      <c r="J58" s="4">
        <v>6.0000000000000001E-3</v>
      </c>
      <c r="K58" s="5">
        <v>100</v>
      </c>
      <c r="L58" s="5">
        <v>100</v>
      </c>
      <c r="M58" s="5">
        <v>100</v>
      </c>
      <c r="N58" s="5">
        <v>100</v>
      </c>
      <c r="O58" s="2">
        <v>0.327116141697188</v>
      </c>
      <c r="P58" s="2">
        <v>0.25731097457548185</v>
      </c>
      <c r="Q58" s="2">
        <v>4.0080213975388218E-3</v>
      </c>
      <c r="R58" s="2">
        <v>6.0180723255630212E-3</v>
      </c>
    </row>
    <row r="59" spans="1:18" x14ac:dyDescent="0.3">
      <c r="A59" s="7">
        <v>452</v>
      </c>
      <c r="B59" s="7">
        <v>458</v>
      </c>
      <c r="C59" s="7">
        <v>0</v>
      </c>
      <c r="D59" s="7">
        <v>0</v>
      </c>
      <c r="E59" s="20" t="str">
        <f t="shared" si="0"/>
        <v>00</v>
      </c>
      <c r="F59" s="21">
        <v>6.3350118850081502E-2</v>
      </c>
      <c r="G59" s="4">
        <v>0.50800000000000001</v>
      </c>
      <c r="H59" s="4">
        <v>0.40470588235294103</v>
      </c>
      <c r="I59" s="4">
        <v>8.9999999999999993E-3</v>
      </c>
      <c r="J59" s="4">
        <v>8.0000000000000002E-3</v>
      </c>
      <c r="K59" s="5">
        <v>0</v>
      </c>
      <c r="L59" s="5">
        <v>100</v>
      </c>
      <c r="M59" s="5">
        <v>100</v>
      </c>
      <c r="N59" s="5">
        <v>100</v>
      </c>
      <c r="O59" s="2">
        <v>0.70927656248982895</v>
      </c>
      <c r="P59" s="2">
        <v>0.51869968019689638</v>
      </c>
      <c r="Q59" s="2">
        <v>9.0407446521490707E-3</v>
      </c>
      <c r="R59" s="2">
        <v>8.0321716972642666E-3</v>
      </c>
    </row>
    <row r="60" spans="1:18" x14ac:dyDescent="0.3">
      <c r="A60" s="7">
        <v>838</v>
      </c>
      <c r="B60" s="7">
        <v>462</v>
      </c>
      <c r="C60" s="7">
        <v>0</v>
      </c>
      <c r="D60" s="7">
        <v>0</v>
      </c>
      <c r="E60" s="20" t="str">
        <f t="shared" si="0"/>
        <v>00</v>
      </c>
      <c r="F60" s="21">
        <v>6.6604437656494306E-2</v>
      </c>
      <c r="G60" s="4">
        <v>0.28100000000000003</v>
      </c>
      <c r="H60" s="4">
        <v>0.27329192546583903</v>
      </c>
      <c r="I60" s="4">
        <v>7.0000000000000001E-3</v>
      </c>
      <c r="J60" s="4">
        <v>5.0000000000000001E-3</v>
      </c>
      <c r="K60" s="5">
        <v>100</v>
      </c>
      <c r="L60" s="5">
        <v>100</v>
      </c>
      <c r="M60" s="5">
        <v>100</v>
      </c>
      <c r="N60" s="5">
        <v>100</v>
      </c>
      <c r="O60" s="2">
        <v>0.32989392126109041</v>
      </c>
      <c r="P60" s="2">
        <v>0.3192304301867076</v>
      </c>
      <c r="Q60" s="2">
        <v>7.0246149369644663E-3</v>
      </c>
      <c r="R60" s="2">
        <v>5.0125418235442863E-3</v>
      </c>
    </row>
    <row r="61" spans="1:18" x14ac:dyDescent="0.3">
      <c r="A61" s="7">
        <v>890</v>
      </c>
      <c r="B61" s="7">
        <v>455</v>
      </c>
      <c r="C61" s="7">
        <v>0</v>
      </c>
      <c r="D61" s="7">
        <v>0</v>
      </c>
      <c r="E61" s="20" t="str">
        <f t="shared" si="0"/>
        <v>00</v>
      </c>
      <c r="F61" s="21">
        <v>6.68226360007593E-2</v>
      </c>
      <c r="G61" s="4">
        <v>0.311</v>
      </c>
      <c r="H61" s="4">
        <v>0.29835390946502099</v>
      </c>
      <c r="I61" s="4">
        <v>3.0000000000000001E-3</v>
      </c>
      <c r="J61" s="4">
        <v>1E-3</v>
      </c>
      <c r="K61" s="5">
        <v>100</v>
      </c>
      <c r="L61" s="5">
        <v>100</v>
      </c>
      <c r="M61" s="5">
        <v>100</v>
      </c>
      <c r="N61" s="5">
        <v>100</v>
      </c>
      <c r="O61" s="2">
        <v>0.37251400796847839</v>
      </c>
      <c r="P61" s="2">
        <v>0.35432614661697748</v>
      </c>
      <c r="Q61" s="2">
        <v>3.0045090202987243E-3</v>
      </c>
      <c r="R61" s="2">
        <v>1.0005003335835344E-3</v>
      </c>
    </row>
    <row r="62" spans="1:18" x14ac:dyDescent="0.3">
      <c r="A62" s="7">
        <v>636</v>
      </c>
      <c r="B62" s="7">
        <v>435</v>
      </c>
      <c r="C62" s="7">
        <v>0</v>
      </c>
      <c r="D62" s="7">
        <v>0</v>
      </c>
      <c r="E62" s="20" t="str">
        <f t="shared" si="0"/>
        <v>00</v>
      </c>
      <c r="F62" s="21">
        <v>6.74960626713179E-2</v>
      </c>
      <c r="G62" s="4">
        <v>0.192</v>
      </c>
      <c r="H62" s="4">
        <v>0.15942028985507201</v>
      </c>
      <c r="I62" s="4">
        <v>8.0000000000000002E-3</v>
      </c>
      <c r="J62" s="4">
        <v>5.0000000000000001E-3</v>
      </c>
      <c r="K62" s="5">
        <v>100</v>
      </c>
      <c r="L62" s="5">
        <v>100</v>
      </c>
      <c r="M62" s="5">
        <v>100</v>
      </c>
      <c r="N62" s="5">
        <v>100</v>
      </c>
      <c r="O62" s="2">
        <v>0.21319322046104161</v>
      </c>
      <c r="P62" s="2">
        <v>0.17366349405083956</v>
      </c>
      <c r="Q62" s="2">
        <v>8.0321716972642666E-3</v>
      </c>
      <c r="R62" s="2">
        <v>5.0125418235442863E-3</v>
      </c>
    </row>
    <row r="63" spans="1:18" x14ac:dyDescent="0.3">
      <c r="A63" s="7">
        <v>8</v>
      </c>
      <c r="B63" s="7">
        <v>434</v>
      </c>
      <c r="C63" s="7">
        <v>0</v>
      </c>
      <c r="D63" s="7">
        <v>0</v>
      </c>
      <c r="E63" s="20" t="str">
        <f t="shared" si="0"/>
        <v>00</v>
      </c>
      <c r="F63" s="21">
        <v>6.7498628223548005E-2</v>
      </c>
      <c r="G63" s="4">
        <v>0.28100000000000003</v>
      </c>
      <c r="H63" s="4">
        <v>0.24</v>
      </c>
      <c r="I63" s="4">
        <v>1E-3</v>
      </c>
      <c r="J63" s="4">
        <v>6.0000000000000001E-3</v>
      </c>
      <c r="K63" s="5">
        <v>100</v>
      </c>
      <c r="L63" s="5">
        <v>100</v>
      </c>
      <c r="M63" s="5">
        <v>100</v>
      </c>
      <c r="N63" s="5">
        <v>100</v>
      </c>
      <c r="O63" s="2">
        <v>0.32989392126109041</v>
      </c>
      <c r="P63" s="2">
        <v>0.2744368457017603</v>
      </c>
      <c r="Q63" s="2">
        <v>1.0005003335835344E-3</v>
      </c>
      <c r="R63" s="2">
        <v>6.0180723255630212E-3</v>
      </c>
    </row>
    <row r="64" spans="1:18" x14ac:dyDescent="0.3">
      <c r="A64" s="7">
        <v>61</v>
      </c>
      <c r="B64" s="7">
        <v>447</v>
      </c>
      <c r="C64" s="7">
        <v>0</v>
      </c>
      <c r="D64" s="7">
        <v>0</v>
      </c>
      <c r="E64" s="20" t="str">
        <f t="shared" si="0"/>
        <v>00</v>
      </c>
      <c r="F64" s="21">
        <v>6.75880743257396E-2</v>
      </c>
      <c r="G64" s="4">
        <v>0.36099999999999999</v>
      </c>
      <c r="H64" s="4">
        <v>0.30277185501066101</v>
      </c>
      <c r="I64" s="4">
        <v>8.0000000000000002E-3</v>
      </c>
      <c r="J64" s="4">
        <v>8.9999999999999993E-3</v>
      </c>
      <c r="K64" s="5">
        <v>100</v>
      </c>
      <c r="L64" s="5">
        <v>100</v>
      </c>
      <c r="M64" s="5">
        <v>100</v>
      </c>
      <c r="N64" s="5">
        <v>100</v>
      </c>
      <c r="O64" s="2">
        <v>0.44785082460460224</v>
      </c>
      <c r="P64" s="2">
        <v>0.36064259754902611</v>
      </c>
      <c r="Q64" s="2">
        <v>8.0321716972642666E-3</v>
      </c>
      <c r="R64" s="2">
        <v>9.0407446521490707E-3</v>
      </c>
    </row>
    <row r="65" spans="1:18" x14ac:dyDescent="0.3">
      <c r="A65" s="7">
        <v>679</v>
      </c>
      <c r="B65" s="7">
        <v>451</v>
      </c>
      <c r="C65" s="7">
        <v>0</v>
      </c>
      <c r="D65" s="7">
        <v>0</v>
      </c>
      <c r="E65" s="20" t="str">
        <f t="shared" si="0"/>
        <v>00</v>
      </c>
      <c r="F65" s="21">
        <v>6.9183471080157294E-2</v>
      </c>
      <c r="G65" s="4">
        <v>0.41299999999999998</v>
      </c>
      <c r="H65" s="4">
        <v>0.362222222222222</v>
      </c>
      <c r="I65" s="4">
        <v>6.0000000000000001E-3</v>
      </c>
      <c r="J65" s="4">
        <v>1.0999999999999999E-2</v>
      </c>
      <c r="K65" s="5">
        <v>100</v>
      </c>
      <c r="L65" s="5">
        <v>100</v>
      </c>
      <c r="M65" s="5">
        <v>100</v>
      </c>
      <c r="N65" s="5">
        <v>100</v>
      </c>
      <c r="O65" s="2">
        <v>0.53273045915404071</v>
      </c>
      <c r="P65" s="2">
        <v>0.44976536700474401</v>
      </c>
      <c r="Q65" s="2">
        <v>6.0180723255630212E-3</v>
      </c>
      <c r="R65" s="2">
        <v>1.1060947359424948E-2</v>
      </c>
    </row>
    <row r="66" spans="1:18" x14ac:dyDescent="0.3">
      <c r="A66" s="7">
        <v>962</v>
      </c>
      <c r="B66" s="7">
        <v>435</v>
      </c>
      <c r="C66" s="7">
        <v>0</v>
      </c>
      <c r="D66" s="7">
        <v>0</v>
      </c>
      <c r="E66" s="20" t="str">
        <f t="shared" ref="E66:E129" si="1">_xlfn.CONCAT(C66,D66)</f>
        <v>00</v>
      </c>
      <c r="F66" s="21">
        <v>7.1424313847372703E-2</v>
      </c>
      <c r="G66" s="4">
        <v>0.36799999999999999</v>
      </c>
      <c r="H66" s="4">
        <v>0.34591194968553501</v>
      </c>
      <c r="I66" s="4">
        <v>6.0000000000000001E-3</v>
      </c>
      <c r="J66" s="4">
        <v>8.0000000000000002E-3</v>
      </c>
      <c r="K66" s="5">
        <v>100</v>
      </c>
      <c r="L66" s="5">
        <v>100</v>
      </c>
      <c r="M66" s="5">
        <v>100</v>
      </c>
      <c r="N66" s="5">
        <v>100</v>
      </c>
      <c r="O66" s="2">
        <v>0.45886588483527962</v>
      </c>
      <c r="P66" s="2">
        <v>0.42451330307885943</v>
      </c>
      <c r="Q66" s="2">
        <v>6.0180723255630212E-3</v>
      </c>
      <c r="R66" s="2">
        <v>8.0321716972642666E-3</v>
      </c>
    </row>
    <row r="67" spans="1:18" x14ac:dyDescent="0.3">
      <c r="A67" s="7">
        <v>994</v>
      </c>
      <c r="B67" s="7">
        <v>446</v>
      </c>
      <c r="C67" s="7">
        <v>0</v>
      </c>
      <c r="D67" s="7">
        <v>0</v>
      </c>
      <c r="E67" s="20" t="str">
        <f t="shared" si="1"/>
        <v>00</v>
      </c>
      <c r="F67" s="21">
        <v>7.1784735858040405E-2</v>
      </c>
      <c r="G67" s="4">
        <v>0.27800000000000002</v>
      </c>
      <c r="H67" s="4">
        <v>0.23491379310344801</v>
      </c>
      <c r="I67" s="4">
        <v>4.0000000000000001E-3</v>
      </c>
      <c r="J67" s="4">
        <v>6.0000000000000001E-3</v>
      </c>
      <c r="K67" s="5">
        <v>100</v>
      </c>
      <c r="L67" s="5">
        <v>100</v>
      </c>
      <c r="M67" s="5">
        <v>100</v>
      </c>
      <c r="N67" s="5">
        <v>100</v>
      </c>
      <c r="O67" s="2">
        <v>0.32573014008931084</v>
      </c>
      <c r="P67" s="2">
        <v>0.26776676275083905</v>
      </c>
      <c r="Q67" s="2">
        <v>4.0080213975388218E-3</v>
      </c>
      <c r="R67" s="2">
        <v>6.0180723255630212E-3</v>
      </c>
    </row>
    <row r="68" spans="1:18" x14ac:dyDescent="0.3">
      <c r="A68" s="7">
        <v>310</v>
      </c>
      <c r="B68" s="7">
        <v>431</v>
      </c>
      <c r="C68" s="7">
        <v>0</v>
      </c>
      <c r="D68" s="7">
        <v>0</v>
      </c>
      <c r="E68" s="20" t="str">
        <f t="shared" si="1"/>
        <v>00</v>
      </c>
      <c r="F68" s="21">
        <v>7.5033808882373002E-2</v>
      </c>
      <c r="G68" s="4">
        <v>0.45600000000000002</v>
      </c>
      <c r="H68" s="4">
        <v>0.437894736842105</v>
      </c>
      <c r="I68" s="4">
        <v>8.9999999999999993E-3</v>
      </c>
      <c r="J68" s="4">
        <v>7.0000000000000001E-3</v>
      </c>
      <c r="K68" s="5">
        <v>100</v>
      </c>
      <c r="L68" s="5">
        <v>100</v>
      </c>
      <c r="M68" s="5">
        <v>100</v>
      </c>
      <c r="N68" s="5">
        <v>100</v>
      </c>
      <c r="O68" s="2">
        <v>0.60880603212619433</v>
      </c>
      <c r="P68" s="2">
        <v>0.57606614563439118</v>
      </c>
      <c r="Q68" s="2">
        <v>9.0407446521490707E-3</v>
      </c>
      <c r="R68" s="2">
        <v>7.0246149369644663E-3</v>
      </c>
    </row>
    <row r="69" spans="1:18" x14ac:dyDescent="0.3">
      <c r="A69" s="7">
        <v>195</v>
      </c>
      <c r="B69" s="7">
        <v>430</v>
      </c>
      <c r="C69" s="7">
        <v>0</v>
      </c>
      <c r="D69" s="7">
        <v>0</v>
      </c>
      <c r="E69" s="20" t="str">
        <f t="shared" si="1"/>
        <v>00</v>
      </c>
      <c r="F69" s="21">
        <v>7.5582978884594601E-2</v>
      </c>
      <c r="G69" s="4">
        <v>0.32400000000000001</v>
      </c>
      <c r="H69" s="4">
        <v>0.25485961123110201</v>
      </c>
      <c r="I69" s="4">
        <v>6.0000000000000001E-3</v>
      </c>
      <c r="J69" s="4">
        <v>7.0000000000000001E-3</v>
      </c>
      <c r="K69" s="5">
        <v>100</v>
      </c>
      <c r="L69" s="5">
        <v>100</v>
      </c>
      <c r="M69" s="5">
        <v>100</v>
      </c>
      <c r="N69" s="5">
        <v>100</v>
      </c>
      <c r="O69" s="2">
        <v>0.39156220293917304</v>
      </c>
      <c r="P69" s="2">
        <v>0.29418263705487496</v>
      </c>
      <c r="Q69" s="2">
        <v>6.0180723255630212E-3</v>
      </c>
      <c r="R69" s="2">
        <v>7.0246149369644663E-3</v>
      </c>
    </row>
    <row r="70" spans="1:18" x14ac:dyDescent="0.3">
      <c r="A70" s="7">
        <v>242</v>
      </c>
      <c r="B70" s="7">
        <v>449</v>
      </c>
      <c r="C70" s="7">
        <v>0</v>
      </c>
      <c r="D70" s="7">
        <v>0</v>
      </c>
      <c r="E70" s="20" t="str">
        <f t="shared" si="1"/>
        <v>00</v>
      </c>
      <c r="F70" s="21">
        <v>7.5708454534034894E-2</v>
      </c>
      <c r="G70" s="4">
        <v>0.48399999999999999</v>
      </c>
      <c r="H70" s="4">
        <v>0.35294117647058798</v>
      </c>
      <c r="I70" s="4">
        <v>4.0000000000000001E-3</v>
      </c>
      <c r="J70" s="4">
        <v>6.0000000000000001E-3</v>
      </c>
      <c r="K70" s="5">
        <v>100</v>
      </c>
      <c r="L70" s="5">
        <v>100</v>
      </c>
      <c r="M70" s="5">
        <v>100</v>
      </c>
      <c r="N70" s="5">
        <v>100</v>
      </c>
      <c r="O70" s="2">
        <v>0.6616485135005743</v>
      </c>
      <c r="P70" s="2">
        <v>0.43531807125784516</v>
      </c>
      <c r="Q70" s="2">
        <v>4.0080213975388218E-3</v>
      </c>
      <c r="R70" s="2">
        <v>6.0180723255630212E-3</v>
      </c>
    </row>
    <row r="71" spans="1:18" x14ac:dyDescent="0.3">
      <c r="A71" s="7">
        <v>891</v>
      </c>
      <c r="B71" s="7">
        <v>424</v>
      </c>
      <c r="C71" s="7">
        <v>0</v>
      </c>
      <c r="D71" s="7">
        <v>0</v>
      </c>
      <c r="E71" s="20" t="str">
        <f t="shared" si="1"/>
        <v>00</v>
      </c>
      <c r="F71" s="21">
        <v>7.6570413870510404E-2</v>
      </c>
      <c r="G71" s="4">
        <v>0.36</v>
      </c>
      <c r="H71" s="4">
        <v>0.291571753986333</v>
      </c>
      <c r="I71" s="4">
        <v>3.0000000000000001E-3</v>
      </c>
      <c r="J71" s="4">
        <v>4.0000000000000001E-3</v>
      </c>
      <c r="K71" s="5">
        <v>100</v>
      </c>
      <c r="L71" s="5">
        <v>100</v>
      </c>
      <c r="M71" s="5">
        <v>100</v>
      </c>
      <c r="N71" s="5">
        <v>100</v>
      </c>
      <c r="O71" s="2">
        <v>0.44628710262841947</v>
      </c>
      <c r="P71" s="2">
        <v>0.34470650089593774</v>
      </c>
      <c r="Q71" s="2">
        <v>3.0045090202987243E-3</v>
      </c>
      <c r="R71" s="2">
        <v>4.0080213975388218E-3</v>
      </c>
    </row>
    <row r="72" spans="1:18" x14ac:dyDescent="0.3">
      <c r="A72" s="7">
        <v>119</v>
      </c>
      <c r="B72" s="7">
        <v>429</v>
      </c>
      <c r="C72" s="7">
        <v>0</v>
      </c>
      <c r="D72" s="7">
        <v>0</v>
      </c>
      <c r="E72" s="20" t="str">
        <f t="shared" si="1"/>
        <v>00</v>
      </c>
      <c r="F72" s="21">
        <v>7.6920054273251895E-2</v>
      </c>
      <c r="G72" s="4">
        <v>0.30199999999999999</v>
      </c>
      <c r="H72" s="4">
        <v>0.26931106471816302</v>
      </c>
      <c r="I72" s="4">
        <v>7.0000000000000001E-3</v>
      </c>
      <c r="J72" s="4">
        <v>8.0000000000000002E-3</v>
      </c>
      <c r="K72" s="5">
        <v>100</v>
      </c>
      <c r="L72" s="5">
        <v>100</v>
      </c>
      <c r="M72" s="5">
        <v>100</v>
      </c>
      <c r="N72" s="5">
        <v>100</v>
      </c>
      <c r="O72" s="2">
        <v>0.35953617621976464</v>
      </c>
      <c r="P72" s="2">
        <v>0.31376744292745612</v>
      </c>
      <c r="Q72" s="2">
        <v>7.0246149369644663E-3</v>
      </c>
      <c r="R72" s="2">
        <v>8.0321716972642666E-3</v>
      </c>
    </row>
    <row r="73" spans="1:18" x14ac:dyDescent="0.3">
      <c r="A73" s="7">
        <v>885</v>
      </c>
      <c r="B73" s="7">
        <v>428</v>
      </c>
      <c r="C73" s="7">
        <v>0</v>
      </c>
      <c r="D73" s="7">
        <v>0</v>
      </c>
      <c r="E73" s="20" t="str">
        <f t="shared" si="1"/>
        <v>00</v>
      </c>
      <c r="F73" s="21">
        <v>7.8503191311535506E-2</v>
      </c>
      <c r="G73" s="4">
        <v>0.28599999999999998</v>
      </c>
      <c r="H73" s="4">
        <v>0.21244635193132999</v>
      </c>
      <c r="I73" s="4">
        <v>4.0000000000000001E-3</v>
      </c>
      <c r="J73" s="4">
        <v>5.0000000000000001E-3</v>
      </c>
      <c r="K73" s="5">
        <v>100</v>
      </c>
      <c r="L73" s="5">
        <v>100</v>
      </c>
      <c r="M73" s="5">
        <v>100</v>
      </c>
      <c r="N73" s="5">
        <v>100</v>
      </c>
      <c r="O73" s="2">
        <v>0.33687231664255274</v>
      </c>
      <c r="P73" s="2">
        <v>0.23882378607107499</v>
      </c>
      <c r="Q73" s="2">
        <v>4.0080213975388218E-3</v>
      </c>
      <c r="R73" s="2">
        <v>5.0125418235442863E-3</v>
      </c>
    </row>
    <row r="74" spans="1:18" x14ac:dyDescent="0.3">
      <c r="A74" s="7">
        <v>575</v>
      </c>
      <c r="B74" s="7">
        <v>434</v>
      </c>
      <c r="C74" s="7">
        <v>0</v>
      </c>
      <c r="D74" s="7">
        <v>0</v>
      </c>
      <c r="E74" s="20" t="str">
        <f t="shared" si="1"/>
        <v>00</v>
      </c>
      <c r="F74" s="21">
        <v>7.9909331855200494E-2</v>
      </c>
      <c r="G74" s="4">
        <v>0.53</v>
      </c>
      <c r="H74" s="4">
        <v>0.38888888888888901</v>
      </c>
      <c r="I74" s="4">
        <v>7.0000000000000001E-3</v>
      </c>
      <c r="J74" s="4">
        <v>6.0000000000000001E-3</v>
      </c>
      <c r="K74" s="5">
        <v>0</v>
      </c>
      <c r="L74" s="5">
        <v>100</v>
      </c>
      <c r="M74" s="5">
        <v>100</v>
      </c>
      <c r="N74" s="5">
        <v>100</v>
      </c>
      <c r="O74" s="2">
        <v>0.75502258427803282</v>
      </c>
      <c r="P74" s="2">
        <v>0.4924764850977944</v>
      </c>
      <c r="Q74" s="2">
        <v>7.0246149369644663E-3</v>
      </c>
      <c r="R74" s="2">
        <v>6.0180723255630212E-3</v>
      </c>
    </row>
    <row r="75" spans="1:18" x14ac:dyDescent="0.3">
      <c r="A75" s="7">
        <v>226</v>
      </c>
      <c r="B75" s="7">
        <v>430</v>
      </c>
      <c r="C75" s="7">
        <v>0</v>
      </c>
      <c r="D75" s="7">
        <v>0</v>
      </c>
      <c r="E75" s="20" t="str">
        <f t="shared" si="1"/>
        <v>00</v>
      </c>
      <c r="F75" s="21">
        <v>8.2547251344589997E-2</v>
      </c>
      <c r="G75" s="4">
        <v>0.44</v>
      </c>
      <c r="H75" s="4">
        <v>0.32387706855791998</v>
      </c>
      <c r="I75" s="4">
        <v>7.0000000000000001E-3</v>
      </c>
      <c r="J75" s="4">
        <v>1.6E-2</v>
      </c>
      <c r="K75" s="5">
        <v>100</v>
      </c>
      <c r="L75" s="5">
        <v>100</v>
      </c>
      <c r="M75" s="5">
        <v>100</v>
      </c>
      <c r="N75" s="5">
        <v>100</v>
      </c>
      <c r="O75" s="2">
        <v>0.57981849525294205</v>
      </c>
      <c r="P75" s="2">
        <v>0.39138036822642591</v>
      </c>
      <c r="Q75" s="2">
        <v>7.0246149369644663E-3</v>
      </c>
      <c r="R75" s="2">
        <v>1.6129381929883644E-2</v>
      </c>
    </row>
    <row r="76" spans="1:18" x14ac:dyDescent="0.3">
      <c r="A76" s="7">
        <v>834</v>
      </c>
      <c r="B76" s="7">
        <v>434</v>
      </c>
      <c r="C76" s="7">
        <v>0</v>
      </c>
      <c r="D76" s="7">
        <v>0</v>
      </c>
      <c r="E76" s="20" t="str">
        <f t="shared" si="1"/>
        <v>00</v>
      </c>
      <c r="F76" s="21">
        <v>8.3308557643860207E-2</v>
      </c>
      <c r="G76" s="4">
        <v>0.52800000000000002</v>
      </c>
      <c r="H76" s="4">
        <v>0.41176470588235298</v>
      </c>
      <c r="I76" s="4">
        <v>4.0000000000000001E-3</v>
      </c>
      <c r="J76" s="4">
        <v>3.0000000000000001E-3</v>
      </c>
      <c r="K76" s="5">
        <v>0</v>
      </c>
      <c r="L76" s="5">
        <v>100</v>
      </c>
      <c r="M76" s="5">
        <v>100</v>
      </c>
      <c r="N76" s="5">
        <v>100</v>
      </c>
      <c r="O76" s="2">
        <v>0.7507762933965817</v>
      </c>
      <c r="P76" s="2">
        <v>0.5306282510621706</v>
      </c>
      <c r="Q76" s="2">
        <v>4.0080213975388218E-3</v>
      </c>
      <c r="R76" s="2">
        <v>3.0045090202987243E-3</v>
      </c>
    </row>
    <row r="77" spans="1:18" x14ac:dyDescent="0.3">
      <c r="A77" s="7">
        <v>896</v>
      </c>
      <c r="B77" s="7">
        <v>427</v>
      </c>
      <c r="C77" s="7">
        <v>0</v>
      </c>
      <c r="D77" s="7">
        <v>0</v>
      </c>
      <c r="E77" s="20" t="str">
        <f t="shared" si="1"/>
        <v>00</v>
      </c>
      <c r="F77" s="21">
        <v>8.5273136270262895E-2</v>
      </c>
      <c r="G77" s="4">
        <v>0.314</v>
      </c>
      <c r="H77" s="4">
        <v>0.27484143763213498</v>
      </c>
      <c r="I77" s="4">
        <v>6.0000000000000001E-3</v>
      </c>
      <c r="J77" s="4">
        <v>7.0000000000000001E-3</v>
      </c>
      <c r="K77" s="5">
        <v>100</v>
      </c>
      <c r="L77" s="5">
        <v>100</v>
      </c>
      <c r="M77" s="5">
        <v>100</v>
      </c>
      <c r="N77" s="5">
        <v>100</v>
      </c>
      <c r="O77" s="2">
        <v>0.37687765125625189</v>
      </c>
      <c r="P77" s="2">
        <v>0.32136494132599258</v>
      </c>
      <c r="Q77" s="2">
        <v>6.0180723255630212E-3</v>
      </c>
      <c r="R77" s="2">
        <v>7.0246149369644663E-3</v>
      </c>
    </row>
    <row r="78" spans="1:18" x14ac:dyDescent="0.3">
      <c r="A78" s="7">
        <v>805</v>
      </c>
      <c r="B78" s="7">
        <v>412</v>
      </c>
      <c r="C78" s="7">
        <v>0</v>
      </c>
      <c r="D78" s="7">
        <v>0</v>
      </c>
      <c r="E78" s="20" t="str">
        <f t="shared" si="1"/>
        <v>00</v>
      </c>
      <c r="F78" s="21">
        <v>8.6881762793075606E-2</v>
      </c>
      <c r="G78" s="4">
        <v>0.312</v>
      </c>
      <c r="H78" s="4">
        <v>0.28293736501079902</v>
      </c>
      <c r="I78" s="4">
        <v>8.9999999999999993E-3</v>
      </c>
      <c r="J78" s="4">
        <v>8.0000000000000002E-3</v>
      </c>
      <c r="K78" s="5">
        <v>100</v>
      </c>
      <c r="L78" s="5">
        <v>100</v>
      </c>
      <c r="M78" s="5">
        <v>100</v>
      </c>
      <c r="N78" s="5">
        <v>100</v>
      </c>
      <c r="O78" s="2">
        <v>0.37396644104879345</v>
      </c>
      <c r="P78" s="2">
        <v>0.33259208516974537</v>
      </c>
      <c r="Q78" s="2">
        <v>9.0407446521490707E-3</v>
      </c>
      <c r="R78" s="2">
        <v>8.0321716972642666E-3</v>
      </c>
    </row>
    <row r="79" spans="1:18" x14ac:dyDescent="0.3">
      <c r="A79" s="7">
        <v>335</v>
      </c>
      <c r="B79" s="7">
        <v>437</v>
      </c>
      <c r="C79" s="7">
        <v>0</v>
      </c>
      <c r="D79" s="7">
        <v>0</v>
      </c>
      <c r="E79" s="20" t="str">
        <f t="shared" si="1"/>
        <v>00</v>
      </c>
      <c r="F79" s="21">
        <v>8.6959597295113406E-2</v>
      </c>
      <c r="G79" s="4">
        <v>0.41599999999999998</v>
      </c>
      <c r="H79" s="4">
        <v>0.38396624472573798</v>
      </c>
      <c r="I79" s="4">
        <v>8.0000000000000002E-3</v>
      </c>
      <c r="J79" s="4">
        <v>6.0000000000000001E-3</v>
      </c>
      <c r="K79" s="5">
        <v>100</v>
      </c>
      <c r="L79" s="5">
        <v>100</v>
      </c>
      <c r="M79" s="5">
        <v>100</v>
      </c>
      <c r="N79" s="5">
        <v>100</v>
      </c>
      <c r="O79" s="2">
        <v>0.53785429615390989</v>
      </c>
      <c r="P79" s="2">
        <v>0.48445351942679399</v>
      </c>
      <c r="Q79" s="2">
        <v>8.0321716972642666E-3</v>
      </c>
      <c r="R79" s="2">
        <v>6.0180723255630212E-3</v>
      </c>
    </row>
    <row r="80" spans="1:18" x14ac:dyDescent="0.3">
      <c r="A80" s="7">
        <v>590</v>
      </c>
      <c r="B80" s="7">
        <v>430</v>
      </c>
      <c r="C80" s="7">
        <v>0</v>
      </c>
      <c r="D80" s="7">
        <v>0</v>
      </c>
      <c r="E80" s="20" t="str">
        <f t="shared" si="1"/>
        <v>00</v>
      </c>
      <c r="F80" s="21">
        <v>8.7120755956503204E-2</v>
      </c>
      <c r="G80" s="4">
        <v>0.33700000000000002</v>
      </c>
      <c r="H80" s="4">
        <v>0.31958762886597902</v>
      </c>
      <c r="I80" s="4">
        <v>8.0000000000000002E-3</v>
      </c>
      <c r="J80" s="4">
        <v>2E-3</v>
      </c>
      <c r="K80" s="5">
        <v>100</v>
      </c>
      <c r="L80" s="5">
        <v>100</v>
      </c>
      <c r="M80" s="5">
        <v>100</v>
      </c>
      <c r="N80" s="5">
        <v>100</v>
      </c>
      <c r="O80" s="2">
        <v>0.41098028879627452</v>
      </c>
      <c r="P80" s="2">
        <v>0.38505623647695675</v>
      </c>
      <c r="Q80" s="2">
        <v>8.0321716972642666E-3</v>
      </c>
      <c r="R80" s="2">
        <v>2.0020026706730793E-3</v>
      </c>
    </row>
    <row r="81" spans="1:18" x14ac:dyDescent="0.3">
      <c r="A81" s="7">
        <v>71</v>
      </c>
      <c r="B81" s="7">
        <v>423</v>
      </c>
      <c r="C81" s="7">
        <v>0</v>
      </c>
      <c r="D81" s="7">
        <v>0</v>
      </c>
      <c r="E81" s="20" t="str">
        <f t="shared" si="1"/>
        <v>00</v>
      </c>
      <c r="F81" s="21">
        <v>8.7267995802061404E-2</v>
      </c>
      <c r="G81" s="4">
        <v>0.53900000000000003</v>
      </c>
      <c r="H81" s="4">
        <v>0.463007159904535</v>
      </c>
      <c r="I81" s="4">
        <v>0.01</v>
      </c>
      <c r="J81" s="4">
        <v>6.0000000000000001E-3</v>
      </c>
      <c r="K81" s="5">
        <v>0</v>
      </c>
      <c r="L81" s="5">
        <v>100</v>
      </c>
      <c r="M81" s="5">
        <v>100</v>
      </c>
      <c r="N81" s="5">
        <v>100</v>
      </c>
      <c r="O81" s="2">
        <v>0.77435723598548856</v>
      </c>
      <c r="P81" s="2">
        <v>0.6217705177177183</v>
      </c>
      <c r="Q81" s="2">
        <v>1.0050335853501451E-2</v>
      </c>
      <c r="R81" s="2">
        <v>6.0180723255630212E-3</v>
      </c>
    </row>
    <row r="82" spans="1:18" x14ac:dyDescent="0.3">
      <c r="A82" s="7">
        <v>662</v>
      </c>
      <c r="B82" s="7">
        <v>430</v>
      </c>
      <c r="C82" s="7">
        <v>0</v>
      </c>
      <c r="D82" s="7">
        <v>0</v>
      </c>
      <c r="E82" s="20" t="str">
        <f t="shared" si="1"/>
        <v>00</v>
      </c>
      <c r="F82" s="21">
        <v>8.8109768811135095E-2</v>
      </c>
      <c r="G82" s="4">
        <v>0.25700000000000001</v>
      </c>
      <c r="H82" s="4">
        <v>0.23443983402489599</v>
      </c>
      <c r="I82" s="4">
        <v>5.0000000000000001E-3</v>
      </c>
      <c r="J82" s="4">
        <v>5.0000000000000001E-3</v>
      </c>
      <c r="K82" s="5">
        <v>100</v>
      </c>
      <c r="L82" s="5">
        <v>100</v>
      </c>
      <c r="M82" s="5">
        <v>100</v>
      </c>
      <c r="N82" s="5">
        <v>100</v>
      </c>
      <c r="O82" s="2">
        <v>0.29705923426437791</v>
      </c>
      <c r="P82" s="2">
        <v>0.26714747001007277</v>
      </c>
      <c r="Q82" s="2">
        <v>5.0125418235442863E-3</v>
      </c>
      <c r="R82" s="2">
        <v>5.0125418235442863E-3</v>
      </c>
    </row>
    <row r="83" spans="1:18" x14ac:dyDescent="0.3">
      <c r="A83" s="7">
        <v>313</v>
      </c>
      <c r="B83" s="7">
        <v>443</v>
      </c>
      <c r="C83" s="7">
        <v>0</v>
      </c>
      <c r="D83" s="7">
        <v>0</v>
      </c>
      <c r="E83" s="20" t="str">
        <f t="shared" si="1"/>
        <v>00</v>
      </c>
      <c r="F83" s="21">
        <v>8.9224765396290401E-2</v>
      </c>
      <c r="G83" s="4">
        <v>0.40300000000000002</v>
      </c>
      <c r="H83" s="4">
        <v>0.32974137931034497</v>
      </c>
      <c r="I83" s="4">
        <v>7.0000000000000001E-3</v>
      </c>
      <c r="J83" s="4">
        <v>7.0000000000000001E-3</v>
      </c>
      <c r="K83" s="5">
        <v>100</v>
      </c>
      <c r="L83" s="5">
        <v>100</v>
      </c>
      <c r="M83" s="5">
        <v>100</v>
      </c>
      <c r="N83" s="5">
        <v>100</v>
      </c>
      <c r="O83" s="2">
        <v>0.51583816558953499</v>
      </c>
      <c r="P83" s="2">
        <v>0.40009164004702136</v>
      </c>
      <c r="Q83" s="2">
        <v>7.0246149369644663E-3</v>
      </c>
      <c r="R83" s="2">
        <v>7.0246149369644663E-3</v>
      </c>
    </row>
    <row r="84" spans="1:18" x14ac:dyDescent="0.3">
      <c r="A84" s="7">
        <v>637</v>
      </c>
      <c r="B84" s="7">
        <v>411</v>
      </c>
      <c r="C84" s="7">
        <v>0</v>
      </c>
      <c r="D84" s="7">
        <v>0</v>
      </c>
      <c r="E84" s="20" t="str">
        <f t="shared" si="1"/>
        <v>00</v>
      </c>
      <c r="F84" s="21">
        <v>9.2018740083010198E-2</v>
      </c>
      <c r="G84" s="4">
        <v>0.44900000000000001</v>
      </c>
      <c r="H84" s="4">
        <v>0.36946902654867297</v>
      </c>
      <c r="I84" s="4">
        <v>5.0000000000000001E-3</v>
      </c>
      <c r="J84" s="4">
        <v>1.0999999999999999E-2</v>
      </c>
      <c r="K84" s="5">
        <v>100</v>
      </c>
      <c r="L84" s="5">
        <v>100</v>
      </c>
      <c r="M84" s="5">
        <v>100</v>
      </c>
      <c r="N84" s="5">
        <v>100</v>
      </c>
      <c r="O84" s="2">
        <v>0.59602046982922263</v>
      </c>
      <c r="P84" s="2">
        <v>0.46119299956358129</v>
      </c>
      <c r="Q84" s="2">
        <v>5.0125418235442863E-3</v>
      </c>
      <c r="R84" s="2">
        <v>1.1060947359424948E-2</v>
      </c>
    </row>
    <row r="85" spans="1:18" x14ac:dyDescent="0.3">
      <c r="A85" s="7">
        <v>856</v>
      </c>
      <c r="B85" s="7">
        <v>430</v>
      </c>
      <c r="C85" s="7">
        <v>0</v>
      </c>
      <c r="D85" s="7">
        <v>0</v>
      </c>
      <c r="E85" s="20" t="str">
        <f t="shared" si="1"/>
        <v>00</v>
      </c>
      <c r="F85" s="21">
        <v>9.2080354488768001E-2</v>
      </c>
      <c r="G85" s="4">
        <v>0.432</v>
      </c>
      <c r="H85" s="4">
        <v>0.32476635514018698</v>
      </c>
      <c r="I85" s="4">
        <v>1E-3</v>
      </c>
      <c r="J85" s="4">
        <v>8.9999999999999993E-3</v>
      </c>
      <c r="K85" s="5">
        <v>100</v>
      </c>
      <c r="L85" s="5">
        <v>100</v>
      </c>
      <c r="M85" s="5">
        <v>100</v>
      </c>
      <c r="N85" s="5">
        <v>100</v>
      </c>
      <c r="O85" s="2">
        <v>0.56563386026098561</v>
      </c>
      <c r="P85" s="2">
        <v>0.39269650746936463</v>
      </c>
      <c r="Q85" s="2">
        <v>1.0005003335835344E-3</v>
      </c>
      <c r="R85" s="2">
        <v>9.0407446521490707E-3</v>
      </c>
    </row>
    <row r="86" spans="1:18" x14ac:dyDescent="0.3">
      <c r="A86" s="7">
        <v>426</v>
      </c>
      <c r="B86" s="7">
        <v>417</v>
      </c>
      <c r="C86" s="7">
        <v>0</v>
      </c>
      <c r="D86" s="7">
        <v>0</v>
      </c>
      <c r="E86" s="20" t="str">
        <f t="shared" si="1"/>
        <v>00</v>
      </c>
      <c r="F86" s="21">
        <v>9.3804638000253598E-2</v>
      </c>
      <c r="G86" s="4">
        <v>0.40500000000000003</v>
      </c>
      <c r="H86" s="4">
        <v>0.285377358490566</v>
      </c>
      <c r="I86" s="4">
        <v>6.0000000000000001E-3</v>
      </c>
      <c r="J86" s="4">
        <v>8.9999999999999993E-3</v>
      </c>
      <c r="K86" s="5">
        <v>100</v>
      </c>
      <c r="L86" s="5">
        <v>100</v>
      </c>
      <c r="M86" s="5">
        <v>100</v>
      </c>
      <c r="N86" s="5">
        <v>100</v>
      </c>
      <c r="O86" s="2">
        <v>0.51919387343650736</v>
      </c>
      <c r="P86" s="2">
        <v>0.33600064972258858</v>
      </c>
      <c r="Q86" s="2">
        <v>6.0180723255630212E-3</v>
      </c>
      <c r="R86" s="2">
        <v>9.0407446521490707E-3</v>
      </c>
    </row>
    <row r="87" spans="1:18" x14ac:dyDescent="0.3">
      <c r="A87" s="7">
        <v>979</v>
      </c>
      <c r="B87" s="7">
        <v>425</v>
      </c>
      <c r="C87" s="7">
        <v>0</v>
      </c>
      <c r="D87" s="7">
        <v>0</v>
      </c>
      <c r="E87" s="20" t="str">
        <f t="shared" si="1"/>
        <v>00</v>
      </c>
      <c r="F87" s="21">
        <v>9.4756879620403106E-2</v>
      </c>
      <c r="G87" s="4">
        <v>0.39300000000000002</v>
      </c>
      <c r="H87" s="4">
        <v>0.33260393873085298</v>
      </c>
      <c r="I87" s="4">
        <v>1.4999999999999999E-2</v>
      </c>
      <c r="J87" s="4">
        <v>1.9E-2</v>
      </c>
      <c r="K87" s="5">
        <v>100</v>
      </c>
      <c r="L87" s="5">
        <v>100</v>
      </c>
      <c r="M87" s="5">
        <v>100</v>
      </c>
      <c r="N87" s="5">
        <v>100</v>
      </c>
      <c r="O87" s="2">
        <v>0.4992264879226388</v>
      </c>
      <c r="P87" s="2">
        <v>0.40437161428679252</v>
      </c>
      <c r="Q87" s="2">
        <v>1.5113637810048184E-2</v>
      </c>
      <c r="R87" s="2">
        <v>1.9182819416773987E-2</v>
      </c>
    </row>
    <row r="88" spans="1:18" x14ac:dyDescent="0.3">
      <c r="A88" s="7">
        <v>578</v>
      </c>
      <c r="B88" s="7">
        <v>425</v>
      </c>
      <c r="C88" s="7">
        <v>0</v>
      </c>
      <c r="D88" s="7">
        <v>0</v>
      </c>
      <c r="E88" s="20" t="str">
        <f t="shared" si="1"/>
        <v>00</v>
      </c>
      <c r="F88" s="21">
        <v>9.5892219743633503E-2</v>
      </c>
      <c r="G88" s="4">
        <v>0.39700000000000002</v>
      </c>
      <c r="H88" s="4">
        <v>0.30512249443207101</v>
      </c>
      <c r="I88" s="4">
        <v>5.0000000000000001E-3</v>
      </c>
      <c r="J88" s="4">
        <v>8.9999999999999993E-3</v>
      </c>
      <c r="K88" s="5">
        <v>100</v>
      </c>
      <c r="L88" s="5">
        <v>100</v>
      </c>
      <c r="M88" s="5">
        <v>100</v>
      </c>
      <c r="N88" s="5">
        <v>100</v>
      </c>
      <c r="O88" s="2">
        <v>0.50583808225495164</v>
      </c>
      <c r="P88" s="2">
        <v>0.3640196999327715</v>
      </c>
      <c r="Q88" s="2">
        <v>5.0125418235442863E-3</v>
      </c>
      <c r="R88" s="2">
        <v>9.0407446521490707E-3</v>
      </c>
    </row>
    <row r="89" spans="1:18" x14ac:dyDescent="0.3">
      <c r="A89" s="7">
        <v>613</v>
      </c>
      <c r="B89" s="7">
        <v>428</v>
      </c>
      <c r="C89" s="7">
        <v>0</v>
      </c>
      <c r="D89" s="7">
        <v>0</v>
      </c>
      <c r="E89" s="20" t="str">
        <f t="shared" si="1"/>
        <v>00</v>
      </c>
      <c r="F89" s="21">
        <v>9.7850698201518094E-2</v>
      </c>
      <c r="G89" s="4">
        <v>0.61499999999999999</v>
      </c>
      <c r="H89" s="4">
        <v>0.48556430446194199</v>
      </c>
      <c r="I89" s="4">
        <v>3.0000000000000001E-3</v>
      </c>
      <c r="J89" s="4">
        <v>8.9999999999999993E-3</v>
      </c>
      <c r="K89" s="5">
        <v>0</v>
      </c>
      <c r="L89" s="5">
        <v>100</v>
      </c>
      <c r="M89" s="5">
        <v>100</v>
      </c>
      <c r="N89" s="5">
        <v>100</v>
      </c>
      <c r="O89" s="2">
        <v>0.95451194469435285</v>
      </c>
      <c r="P89" s="2">
        <v>0.66468471589618316</v>
      </c>
      <c r="Q89" s="2">
        <v>3.0045090202987243E-3</v>
      </c>
      <c r="R89" s="2">
        <v>9.0407446521490707E-3</v>
      </c>
    </row>
    <row r="90" spans="1:18" x14ac:dyDescent="0.3">
      <c r="A90" s="7">
        <v>351</v>
      </c>
      <c r="B90" s="7">
        <v>420</v>
      </c>
      <c r="C90" s="7">
        <v>0</v>
      </c>
      <c r="D90" s="7">
        <v>0</v>
      </c>
      <c r="E90" s="20" t="str">
        <f t="shared" si="1"/>
        <v>00</v>
      </c>
      <c r="F90" s="21">
        <v>9.8784422443669695E-2</v>
      </c>
      <c r="G90" s="4">
        <v>0.52300000000000002</v>
      </c>
      <c r="H90" s="4">
        <v>0.48608137044967897</v>
      </c>
      <c r="I90" s="4">
        <v>7.2999999999999995E-2</v>
      </c>
      <c r="J90" s="4">
        <v>9.2999999999999999E-2</v>
      </c>
      <c r="K90" s="5">
        <v>0</v>
      </c>
      <c r="L90" s="5">
        <v>100</v>
      </c>
      <c r="M90" s="5">
        <v>100</v>
      </c>
      <c r="N90" s="5">
        <v>100</v>
      </c>
      <c r="O90" s="2">
        <v>0.74023878809379584</v>
      </c>
      <c r="P90" s="2">
        <v>0.66569033432690627</v>
      </c>
      <c r="Q90" s="2">
        <v>7.5801713416281849E-2</v>
      </c>
      <c r="R90" s="2">
        <v>9.7612828867000415E-2</v>
      </c>
    </row>
    <row r="91" spans="1:18" x14ac:dyDescent="0.3">
      <c r="A91" s="7">
        <v>818</v>
      </c>
      <c r="B91" s="7">
        <v>439</v>
      </c>
      <c r="C91" s="7">
        <v>0</v>
      </c>
      <c r="D91" s="7">
        <v>0</v>
      </c>
      <c r="E91" s="20" t="str">
        <f t="shared" si="1"/>
        <v>00</v>
      </c>
      <c r="F91" s="21">
        <v>9.9213858502095006E-2</v>
      </c>
      <c r="G91" s="4">
        <v>0.42299999999999999</v>
      </c>
      <c r="H91" s="4">
        <v>0.30339805825242699</v>
      </c>
      <c r="I91" s="4">
        <v>7.0000000000000001E-3</v>
      </c>
      <c r="J91" s="4">
        <v>6.0000000000000001E-3</v>
      </c>
      <c r="K91" s="5">
        <v>100</v>
      </c>
      <c r="L91" s="5">
        <v>100</v>
      </c>
      <c r="M91" s="5">
        <v>100</v>
      </c>
      <c r="N91" s="5">
        <v>100</v>
      </c>
      <c r="O91" s="2">
        <v>0.54991301247403757</v>
      </c>
      <c r="P91" s="2">
        <v>0.36154113358990492</v>
      </c>
      <c r="Q91" s="2">
        <v>7.0246149369644663E-3</v>
      </c>
      <c r="R91" s="2">
        <v>6.0180723255630212E-3</v>
      </c>
    </row>
    <row r="92" spans="1:18" x14ac:dyDescent="0.3">
      <c r="A92" s="7">
        <v>408</v>
      </c>
      <c r="B92" s="7">
        <v>427</v>
      </c>
      <c r="C92" s="7">
        <v>0</v>
      </c>
      <c r="D92" s="7">
        <v>0</v>
      </c>
      <c r="E92" s="20" t="str">
        <f t="shared" si="1"/>
        <v>00</v>
      </c>
      <c r="F92" s="21">
        <v>9.9242437930055397E-2</v>
      </c>
      <c r="G92" s="4">
        <v>0.27300000000000002</v>
      </c>
      <c r="H92" s="4">
        <v>0.19607843137254899</v>
      </c>
      <c r="I92" s="4">
        <v>6.0000000000000001E-3</v>
      </c>
      <c r="J92" s="4">
        <v>1.0999999999999999E-2</v>
      </c>
      <c r="K92" s="5">
        <v>100</v>
      </c>
      <c r="L92" s="5">
        <v>100</v>
      </c>
      <c r="M92" s="5">
        <v>100</v>
      </c>
      <c r="N92" s="5">
        <v>100</v>
      </c>
      <c r="O92" s="2">
        <v>0.31882880144861769</v>
      </c>
      <c r="P92" s="2">
        <v>0.21825356602001794</v>
      </c>
      <c r="Q92" s="2">
        <v>6.0180723255630212E-3</v>
      </c>
      <c r="R92" s="2">
        <v>1.1060947359424948E-2</v>
      </c>
    </row>
    <row r="93" spans="1:18" x14ac:dyDescent="0.3">
      <c r="A93" s="7">
        <v>490</v>
      </c>
      <c r="B93" s="7">
        <v>431</v>
      </c>
      <c r="C93" s="7">
        <v>0</v>
      </c>
      <c r="D93" s="7">
        <v>0</v>
      </c>
      <c r="E93" s="20" t="str">
        <f t="shared" si="1"/>
        <v>00</v>
      </c>
      <c r="F93" s="21">
        <v>9.98140678546455E-2</v>
      </c>
      <c r="G93" s="4">
        <v>0.27900000000000003</v>
      </c>
      <c r="H93" s="4">
        <v>0.23617021276595701</v>
      </c>
      <c r="I93" s="4">
        <v>6.0000000000000001E-3</v>
      </c>
      <c r="J93" s="4">
        <v>1.4E-2</v>
      </c>
      <c r="K93" s="5">
        <v>100</v>
      </c>
      <c r="L93" s="5">
        <v>100</v>
      </c>
      <c r="M93" s="5">
        <v>100</v>
      </c>
      <c r="N93" s="5">
        <v>100</v>
      </c>
      <c r="O93" s="2">
        <v>0.327116141697188</v>
      </c>
      <c r="P93" s="2">
        <v>0.2694103062158249</v>
      </c>
      <c r="Q93" s="2">
        <v>6.0180723255630212E-3</v>
      </c>
      <c r="R93" s="2">
        <v>1.4098924379501648E-2</v>
      </c>
    </row>
    <row r="94" spans="1:18" x14ac:dyDescent="0.3">
      <c r="A94" s="7">
        <v>587</v>
      </c>
      <c r="B94" s="7">
        <v>407</v>
      </c>
      <c r="C94" s="7">
        <v>0</v>
      </c>
      <c r="D94" s="7">
        <v>0</v>
      </c>
      <c r="E94" s="20" t="str">
        <f t="shared" si="1"/>
        <v>00</v>
      </c>
      <c r="F94" s="21">
        <v>0.10253132342908799</v>
      </c>
      <c r="G94" s="4">
        <v>0.307</v>
      </c>
      <c r="H94" s="4">
        <v>0.27777777777777801</v>
      </c>
      <c r="I94" s="4">
        <v>8.0000000000000002E-3</v>
      </c>
      <c r="J94" s="4">
        <v>4.0000000000000001E-3</v>
      </c>
      <c r="K94" s="5">
        <v>100</v>
      </c>
      <c r="L94" s="5">
        <v>100</v>
      </c>
      <c r="M94" s="5">
        <v>100</v>
      </c>
      <c r="N94" s="5">
        <v>100</v>
      </c>
      <c r="O94" s="2">
        <v>0.36672527979223374</v>
      </c>
      <c r="P94" s="2">
        <v>0.32542240043462828</v>
      </c>
      <c r="Q94" s="2">
        <v>8.0321716972642666E-3</v>
      </c>
      <c r="R94" s="2">
        <v>4.0080213975388218E-3</v>
      </c>
    </row>
    <row r="95" spans="1:18" x14ac:dyDescent="0.3">
      <c r="A95" s="7">
        <v>652</v>
      </c>
      <c r="B95" s="7">
        <v>378</v>
      </c>
      <c r="C95" s="7">
        <v>0</v>
      </c>
      <c r="D95" s="7">
        <v>0</v>
      </c>
      <c r="E95" s="20" t="str">
        <f t="shared" si="1"/>
        <v>00</v>
      </c>
      <c r="F95" s="21">
        <v>0.104338758015427</v>
      </c>
      <c r="G95" s="4">
        <v>0.40799999999999997</v>
      </c>
      <c r="H95" s="4">
        <v>0.30841121495327101</v>
      </c>
      <c r="I95" s="4">
        <v>1.4E-2</v>
      </c>
      <c r="J95" s="4">
        <v>8.9999999999999993E-3</v>
      </c>
      <c r="K95" s="5">
        <v>100</v>
      </c>
      <c r="L95" s="5">
        <v>100</v>
      </c>
      <c r="M95" s="5">
        <v>100</v>
      </c>
      <c r="N95" s="5">
        <v>100</v>
      </c>
      <c r="O95" s="2">
        <v>0.52424864409813121</v>
      </c>
      <c r="P95" s="2">
        <v>0.36876374125773631</v>
      </c>
      <c r="Q95" s="2">
        <v>1.4098924379501648E-2</v>
      </c>
      <c r="R95" s="2">
        <v>9.0407446521490707E-3</v>
      </c>
    </row>
    <row r="96" spans="1:18" x14ac:dyDescent="0.3">
      <c r="A96" s="7">
        <v>363</v>
      </c>
      <c r="B96" s="7">
        <v>408</v>
      </c>
      <c r="C96" s="7">
        <v>0</v>
      </c>
      <c r="D96" s="7">
        <v>0</v>
      </c>
      <c r="E96" s="20" t="str">
        <f t="shared" si="1"/>
        <v>00</v>
      </c>
      <c r="F96" s="21">
        <v>0.105802182746203</v>
      </c>
      <c r="G96" s="4">
        <v>0.374</v>
      </c>
      <c r="H96" s="4">
        <v>0.3125</v>
      </c>
      <c r="I96" s="4">
        <v>0.01</v>
      </c>
      <c r="J96" s="4">
        <v>0.01</v>
      </c>
      <c r="K96" s="5">
        <v>100</v>
      </c>
      <c r="L96" s="5">
        <v>100</v>
      </c>
      <c r="M96" s="5">
        <v>100</v>
      </c>
      <c r="N96" s="5">
        <v>100</v>
      </c>
      <c r="O96" s="2">
        <v>0.46840490788203853</v>
      </c>
      <c r="P96" s="2">
        <v>0.3746934494414107</v>
      </c>
      <c r="Q96" s="2">
        <v>1.0050335853501451E-2</v>
      </c>
      <c r="R96" s="2">
        <v>1.0050335853501451E-2</v>
      </c>
    </row>
    <row r="97" spans="1:18" x14ac:dyDescent="0.3">
      <c r="A97" s="7">
        <v>285</v>
      </c>
      <c r="B97" s="7">
        <v>404</v>
      </c>
      <c r="C97" s="7">
        <v>0</v>
      </c>
      <c r="D97" s="7">
        <v>0</v>
      </c>
      <c r="E97" s="20" t="str">
        <f t="shared" si="1"/>
        <v>00</v>
      </c>
      <c r="F97" s="21">
        <v>0.10580397893830901</v>
      </c>
      <c r="G97" s="4">
        <v>0.64300000000000002</v>
      </c>
      <c r="H97" s="4">
        <v>0.40361445783132499</v>
      </c>
      <c r="I97" s="4">
        <v>4.0000000000000001E-3</v>
      </c>
      <c r="J97" s="4">
        <v>6.0000000000000001E-3</v>
      </c>
      <c r="K97" s="5">
        <v>0</v>
      </c>
      <c r="L97" s="5">
        <v>100</v>
      </c>
      <c r="M97" s="5">
        <v>100</v>
      </c>
      <c r="N97" s="5">
        <v>100</v>
      </c>
      <c r="O97" s="2">
        <v>1.0300194972024981</v>
      </c>
      <c r="P97" s="2">
        <v>0.51686793822195276</v>
      </c>
      <c r="Q97" s="2">
        <v>4.0080213975388218E-3</v>
      </c>
      <c r="R97" s="2">
        <v>6.0180723255630212E-3</v>
      </c>
    </row>
    <row r="98" spans="1:18" x14ac:dyDescent="0.3">
      <c r="A98" s="7">
        <v>360</v>
      </c>
      <c r="B98" s="7">
        <v>400</v>
      </c>
      <c r="C98" s="7">
        <v>0</v>
      </c>
      <c r="D98" s="7">
        <v>0</v>
      </c>
      <c r="E98" s="20" t="str">
        <f t="shared" si="1"/>
        <v>00</v>
      </c>
      <c r="F98" s="21">
        <v>0.10673833993382099</v>
      </c>
      <c r="G98" s="4">
        <v>0.39100000000000001</v>
      </c>
      <c r="H98" s="4">
        <v>0.36322869955157</v>
      </c>
      <c r="I98" s="4">
        <v>4.0000000000000001E-3</v>
      </c>
      <c r="J98" s="4">
        <v>0.01</v>
      </c>
      <c r="K98" s="5">
        <v>100</v>
      </c>
      <c r="L98" s="5">
        <v>100</v>
      </c>
      <c r="M98" s="5">
        <v>100</v>
      </c>
      <c r="N98" s="5">
        <v>100</v>
      </c>
      <c r="O98" s="2">
        <v>0.49593701127224005</v>
      </c>
      <c r="P98" s="2">
        <v>0.45134471385885883</v>
      </c>
      <c r="Q98" s="2">
        <v>4.0080213975388218E-3</v>
      </c>
      <c r="R98" s="2">
        <v>1.0050335853501451E-2</v>
      </c>
    </row>
    <row r="99" spans="1:18" x14ac:dyDescent="0.3">
      <c r="A99" s="7">
        <v>206</v>
      </c>
      <c r="B99" s="7">
        <v>410</v>
      </c>
      <c r="C99" s="7">
        <v>0</v>
      </c>
      <c r="D99" s="7">
        <v>0</v>
      </c>
      <c r="E99" s="20" t="str">
        <f t="shared" si="1"/>
        <v>00</v>
      </c>
      <c r="F99" s="21">
        <v>0.106939968059323</v>
      </c>
      <c r="G99" s="4">
        <v>0.248</v>
      </c>
      <c r="H99" s="4">
        <v>0.19347826086956499</v>
      </c>
      <c r="I99" s="4">
        <v>2E-3</v>
      </c>
      <c r="J99" s="4">
        <v>1.2E-2</v>
      </c>
      <c r="K99" s="5">
        <v>100</v>
      </c>
      <c r="L99" s="5">
        <v>100</v>
      </c>
      <c r="M99" s="5">
        <v>100</v>
      </c>
      <c r="N99" s="5">
        <v>100</v>
      </c>
      <c r="O99" s="2">
        <v>0.28501895503229724</v>
      </c>
      <c r="P99" s="2">
        <v>0.21502442687570525</v>
      </c>
      <c r="Q99" s="2">
        <v>2.0020026706730793E-3</v>
      </c>
      <c r="R99" s="2">
        <v>1.2072581234269249E-2</v>
      </c>
    </row>
    <row r="100" spans="1:18" x14ac:dyDescent="0.3">
      <c r="A100" s="7">
        <v>683</v>
      </c>
      <c r="B100" s="7">
        <v>412</v>
      </c>
      <c r="C100" s="7">
        <v>0</v>
      </c>
      <c r="D100" s="7">
        <v>0</v>
      </c>
      <c r="E100" s="20" t="str">
        <f t="shared" si="1"/>
        <v>00</v>
      </c>
      <c r="F100" s="21">
        <v>0.110622753090079</v>
      </c>
      <c r="G100" s="4">
        <v>0.48799999999999999</v>
      </c>
      <c r="H100" s="4">
        <v>0.41162790697674401</v>
      </c>
      <c r="I100" s="4">
        <v>0.05</v>
      </c>
      <c r="J100" s="4">
        <v>4.4999999999999998E-2</v>
      </c>
      <c r="K100" s="5">
        <v>100</v>
      </c>
      <c r="L100" s="5">
        <v>100</v>
      </c>
      <c r="M100" s="5">
        <v>100</v>
      </c>
      <c r="N100" s="5">
        <v>100</v>
      </c>
      <c r="O100" s="2">
        <v>0.66943065394262924</v>
      </c>
      <c r="P100" s="2">
        <v>0.53039571996008761</v>
      </c>
      <c r="Q100" s="2">
        <v>5.1293294387550578E-2</v>
      </c>
      <c r="R100" s="2">
        <v>4.6043938501406846E-2</v>
      </c>
    </row>
    <row r="101" spans="1:18" x14ac:dyDescent="0.3">
      <c r="A101" s="7">
        <v>944</v>
      </c>
      <c r="B101" s="7">
        <v>399</v>
      </c>
      <c r="C101" s="7">
        <v>0</v>
      </c>
      <c r="D101" s="7">
        <v>0</v>
      </c>
      <c r="E101" s="20" t="str">
        <f t="shared" si="1"/>
        <v>00</v>
      </c>
      <c r="F101" s="21">
        <v>0.11249763607506801</v>
      </c>
      <c r="G101" s="4">
        <v>0.36399999999999999</v>
      </c>
      <c r="H101" s="4">
        <v>0.28506787330316702</v>
      </c>
      <c r="I101" s="4">
        <v>8.9999999999999993E-3</v>
      </c>
      <c r="J101" s="4">
        <v>8.9999999999999993E-3</v>
      </c>
      <c r="K101" s="5">
        <v>100</v>
      </c>
      <c r="L101" s="5">
        <v>100</v>
      </c>
      <c r="M101" s="5">
        <v>100</v>
      </c>
      <c r="N101" s="5">
        <v>100</v>
      </c>
      <c r="O101" s="2">
        <v>0.45255671564201488</v>
      </c>
      <c r="P101" s="2">
        <v>0.33556766849078551</v>
      </c>
      <c r="Q101" s="2">
        <v>9.0407446521490707E-3</v>
      </c>
      <c r="R101" s="2">
        <v>9.0407446521490707E-3</v>
      </c>
    </row>
    <row r="102" spans="1:18" x14ac:dyDescent="0.3">
      <c r="A102" s="7">
        <v>216</v>
      </c>
      <c r="B102" s="7">
        <v>423</v>
      </c>
      <c r="C102" s="7">
        <v>0</v>
      </c>
      <c r="D102" s="7">
        <v>0</v>
      </c>
      <c r="E102" s="20" t="str">
        <f t="shared" si="1"/>
        <v>00</v>
      </c>
      <c r="F102" s="21">
        <v>0.113300590653909</v>
      </c>
      <c r="G102" s="4">
        <v>0.35299999999999998</v>
      </c>
      <c r="H102" s="4">
        <v>0.32537960954446898</v>
      </c>
      <c r="I102" s="4">
        <v>7.0000000000000001E-3</v>
      </c>
      <c r="J102" s="4">
        <v>1.0999999999999999E-2</v>
      </c>
      <c r="K102" s="5">
        <v>100</v>
      </c>
      <c r="L102" s="5">
        <v>100</v>
      </c>
      <c r="M102" s="5">
        <v>100</v>
      </c>
      <c r="N102" s="5">
        <v>100</v>
      </c>
      <c r="O102" s="2">
        <v>0.43540898448123644</v>
      </c>
      <c r="P102" s="2">
        <v>0.39360513081741505</v>
      </c>
      <c r="Q102" s="2">
        <v>7.0246149369644663E-3</v>
      </c>
      <c r="R102" s="2">
        <v>1.1060947359424948E-2</v>
      </c>
    </row>
    <row r="103" spans="1:18" x14ac:dyDescent="0.3">
      <c r="A103" s="7">
        <v>736</v>
      </c>
      <c r="B103" s="7">
        <v>407</v>
      </c>
      <c r="C103" s="7">
        <v>0</v>
      </c>
      <c r="D103" s="7">
        <v>0</v>
      </c>
      <c r="E103" s="20" t="str">
        <f t="shared" si="1"/>
        <v>00</v>
      </c>
      <c r="F103" s="21">
        <v>0.11695364804505901</v>
      </c>
      <c r="G103" s="4">
        <v>0.23300000000000001</v>
      </c>
      <c r="H103" s="4">
        <v>0.21052631578947401</v>
      </c>
      <c r="I103" s="4">
        <v>8.9999999999999993E-3</v>
      </c>
      <c r="J103" s="4">
        <v>7.0000000000000001E-3</v>
      </c>
      <c r="K103" s="5">
        <v>100</v>
      </c>
      <c r="L103" s="5">
        <v>100</v>
      </c>
      <c r="M103" s="5">
        <v>100</v>
      </c>
      <c r="N103" s="5">
        <v>100</v>
      </c>
      <c r="O103" s="2">
        <v>0.26526847761488087</v>
      </c>
      <c r="P103" s="2">
        <v>0.23638877806423081</v>
      </c>
      <c r="Q103" s="2">
        <v>9.0407446521490707E-3</v>
      </c>
      <c r="R103" s="2">
        <v>7.0246149369644663E-3</v>
      </c>
    </row>
    <row r="104" spans="1:18" x14ac:dyDescent="0.3">
      <c r="A104" s="7">
        <v>574</v>
      </c>
      <c r="B104" s="7">
        <v>414</v>
      </c>
      <c r="C104" s="7">
        <v>0</v>
      </c>
      <c r="D104" s="7">
        <v>0</v>
      </c>
      <c r="E104" s="20" t="str">
        <f t="shared" si="1"/>
        <v>00</v>
      </c>
      <c r="F104" s="21">
        <v>0.11749824594802501</v>
      </c>
      <c r="G104" s="4">
        <v>0.41799999999999998</v>
      </c>
      <c r="H104" s="4">
        <v>0.33489461358313799</v>
      </c>
      <c r="I104" s="4">
        <v>1.0999999999999999E-2</v>
      </c>
      <c r="J104" s="4">
        <v>8.9999999999999993E-3</v>
      </c>
      <c r="K104" s="5">
        <v>100</v>
      </c>
      <c r="L104" s="5">
        <v>100</v>
      </c>
      <c r="M104" s="5">
        <v>100</v>
      </c>
      <c r="N104" s="5">
        <v>100</v>
      </c>
      <c r="O104" s="2">
        <v>0.54128483125069915</v>
      </c>
      <c r="P104" s="2">
        <v>0.40780977506741822</v>
      </c>
      <c r="Q104" s="2">
        <v>1.1060947359424948E-2</v>
      </c>
      <c r="R104" s="2">
        <v>9.0407446521490707E-3</v>
      </c>
    </row>
    <row r="105" spans="1:18" x14ac:dyDescent="0.3">
      <c r="A105" s="7">
        <v>240</v>
      </c>
      <c r="B105" s="7">
        <v>432</v>
      </c>
      <c r="C105" s="7">
        <v>0</v>
      </c>
      <c r="D105" s="7">
        <v>0</v>
      </c>
      <c r="E105" s="20" t="str">
        <f t="shared" si="1"/>
        <v>00</v>
      </c>
      <c r="F105" s="21">
        <v>0.11934684389684599</v>
      </c>
      <c r="G105" s="4">
        <v>0.29799999999999999</v>
      </c>
      <c r="H105" s="4">
        <v>0.24472573839662401</v>
      </c>
      <c r="I105" s="4">
        <v>1.2E-2</v>
      </c>
      <c r="J105" s="4">
        <v>5.0000000000000001E-3</v>
      </c>
      <c r="K105" s="5">
        <v>100</v>
      </c>
      <c r="L105" s="5">
        <v>100</v>
      </c>
      <c r="M105" s="5">
        <v>100</v>
      </c>
      <c r="N105" s="5">
        <v>100</v>
      </c>
      <c r="O105" s="2">
        <v>0.353821874956326</v>
      </c>
      <c r="P105" s="2">
        <v>0.28067433529437563</v>
      </c>
      <c r="Q105" s="2">
        <v>1.2072581234269249E-2</v>
      </c>
      <c r="R105" s="2">
        <v>5.0125418235442863E-3</v>
      </c>
    </row>
    <row r="106" spans="1:18" x14ac:dyDescent="0.3">
      <c r="A106" s="7">
        <v>839</v>
      </c>
      <c r="B106" s="7">
        <v>416</v>
      </c>
      <c r="C106" s="7">
        <v>0</v>
      </c>
      <c r="D106" s="7">
        <v>0</v>
      </c>
      <c r="E106" s="20" t="str">
        <f t="shared" si="1"/>
        <v>00</v>
      </c>
      <c r="F106" s="21">
        <v>0.122041771082103</v>
      </c>
      <c r="G106" s="4">
        <v>0.26100000000000001</v>
      </c>
      <c r="H106" s="4">
        <v>0.24489795918367299</v>
      </c>
      <c r="I106" s="4">
        <v>0.159</v>
      </c>
      <c r="J106" s="4">
        <v>0.16800000000000001</v>
      </c>
      <c r="K106" s="5">
        <v>100</v>
      </c>
      <c r="L106" s="5">
        <v>100</v>
      </c>
      <c r="M106" s="5">
        <v>100</v>
      </c>
      <c r="N106" s="5">
        <v>100</v>
      </c>
      <c r="O106" s="2">
        <v>0.30245735803393531</v>
      </c>
      <c r="P106" s="2">
        <v>0.28090238546640151</v>
      </c>
      <c r="Q106" s="2">
        <v>0.17316361900918903</v>
      </c>
      <c r="R106" s="2">
        <v>0.1839228381609285</v>
      </c>
    </row>
    <row r="107" spans="1:18" x14ac:dyDescent="0.3">
      <c r="A107" s="7">
        <v>600</v>
      </c>
      <c r="B107" s="7">
        <v>400</v>
      </c>
      <c r="C107" s="7">
        <v>0</v>
      </c>
      <c r="D107" s="7">
        <v>0</v>
      </c>
      <c r="E107" s="20" t="str">
        <f t="shared" si="1"/>
        <v>00</v>
      </c>
      <c r="F107" s="21">
        <v>0.12644074576039499</v>
      </c>
      <c r="G107" s="4">
        <v>0.495</v>
      </c>
      <c r="H107" s="4">
        <v>0.40689655172413802</v>
      </c>
      <c r="I107" s="4">
        <v>1.4999999999999999E-2</v>
      </c>
      <c r="J107" s="4">
        <v>0.02</v>
      </c>
      <c r="K107" s="5">
        <v>100</v>
      </c>
      <c r="L107" s="5">
        <v>100</v>
      </c>
      <c r="M107" s="5">
        <v>100</v>
      </c>
      <c r="N107" s="5">
        <v>100</v>
      </c>
      <c r="O107" s="2">
        <v>0.68319684970677719</v>
      </c>
      <c r="P107" s="2">
        <v>0.52238644616706686</v>
      </c>
      <c r="Q107" s="2">
        <v>1.5113637810048184E-2</v>
      </c>
      <c r="R107" s="2">
        <v>2.0202707317519466E-2</v>
      </c>
    </row>
    <row r="108" spans="1:18" x14ac:dyDescent="0.3">
      <c r="A108" s="7">
        <v>778</v>
      </c>
      <c r="B108" s="7">
        <v>416</v>
      </c>
      <c r="C108" s="7">
        <v>0</v>
      </c>
      <c r="D108" s="7">
        <v>0</v>
      </c>
      <c r="E108" s="20" t="str">
        <f t="shared" si="1"/>
        <v>00</v>
      </c>
      <c r="F108" s="21">
        <v>0.12660932691288701</v>
      </c>
      <c r="G108" s="4">
        <v>0.41399999999999998</v>
      </c>
      <c r="H108" s="4">
        <v>0.3470715835141</v>
      </c>
      <c r="I108" s="4">
        <v>2.4E-2</v>
      </c>
      <c r="J108" s="4">
        <v>3.2000000000000001E-2</v>
      </c>
      <c r="K108" s="5">
        <v>100</v>
      </c>
      <c r="L108" s="5">
        <v>100</v>
      </c>
      <c r="M108" s="5">
        <v>100</v>
      </c>
      <c r="N108" s="5">
        <v>100</v>
      </c>
      <c r="O108" s="2">
        <v>0.53443548940512431</v>
      </c>
      <c r="P108" s="2">
        <v>0.4262877782477732</v>
      </c>
      <c r="Q108" s="2">
        <v>2.4292692569044587E-2</v>
      </c>
      <c r="R108" s="2">
        <v>3.2523191705560062E-2</v>
      </c>
    </row>
    <row r="109" spans="1:18" x14ac:dyDescent="0.3">
      <c r="A109" s="7">
        <v>505</v>
      </c>
      <c r="B109" s="7">
        <v>399</v>
      </c>
      <c r="C109" s="7">
        <v>0</v>
      </c>
      <c r="D109" s="7">
        <v>0</v>
      </c>
      <c r="E109" s="20" t="str">
        <f t="shared" si="1"/>
        <v>00</v>
      </c>
      <c r="F109" s="21">
        <v>0.12743534606939599</v>
      </c>
      <c r="G109" s="4">
        <v>0.38500000000000001</v>
      </c>
      <c r="H109" s="4">
        <v>0.32798165137614699</v>
      </c>
      <c r="I109" s="4">
        <v>1.4999999999999999E-2</v>
      </c>
      <c r="J109" s="4">
        <v>1.4999999999999999E-2</v>
      </c>
      <c r="K109" s="5">
        <v>100</v>
      </c>
      <c r="L109" s="5">
        <v>100</v>
      </c>
      <c r="M109" s="5">
        <v>100</v>
      </c>
      <c r="N109" s="5">
        <v>100</v>
      </c>
      <c r="O109" s="2">
        <v>0.48613301117561919</v>
      </c>
      <c r="P109" s="2">
        <v>0.3974696343319673</v>
      </c>
      <c r="Q109" s="2">
        <v>1.5113637810048184E-2</v>
      </c>
      <c r="R109" s="2">
        <v>1.5113637810048184E-2</v>
      </c>
    </row>
    <row r="110" spans="1:18" x14ac:dyDescent="0.3">
      <c r="A110" s="7">
        <v>851</v>
      </c>
      <c r="B110" s="7">
        <v>395</v>
      </c>
      <c r="C110" s="7">
        <v>0</v>
      </c>
      <c r="D110" s="7">
        <v>0</v>
      </c>
      <c r="E110" s="20" t="str">
        <f t="shared" si="1"/>
        <v>00</v>
      </c>
      <c r="F110" s="21">
        <v>0.12849007256300601</v>
      </c>
      <c r="G110" s="4">
        <v>0.45300000000000001</v>
      </c>
      <c r="H110" s="4">
        <v>0.36194895591647303</v>
      </c>
      <c r="I110" s="4">
        <v>6.0000000000000001E-3</v>
      </c>
      <c r="J110" s="4">
        <v>8.9999999999999993E-3</v>
      </c>
      <c r="K110" s="5">
        <v>100</v>
      </c>
      <c r="L110" s="5">
        <v>100</v>
      </c>
      <c r="M110" s="5">
        <v>100</v>
      </c>
      <c r="N110" s="5">
        <v>100</v>
      </c>
      <c r="O110" s="2">
        <v>0.60330647656015601</v>
      </c>
      <c r="P110" s="2">
        <v>0.44933699243717601</v>
      </c>
      <c r="Q110" s="2">
        <v>6.0180723255630212E-3</v>
      </c>
      <c r="R110" s="2">
        <v>9.0407446521490707E-3</v>
      </c>
    </row>
    <row r="111" spans="1:18" x14ac:dyDescent="0.3">
      <c r="A111" s="7">
        <v>548</v>
      </c>
      <c r="B111" s="7">
        <v>408</v>
      </c>
      <c r="C111" s="7">
        <v>0</v>
      </c>
      <c r="D111" s="7">
        <v>0</v>
      </c>
      <c r="E111" s="20" t="str">
        <f t="shared" si="1"/>
        <v>00</v>
      </c>
      <c r="F111" s="21">
        <v>0.128890919897659</v>
      </c>
      <c r="G111" s="4">
        <v>0.32800000000000001</v>
      </c>
      <c r="H111" s="4">
        <v>0.26039387308533901</v>
      </c>
      <c r="I111" s="4">
        <v>7.0000000000000001E-3</v>
      </c>
      <c r="J111" s="4">
        <v>7.0000000000000001E-3</v>
      </c>
      <c r="K111" s="5">
        <v>100</v>
      </c>
      <c r="L111" s="5">
        <v>100</v>
      </c>
      <c r="M111" s="5">
        <v>100</v>
      </c>
      <c r="N111" s="5">
        <v>100</v>
      </c>
      <c r="O111" s="2">
        <v>0.39749693845898759</v>
      </c>
      <c r="P111" s="2">
        <v>0.30163749541118573</v>
      </c>
      <c r="Q111" s="2">
        <v>7.0246149369644663E-3</v>
      </c>
      <c r="R111" s="2">
        <v>7.0246149369644663E-3</v>
      </c>
    </row>
    <row r="112" spans="1:18" x14ac:dyDescent="0.3">
      <c r="A112" s="7">
        <v>702</v>
      </c>
      <c r="B112" s="7">
        <v>396</v>
      </c>
      <c r="C112" s="7">
        <v>0</v>
      </c>
      <c r="D112" s="7">
        <v>0</v>
      </c>
      <c r="E112" s="20" t="str">
        <f t="shared" si="1"/>
        <v>00</v>
      </c>
      <c r="F112" s="21">
        <v>0.130068411742356</v>
      </c>
      <c r="G112" s="4">
        <v>0.22800000000000001</v>
      </c>
      <c r="H112" s="4">
        <v>0.14823008849557501</v>
      </c>
      <c r="I112" s="4">
        <v>6.0000000000000001E-3</v>
      </c>
      <c r="J112" s="4">
        <v>1.2E-2</v>
      </c>
      <c r="K112" s="5">
        <v>100</v>
      </c>
      <c r="L112" s="5">
        <v>100</v>
      </c>
      <c r="M112" s="5">
        <v>100</v>
      </c>
      <c r="N112" s="5">
        <v>100</v>
      </c>
      <c r="O112" s="2">
        <v>0.25877072895736086</v>
      </c>
      <c r="P112" s="2">
        <v>0.16043884554444665</v>
      </c>
      <c r="Q112" s="2">
        <v>6.0180723255630212E-3</v>
      </c>
      <c r="R112" s="2">
        <v>1.2072581234269249E-2</v>
      </c>
    </row>
    <row r="113" spans="1:18" x14ac:dyDescent="0.3">
      <c r="A113" s="7">
        <v>550</v>
      </c>
      <c r="B113" s="7">
        <v>379</v>
      </c>
      <c r="C113" s="7">
        <v>0</v>
      </c>
      <c r="D113" s="7">
        <v>0</v>
      </c>
      <c r="E113" s="20" t="str">
        <f t="shared" si="1"/>
        <v>00</v>
      </c>
      <c r="F113" s="21">
        <v>0.13186231032261</v>
      </c>
      <c r="G113" s="4">
        <v>0.315</v>
      </c>
      <c r="H113" s="4">
        <v>0.27196652719665299</v>
      </c>
      <c r="I113" s="4">
        <v>1.2E-2</v>
      </c>
      <c r="J113" s="4">
        <v>1.4E-2</v>
      </c>
      <c r="K113" s="5">
        <v>100</v>
      </c>
      <c r="L113" s="5">
        <v>100</v>
      </c>
      <c r="M113" s="5">
        <v>100</v>
      </c>
      <c r="N113" s="5">
        <v>100</v>
      </c>
      <c r="O113" s="2">
        <v>0.37833644071991168</v>
      </c>
      <c r="P113" s="2">
        <v>0.31740825271698192</v>
      </c>
      <c r="Q113" s="2">
        <v>1.2072581234269249E-2</v>
      </c>
      <c r="R113" s="2">
        <v>1.4098924379501648E-2</v>
      </c>
    </row>
    <row r="114" spans="1:18" x14ac:dyDescent="0.3">
      <c r="A114" s="7">
        <v>674</v>
      </c>
      <c r="B114" s="7">
        <v>379</v>
      </c>
      <c r="C114" s="7">
        <v>0</v>
      </c>
      <c r="D114" s="7">
        <v>0</v>
      </c>
      <c r="E114" s="20" t="str">
        <f t="shared" si="1"/>
        <v>00</v>
      </c>
      <c r="F114" s="21">
        <v>0.13318541555633601</v>
      </c>
      <c r="G114" s="4">
        <v>0.36</v>
      </c>
      <c r="H114" s="4">
        <v>0.33693304535637097</v>
      </c>
      <c r="I114" s="4">
        <v>1.7999999999999999E-2</v>
      </c>
      <c r="J114" s="4">
        <v>1.7000000000000001E-2</v>
      </c>
      <c r="K114" s="5">
        <v>100</v>
      </c>
      <c r="L114" s="5">
        <v>100</v>
      </c>
      <c r="M114" s="5">
        <v>100</v>
      </c>
      <c r="N114" s="5">
        <v>100</v>
      </c>
      <c r="O114" s="2">
        <v>0.44628710262841947</v>
      </c>
      <c r="P114" s="2">
        <v>0.4108793064990362</v>
      </c>
      <c r="Q114" s="2">
        <v>1.816397062767118E-2</v>
      </c>
      <c r="R114" s="2">
        <v>1.7146158834970514E-2</v>
      </c>
    </row>
    <row r="115" spans="1:18" x14ac:dyDescent="0.3">
      <c r="A115" s="7">
        <v>645</v>
      </c>
      <c r="B115" s="7">
        <v>416</v>
      </c>
      <c r="C115" s="7">
        <v>0</v>
      </c>
      <c r="D115" s="7">
        <v>0</v>
      </c>
      <c r="E115" s="20" t="str">
        <f t="shared" si="1"/>
        <v>00</v>
      </c>
      <c r="F115" s="21">
        <v>0.133356188687</v>
      </c>
      <c r="G115" s="4">
        <v>0.34399999999999997</v>
      </c>
      <c r="H115" s="4">
        <v>0.300865800865801</v>
      </c>
      <c r="I115" s="4">
        <v>0.89800000000000002</v>
      </c>
      <c r="J115" s="4">
        <v>0.89500000000000002</v>
      </c>
      <c r="K115" s="5">
        <v>100</v>
      </c>
      <c r="L115" s="5">
        <v>100</v>
      </c>
      <c r="M115" s="5">
        <v>0</v>
      </c>
      <c r="N115" s="5">
        <v>0</v>
      </c>
      <c r="O115" s="2">
        <v>0.42159449003804794</v>
      </c>
      <c r="P115" s="2">
        <v>0.35791256785908243</v>
      </c>
      <c r="Q115" s="2">
        <v>2.2827824656978661</v>
      </c>
      <c r="R115" s="2">
        <v>2.2537949288246137</v>
      </c>
    </row>
    <row r="116" spans="1:18" x14ac:dyDescent="0.3">
      <c r="A116" s="7">
        <v>443</v>
      </c>
      <c r="B116" s="7">
        <v>393</v>
      </c>
      <c r="C116" s="7">
        <v>0</v>
      </c>
      <c r="D116" s="7">
        <v>0</v>
      </c>
      <c r="E116" s="20" t="str">
        <f t="shared" si="1"/>
        <v>00</v>
      </c>
      <c r="F116" s="21">
        <v>0.137260575608188</v>
      </c>
      <c r="G116" s="4">
        <v>0.28799999999999998</v>
      </c>
      <c r="H116" s="4">
        <v>0.24842105263157899</v>
      </c>
      <c r="I116" s="4">
        <v>0.02</v>
      </c>
      <c r="J116" s="4">
        <v>1.4999999999999999E-2</v>
      </c>
      <c r="K116" s="5">
        <v>100</v>
      </c>
      <c r="L116" s="5">
        <v>100</v>
      </c>
      <c r="M116" s="5">
        <v>100</v>
      </c>
      <c r="N116" s="5">
        <v>100</v>
      </c>
      <c r="O116" s="2">
        <v>0.33967736757016131</v>
      </c>
      <c r="P116" s="2">
        <v>0.2855790222550022</v>
      </c>
      <c r="Q116" s="2">
        <v>2.0202707317519466E-2</v>
      </c>
      <c r="R116" s="2">
        <v>1.5113637810048184E-2</v>
      </c>
    </row>
    <row r="117" spans="1:18" x14ac:dyDescent="0.3">
      <c r="A117" s="7">
        <v>791</v>
      </c>
      <c r="B117" s="7">
        <v>385</v>
      </c>
      <c r="C117" s="7">
        <v>0</v>
      </c>
      <c r="D117" s="7">
        <v>0</v>
      </c>
      <c r="E117" s="20" t="str">
        <f t="shared" si="1"/>
        <v>00</v>
      </c>
      <c r="F117" s="21">
        <v>0.13871094463620701</v>
      </c>
      <c r="G117" s="4">
        <v>0.65600000000000003</v>
      </c>
      <c r="H117" s="4">
        <v>0.58394160583941601</v>
      </c>
      <c r="I117" s="4">
        <v>2E-3</v>
      </c>
      <c r="J117" s="4">
        <v>2.1000000000000001E-2</v>
      </c>
      <c r="K117" s="5">
        <v>0</v>
      </c>
      <c r="L117" s="5">
        <v>0</v>
      </c>
      <c r="M117" s="5">
        <v>100</v>
      </c>
      <c r="N117" s="5">
        <v>100</v>
      </c>
      <c r="O117" s="2">
        <v>1.0671136216087387</v>
      </c>
      <c r="P117" s="2">
        <v>0.8769296579935747</v>
      </c>
      <c r="Q117" s="2">
        <v>2.0020026706730793E-3</v>
      </c>
      <c r="R117" s="2">
        <v>2.1223636451626688E-2</v>
      </c>
    </row>
    <row r="118" spans="1:18" x14ac:dyDescent="0.3">
      <c r="A118" s="7">
        <v>740</v>
      </c>
      <c r="B118" s="7">
        <v>375</v>
      </c>
      <c r="C118" s="7">
        <v>0</v>
      </c>
      <c r="D118" s="7">
        <v>0</v>
      </c>
      <c r="E118" s="20" t="str">
        <f t="shared" si="1"/>
        <v>00</v>
      </c>
      <c r="F118" s="21">
        <v>0.13883421221253001</v>
      </c>
      <c r="G118" s="4">
        <v>0.33700000000000002</v>
      </c>
      <c r="H118" s="4">
        <v>0.33401639344262302</v>
      </c>
      <c r="I118" s="4">
        <v>0.02</v>
      </c>
      <c r="J118" s="4">
        <v>1.2999999999999999E-2</v>
      </c>
      <c r="K118" s="5">
        <v>100</v>
      </c>
      <c r="L118" s="5">
        <v>100</v>
      </c>
      <c r="M118" s="5">
        <v>100</v>
      </c>
      <c r="N118" s="5">
        <v>100</v>
      </c>
      <c r="O118" s="2">
        <v>0.41098028879627452</v>
      </c>
      <c r="P118" s="2">
        <v>0.4064902235234098</v>
      </c>
      <c r="Q118" s="2">
        <v>2.0202707317519466E-2</v>
      </c>
      <c r="R118" s="2">
        <v>1.3085239548655481E-2</v>
      </c>
    </row>
    <row r="119" spans="1:18" x14ac:dyDescent="0.3">
      <c r="A119" s="7">
        <v>254</v>
      </c>
      <c r="B119" s="7">
        <v>400</v>
      </c>
      <c r="C119" s="7">
        <v>0</v>
      </c>
      <c r="D119" s="7">
        <v>0</v>
      </c>
      <c r="E119" s="20" t="str">
        <f t="shared" si="1"/>
        <v>00</v>
      </c>
      <c r="F119" s="21">
        <v>0.139729625003708</v>
      </c>
      <c r="G119" s="4">
        <v>0.41399999999999998</v>
      </c>
      <c r="H119" s="4">
        <v>0.38775510204081598</v>
      </c>
      <c r="I119" s="4">
        <v>7.0000000000000001E-3</v>
      </c>
      <c r="J119" s="4">
        <v>1.4E-2</v>
      </c>
      <c r="K119" s="5">
        <v>100</v>
      </c>
      <c r="L119" s="5">
        <v>100</v>
      </c>
      <c r="M119" s="5">
        <v>100</v>
      </c>
      <c r="N119" s="5">
        <v>100</v>
      </c>
      <c r="O119" s="2">
        <v>0.53443548940512431</v>
      </c>
      <c r="P119" s="2">
        <v>0.49062291644847067</v>
      </c>
      <c r="Q119" s="2">
        <v>7.0246149369644663E-3</v>
      </c>
      <c r="R119" s="2">
        <v>1.4098924379501648E-2</v>
      </c>
    </row>
    <row r="120" spans="1:18" x14ac:dyDescent="0.3">
      <c r="A120" s="7">
        <v>207</v>
      </c>
      <c r="B120" s="7">
        <v>391</v>
      </c>
      <c r="C120" s="7">
        <v>0</v>
      </c>
      <c r="D120" s="7">
        <v>0</v>
      </c>
      <c r="E120" s="20" t="str">
        <f t="shared" si="1"/>
        <v>00</v>
      </c>
      <c r="F120" s="21">
        <v>0.140106893597263</v>
      </c>
      <c r="G120" s="4">
        <v>0.31</v>
      </c>
      <c r="H120" s="4">
        <v>0.27463312368972698</v>
      </c>
      <c r="I120" s="4">
        <v>0.01</v>
      </c>
      <c r="J120" s="4">
        <v>7.0000000000000001E-3</v>
      </c>
      <c r="K120" s="5">
        <v>100</v>
      </c>
      <c r="L120" s="5">
        <v>100</v>
      </c>
      <c r="M120" s="5">
        <v>100</v>
      </c>
      <c r="N120" s="5">
        <v>100</v>
      </c>
      <c r="O120" s="2">
        <v>0.37106368139083207</v>
      </c>
      <c r="P120" s="2">
        <v>0.32107771583061634</v>
      </c>
      <c r="Q120" s="2">
        <v>1.0050335853501451E-2</v>
      </c>
      <c r="R120" s="2">
        <v>7.0246149369644663E-3</v>
      </c>
    </row>
    <row r="121" spans="1:18" x14ac:dyDescent="0.3">
      <c r="A121" s="7">
        <v>499</v>
      </c>
      <c r="B121" s="7">
        <v>406</v>
      </c>
      <c r="C121" s="7">
        <v>0</v>
      </c>
      <c r="D121" s="7">
        <v>0</v>
      </c>
      <c r="E121" s="20" t="str">
        <f t="shared" si="1"/>
        <v>00</v>
      </c>
      <c r="F121" s="21">
        <v>0.142851728201216</v>
      </c>
      <c r="G121" s="4">
        <v>0.28000000000000003</v>
      </c>
      <c r="H121" s="4">
        <v>0.23529411764705899</v>
      </c>
      <c r="I121" s="4">
        <v>1.2999999999999999E-2</v>
      </c>
      <c r="J121" s="4">
        <v>1.2E-2</v>
      </c>
      <c r="K121" s="5">
        <v>100</v>
      </c>
      <c r="L121" s="5">
        <v>100</v>
      </c>
      <c r="M121" s="5">
        <v>100</v>
      </c>
      <c r="N121" s="5">
        <v>100</v>
      </c>
      <c r="O121" s="2">
        <v>0.3285040669720361</v>
      </c>
      <c r="P121" s="2">
        <v>0.26826398659467954</v>
      </c>
      <c r="Q121" s="2">
        <v>1.3085239548655481E-2</v>
      </c>
      <c r="R121" s="2">
        <v>1.2072581234269249E-2</v>
      </c>
    </row>
    <row r="122" spans="1:18" x14ac:dyDescent="0.3">
      <c r="A122" s="7">
        <v>555</v>
      </c>
      <c r="B122" s="7">
        <v>392</v>
      </c>
      <c r="C122" s="7">
        <v>0</v>
      </c>
      <c r="D122" s="7">
        <v>0</v>
      </c>
      <c r="E122" s="20" t="str">
        <f t="shared" si="1"/>
        <v>00</v>
      </c>
      <c r="F122" s="21">
        <v>0.14381155295645101</v>
      </c>
      <c r="G122" s="4">
        <v>0.52100000000000002</v>
      </c>
      <c r="H122" s="4">
        <v>0.48253275109170302</v>
      </c>
      <c r="I122" s="4">
        <v>1.6E-2</v>
      </c>
      <c r="J122" s="4">
        <v>8.0000000000000002E-3</v>
      </c>
      <c r="K122" s="5">
        <v>0</v>
      </c>
      <c r="L122" s="5">
        <v>100</v>
      </c>
      <c r="M122" s="5">
        <v>100</v>
      </c>
      <c r="N122" s="5">
        <v>100</v>
      </c>
      <c r="O122" s="2">
        <v>0.73605468157122189</v>
      </c>
      <c r="P122" s="2">
        <v>0.65880904297905374</v>
      </c>
      <c r="Q122" s="2">
        <v>1.6129381929883644E-2</v>
      </c>
      <c r="R122" s="2">
        <v>8.0321716972642666E-3</v>
      </c>
    </row>
    <row r="123" spans="1:18" x14ac:dyDescent="0.3">
      <c r="A123" s="7">
        <v>59</v>
      </c>
      <c r="B123" s="7">
        <v>383</v>
      </c>
      <c r="C123" s="7">
        <v>0</v>
      </c>
      <c r="D123" s="7">
        <v>0</v>
      </c>
      <c r="E123" s="20" t="str">
        <f t="shared" si="1"/>
        <v>00</v>
      </c>
      <c r="F123" s="21">
        <v>0.14403838283218401</v>
      </c>
      <c r="G123" s="4">
        <v>0.33900000000000002</v>
      </c>
      <c r="H123" s="4">
        <v>0.30480167014613802</v>
      </c>
      <c r="I123" s="4">
        <v>2.1000000000000001E-2</v>
      </c>
      <c r="J123" s="4">
        <v>5.0000000000000001E-3</v>
      </c>
      <c r="K123" s="5">
        <v>100</v>
      </c>
      <c r="L123" s="5">
        <v>100</v>
      </c>
      <c r="M123" s="5">
        <v>100</v>
      </c>
      <c r="N123" s="5">
        <v>100</v>
      </c>
      <c r="O123" s="2">
        <v>0.41400143913045073</v>
      </c>
      <c r="P123" s="2">
        <v>0.36355810743047173</v>
      </c>
      <c r="Q123" s="2">
        <v>2.1223636451626688E-2</v>
      </c>
      <c r="R123" s="2">
        <v>5.0125418235442863E-3</v>
      </c>
    </row>
    <row r="124" spans="1:18" x14ac:dyDescent="0.3">
      <c r="A124" s="7">
        <v>372</v>
      </c>
      <c r="B124" s="7">
        <v>388</v>
      </c>
      <c r="C124" s="7">
        <v>0</v>
      </c>
      <c r="D124" s="7">
        <v>0</v>
      </c>
      <c r="E124" s="20" t="str">
        <f t="shared" si="1"/>
        <v>00</v>
      </c>
      <c r="F124" s="21">
        <v>0.14629642033392701</v>
      </c>
      <c r="G124" s="4">
        <v>0.35599999999999998</v>
      </c>
      <c r="H124" s="4">
        <v>0.30555555555555602</v>
      </c>
      <c r="I124" s="4">
        <v>1.2E-2</v>
      </c>
      <c r="J124" s="4">
        <v>8.9999999999999993E-3</v>
      </c>
      <c r="K124" s="5">
        <v>100</v>
      </c>
      <c r="L124" s="5">
        <v>100</v>
      </c>
      <c r="M124" s="5">
        <v>100</v>
      </c>
      <c r="N124" s="5">
        <v>100</v>
      </c>
      <c r="O124" s="2">
        <v>0.44005655287778339</v>
      </c>
      <c r="P124" s="2">
        <v>0.36464311358790991</v>
      </c>
      <c r="Q124" s="2">
        <v>1.2072581234269249E-2</v>
      </c>
      <c r="R124" s="2">
        <v>9.0407446521490707E-3</v>
      </c>
    </row>
    <row r="125" spans="1:18" x14ac:dyDescent="0.3">
      <c r="A125" s="7">
        <v>968</v>
      </c>
      <c r="B125" s="7">
        <v>389</v>
      </c>
      <c r="C125" s="7">
        <v>0</v>
      </c>
      <c r="D125" s="7">
        <v>0</v>
      </c>
      <c r="E125" s="20" t="str">
        <f t="shared" si="1"/>
        <v>00</v>
      </c>
      <c r="F125" s="21">
        <v>0.14789923066855801</v>
      </c>
      <c r="G125" s="4">
        <v>0.314</v>
      </c>
      <c r="H125" s="4">
        <v>0.28958333333333303</v>
      </c>
      <c r="I125" s="4">
        <v>0.01</v>
      </c>
      <c r="J125" s="4">
        <v>1.4999999999999999E-2</v>
      </c>
      <c r="K125" s="5">
        <v>100</v>
      </c>
      <c r="L125" s="5">
        <v>100</v>
      </c>
      <c r="M125" s="5">
        <v>100</v>
      </c>
      <c r="N125" s="5">
        <v>100</v>
      </c>
      <c r="O125" s="2">
        <v>0.37687765125625189</v>
      </c>
      <c r="P125" s="2">
        <v>0.34190362661841944</v>
      </c>
      <c r="Q125" s="2">
        <v>1.0050335853501451E-2</v>
      </c>
      <c r="R125" s="2">
        <v>1.5113637810048184E-2</v>
      </c>
    </row>
    <row r="126" spans="1:18" x14ac:dyDescent="0.3">
      <c r="A126" s="7">
        <v>653</v>
      </c>
      <c r="B126" s="7">
        <v>400</v>
      </c>
      <c r="C126" s="7">
        <v>0</v>
      </c>
      <c r="D126" s="7">
        <v>0</v>
      </c>
      <c r="E126" s="20" t="str">
        <f t="shared" si="1"/>
        <v>00</v>
      </c>
      <c r="F126" s="21">
        <v>0.14819487034717199</v>
      </c>
      <c r="G126" s="4">
        <v>0.434</v>
      </c>
      <c r="H126" s="4">
        <v>0.35982339955849901</v>
      </c>
      <c r="I126" s="4">
        <v>8.0000000000000002E-3</v>
      </c>
      <c r="J126" s="4">
        <v>1.2999999999999999E-2</v>
      </c>
      <c r="K126" s="5">
        <v>100</v>
      </c>
      <c r="L126" s="5">
        <v>100</v>
      </c>
      <c r="M126" s="5">
        <v>100</v>
      </c>
      <c r="N126" s="5">
        <v>100</v>
      </c>
      <c r="O126" s="2">
        <v>0.56916120077895405</v>
      </c>
      <c r="P126" s="2">
        <v>0.44601120250251441</v>
      </c>
      <c r="Q126" s="2">
        <v>8.0321716972642666E-3</v>
      </c>
      <c r="R126" s="2">
        <v>1.3085239548655481E-2</v>
      </c>
    </row>
    <row r="127" spans="1:18" x14ac:dyDescent="0.3">
      <c r="A127" s="7">
        <v>278</v>
      </c>
      <c r="B127" s="7">
        <v>382</v>
      </c>
      <c r="C127" s="7">
        <v>0</v>
      </c>
      <c r="D127" s="7">
        <v>0</v>
      </c>
      <c r="E127" s="20" t="str">
        <f t="shared" si="1"/>
        <v>00</v>
      </c>
      <c r="F127" s="21">
        <v>0.148818947392968</v>
      </c>
      <c r="G127" s="4">
        <v>0.64400000000000002</v>
      </c>
      <c r="H127" s="4">
        <v>0.5</v>
      </c>
      <c r="I127" s="4">
        <v>5.0000000000000001E-3</v>
      </c>
      <c r="J127" s="4">
        <v>1.4E-2</v>
      </c>
      <c r="K127" s="5">
        <v>0</v>
      </c>
      <c r="L127" s="5">
        <v>0</v>
      </c>
      <c r="M127" s="5">
        <v>100</v>
      </c>
      <c r="N127" s="5">
        <v>100</v>
      </c>
      <c r="O127" s="2">
        <v>1.0328245481301066</v>
      </c>
      <c r="P127" s="2">
        <v>0.69314718055994529</v>
      </c>
      <c r="Q127" s="2">
        <v>5.0125418235442863E-3</v>
      </c>
      <c r="R127" s="2">
        <v>1.4098924379501648E-2</v>
      </c>
    </row>
    <row r="128" spans="1:18" x14ac:dyDescent="0.3">
      <c r="A128" s="7">
        <v>258</v>
      </c>
      <c r="B128" s="7">
        <v>381</v>
      </c>
      <c r="C128" s="7">
        <v>0</v>
      </c>
      <c r="D128" s="7">
        <v>0</v>
      </c>
      <c r="E128" s="20" t="str">
        <f t="shared" si="1"/>
        <v>00</v>
      </c>
      <c r="F128" s="21">
        <v>0.151209344222034</v>
      </c>
      <c r="G128" s="4">
        <v>0.32300000000000001</v>
      </c>
      <c r="H128" s="4">
        <v>0.209905660377358</v>
      </c>
      <c r="I128" s="4">
        <v>1.7000000000000001E-2</v>
      </c>
      <c r="J128" s="4">
        <v>1.7999999999999999E-2</v>
      </c>
      <c r="K128" s="5">
        <v>100</v>
      </c>
      <c r="L128" s="5">
        <v>100</v>
      </c>
      <c r="M128" s="5">
        <v>100</v>
      </c>
      <c r="N128" s="5">
        <v>100</v>
      </c>
      <c r="O128" s="2">
        <v>0.39008400606986199</v>
      </c>
      <c r="P128" s="2">
        <v>0.23560292340689074</v>
      </c>
      <c r="Q128" s="2">
        <v>1.7146158834970514E-2</v>
      </c>
      <c r="R128" s="2">
        <v>1.816397062767118E-2</v>
      </c>
    </row>
    <row r="129" spans="1:18" x14ac:dyDescent="0.3">
      <c r="A129" s="7">
        <v>218</v>
      </c>
      <c r="B129" s="7">
        <v>391</v>
      </c>
      <c r="C129" s="7">
        <v>0</v>
      </c>
      <c r="D129" s="7">
        <v>0</v>
      </c>
      <c r="E129" s="20" t="str">
        <f t="shared" si="1"/>
        <v>00</v>
      </c>
      <c r="F129" s="21">
        <v>0.15228745691837101</v>
      </c>
      <c r="G129" s="4">
        <v>0.375</v>
      </c>
      <c r="H129" s="4">
        <v>0.27790432801822301</v>
      </c>
      <c r="I129" s="4">
        <v>1.0999999999999999E-2</v>
      </c>
      <c r="J129" s="4">
        <v>1.0999999999999999E-2</v>
      </c>
      <c r="K129" s="5">
        <v>100</v>
      </c>
      <c r="L129" s="5">
        <v>100</v>
      </c>
      <c r="M129" s="5">
        <v>100</v>
      </c>
      <c r="N129" s="5">
        <v>100</v>
      </c>
      <c r="O129" s="2">
        <v>0.47000362924573558</v>
      </c>
      <c r="P129" s="2">
        <v>0.32559763919789037</v>
      </c>
      <c r="Q129" s="2">
        <v>1.1060947359424948E-2</v>
      </c>
      <c r="R129" s="2">
        <v>1.1060947359424948E-2</v>
      </c>
    </row>
    <row r="130" spans="1:18" x14ac:dyDescent="0.3">
      <c r="A130" s="7">
        <v>872</v>
      </c>
      <c r="B130" s="7">
        <v>381</v>
      </c>
      <c r="C130" s="7">
        <v>0</v>
      </c>
      <c r="D130" s="7">
        <v>0</v>
      </c>
      <c r="E130" s="20" t="str">
        <f t="shared" ref="E130:E193" si="2">_xlfn.CONCAT(C130,D130)</f>
        <v>00</v>
      </c>
      <c r="F130" s="21">
        <v>0.156698784555692</v>
      </c>
      <c r="G130" s="4">
        <v>0.24199999999999999</v>
      </c>
      <c r="H130" s="4">
        <v>0.25</v>
      </c>
      <c r="I130" s="4">
        <v>1.0999999999999999E-2</v>
      </c>
      <c r="J130" s="4">
        <v>1.4999999999999999E-2</v>
      </c>
      <c r="K130" s="5">
        <v>100</v>
      </c>
      <c r="L130" s="5">
        <v>100</v>
      </c>
      <c r="M130" s="5">
        <v>100</v>
      </c>
      <c r="N130" s="5">
        <v>100</v>
      </c>
      <c r="O130" s="2">
        <v>0.2770718933397654</v>
      </c>
      <c r="P130" s="2">
        <v>0.2876820724517809</v>
      </c>
      <c r="Q130" s="2">
        <v>1.1060947359424948E-2</v>
      </c>
      <c r="R130" s="2">
        <v>1.5113637810048184E-2</v>
      </c>
    </row>
    <row r="131" spans="1:18" x14ac:dyDescent="0.3">
      <c r="A131" s="7">
        <v>935</v>
      </c>
      <c r="B131" s="7">
        <v>376</v>
      </c>
      <c r="C131" s="7">
        <v>0</v>
      </c>
      <c r="D131" s="7">
        <v>0</v>
      </c>
      <c r="E131" s="20" t="str">
        <f t="shared" si="2"/>
        <v>00</v>
      </c>
      <c r="F131" s="21">
        <v>0.159923174036568</v>
      </c>
      <c r="G131" s="4">
        <v>0.45700000000000002</v>
      </c>
      <c r="H131" s="4">
        <v>0.38268792710706201</v>
      </c>
      <c r="I131" s="4">
        <v>1.4999999999999999E-2</v>
      </c>
      <c r="J131" s="4">
        <v>1.4999999999999999E-2</v>
      </c>
      <c r="K131" s="5">
        <v>100</v>
      </c>
      <c r="L131" s="5">
        <v>100</v>
      </c>
      <c r="M131" s="5">
        <v>100</v>
      </c>
      <c r="N131" s="5">
        <v>100</v>
      </c>
      <c r="O131" s="2">
        <v>0.61064595904820174</v>
      </c>
      <c r="P131" s="2">
        <v>0.48238059219547125</v>
      </c>
      <c r="Q131" s="2">
        <v>1.5113637810048184E-2</v>
      </c>
      <c r="R131" s="2">
        <v>1.5113637810048184E-2</v>
      </c>
    </row>
    <row r="132" spans="1:18" x14ac:dyDescent="0.3">
      <c r="A132" s="7">
        <v>999</v>
      </c>
      <c r="B132" s="7">
        <v>375</v>
      </c>
      <c r="C132" s="7">
        <v>0</v>
      </c>
      <c r="D132" s="7">
        <v>0</v>
      </c>
      <c r="E132" s="20" t="str">
        <f t="shared" si="2"/>
        <v>00</v>
      </c>
      <c r="F132" s="21">
        <v>0.16062852692309201</v>
      </c>
      <c r="G132" s="4">
        <v>0.38400000000000001</v>
      </c>
      <c r="H132" s="4">
        <v>0.35744680851063798</v>
      </c>
      <c r="I132" s="4">
        <v>7.0000000000000001E-3</v>
      </c>
      <c r="J132" s="4">
        <v>8.0000000000000002E-3</v>
      </c>
      <c r="K132" s="5">
        <v>100</v>
      </c>
      <c r="L132" s="5">
        <v>100</v>
      </c>
      <c r="M132" s="5">
        <v>100</v>
      </c>
      <c r="N132" s="5">
        <v>100</v>
      </c>
      <c r="O132" s="2">
        <v>0.48450831544861728</v>
      </c>
      <c r="P132" s="2">
        <v>0.44230567732923404</v>
      </c>
      <c r="Q132" s="2">
        <v>7.0246149369644663E-3</v>
      </c>
      <c r="R132" s="2">
        <v>8.0321716972642666E-3</v>
      </c>
    </row>
    <row r="133" spans="1:18" x14ac:dyDescent="0.3">
      <c r="A133" s="7">
        <v>905</v>
      </c>
      <c r="B133" s="7">
        <v>369</v>
      </c>
      <c r="C133" s="7">
        <v>0</v>
      </c>
      <c r="D133" s="7">
        <v>0</v>
      </c>
      <c r="E133" s="20" t="str">
        <f t="shared" si="2"/>
        <v>00</v>
      </c>
      <c r="F133" s="21">
        <v>0.162766360582663</v>
      </c>
      <c r="G133" s="4">
        <v>0.40500000000000003</v>
      </c>
      <c r="H133" s="4">
        <v>0.32476635514018698</v>
      </c>
      <c r="I133" s="4">
        <v>1.0999999999999999E-2</v>
      </c>
      <c r="J133" s="4">
        <v>0.02</v>
      </c>
      <c r="K133" s="5">
        <v>100</v>
      </c>
      <c r="L133" s="5">
        <v>100</v>
      </c>
      <c r="M133" s="5">
        <v>100</v>
      </c>
      <c r="N133" s="5">
        <v>100</v>
      </c>
      <c r="O133" s="2">
        <v>0.51919387343650736</v>
      </c>
      <c r="P133" s="2">
        <v>0.39269650746936463</v>
      </c>
      <c r="Q133" s="2">
        <v>1.1060947359424948E-2</v>
      </c>
      <c r="R133" s="2">
        <v>2.0202707317519466E-2</v>
      </c>
    </row>
    <row r="134" spans="1:18" x14ac:dyDescent="0.3">
      <c r="A134" s="7">
        <v>275</v>
      </c>
      <c r="B134" s="7">
        <v>362</v>
      </c>
      <c r="C134" s="7">
        <v>0</v>
      </c>
      <c r="D134" s="7">
        <v>0</v>
      </c>
      <c r="E134" s="20" t="str">
        <f t="shared" si="2"/>
        <v>00</v>
      </c>
      <c r="F134" s="21">
        <v>0.16278565807005199</v>
      </c>
      <c r="G134" s="4">
        <v>0.309</v>
      </c>
      <c r="H134" s="4">
        <v>0.27882599580712802</v>
      </c>
      <c r="I134" s="4">
        <v>1.7999999999999999E-2</v>
      </c>
      <c r="J134" s="4">
        <v>1.6E-2</v>
      </c>
      <c r="K134" s="5">
        <v>100</v>
      </c>
      <c r="L134" s="5">
        <v>100</v>
      </c>
      <c r="M134" s="5">
        <v>100</v>
      </c>
      <c r="N134" s="5">
        <v>100</v>
      </c>
      <c r="O134" s="2">
        <v>0.36961545521446709</v>
      </c>
      <c r="P134" s="2">
        <v>0.32687483351494301</v>
      </c>
      <c r="Q134" s="2">
        <v>1.816397062767118E-2</v>
      </c>
      <c r="R134" s="2">
        <v>1.6129381929883644E-2</v>
      </c>
    </row>
    <row r="135" spans="1:18" x14ac:dyDescent="0.3">
      <c r="A135" s="7">
        <v>684</v>
      </c>
      <c r="B135" s="7">
        <v>391</v>
      </c>
      <c r="C135" s="7">
        <v>0</v>
      </c>
      <c r="D135" s="7">
        <v>0</v>
      </c>
      <c r="E135" s="20" t="str">
        <f t="shared" si="2"/>
        <v>00</v>
      </c>
      <c r="F135" s="21">
        <v>0.16576636843047701</v>
      </c>
      <c r="G135" s="4">
        <v>0.44600000000000001</v>
      </c>
      <c r="H135" s="4">
        <v>0.34324942791761998</v>
      </c>
      <c r="I135" s="4">
        <v>0.02</v>
      </c>
      <c r="J135" s="4">
        <v>2.1999999999999999E-2</v>
      </c>
      <c r="K135" s="5">
        <v>100</v>
      </c>
      <c r="L135" s="5">
        <v>100</v>
      </c>
      <c r="M135" s="5">
        <v>100</v>
      </c>
      <c r="N135" s="5">
        <v>100</v>
      </c>
      <c r="O135" s="2">
        <v>0.59059059223485311</v>
      </c>
      <c r="P135" s="2">
        <v>0.4204509793359687</v>
      </c>
      <c r="Q135" s="2">
        <v>2.0202707317519466E-2</v>
      </c>
      <c r="R135" s="2">
        <v>2.2245608947319737E-2</v>
      </c>
    </row>
    <row r="136" spans="1:18" x14ac:dyDescent="0.3">
      <c r="A136" s="7">
        <v>478</v>
      </c>
      <c r="B136" s="7">
        <v>360</v>
      </c>
      <c r="C136" s="7">
        <v>0</v>
      </c>
      <c r="D136" s="7">
        <v>0</v>
      </c>
      <c r="E136" s="20" t="str">
        <f t="shared" si="2"/>
        <v>00</v>
      </c>
      <c r="F136" s="21">
        <v>0.167244216138215</v>
      </c>
      <c r="G136" s="4">
        <v>0.32</v>
      </c>
      <c r="H136" s="4">
        <v>0.316221765913758</v>
      </c>
      <c r="I136" s="4">
        <v>1.4999999999999999E-2</v>
      </c>
      <c r="J136" s="4">
        <v>0.01</v>
      </c>
      <c r="K136" s="5">
        <v>100</v>
      </c>
      <c r="L136" s="5">
        <v>100</v>
      </c>
      <c r="M136" s="5">
        <v>100</v>
      </c>
      <c r="N136" s="5">
        <v>100</v>
      </c>
      <c r="O136" s="2">
        <v>0.38566248081198479</v>
      </c>
      <c r="P136" s="2">
        <v>0.38012163310214647</v>
      </c>
      <c r="Q136" s="2">
        <v>1.5113637810048184E-2</v>
      </c>
      <c r="R136" s="2">
        <v>1.0050335853501451E-2</v>
      </c>
    </row>
    <row r="137" spans="1:18" x14ac:dyDescent="0.3">
      <c r="A137" s="7">
        <v>715</v>
      </c>
      <c r="B137" s="7">
        <v>382</v>
      </c>
      <c r="C137" s="7">
        <v>0</v>
      </c>
      <c r="D137" s="7">
        <v>0</v>
      </c>
      <c r="E137" s="20" t="str">
        <f t="shared" si="2"/>
        <v>00</v>
      </c>
      <c r="F137" s="21">
        <v>0.16752621828327</v>
      </c>
      <c r="G137" s="4">
        <v>0.39</v>
      </c>
      <c r="H137" s="4">
        <v>0.32532751091703099</v>
      </c>
      <c r="I137" s="4">
        <v>1.4E-2</v>
      </c>
      <c r="J137" s="4">
        <v>1.7000000000000001E-2</v>
      </c>
      <c r="K137" s="5">
        <v>100</v>
      </c>
      <c r="L137" s="5">
        <v>100</v>
      </c>
      <c r="M137" s="5">
        <v>100</v>
      </c>
      <c r="N137" s="5">
        <v>100</v>
      </c>
      <c r="O137" s="2">
        <v>0.49429632181478012</v>
      </c>
      <c r="P137" s="2">
        <v>0.39352790721644021</v>
      </c>
      <c r="Q137" s="2">
        <v>1.4098924379501648E-2</v>
      </c>
      <c r="R137" s="2">
        <v>1.7146158834970514E-2</v>
      </c>
    </row>
    <row r="138" spans="1:18" x14ac:dyDescent="0.3">
      <c r="A138" s="7">
        <v>468</v>
      </c>
      <c r="B138" s="7">
        <v>374</v>
      </c>
      <c r="C138" s="7">
        <v>0</v>
      </c>
      <c r="D138" s="7">
        <v>0</v>
      </c>
      <c r="E138" s="20" t="str">
        <f t="shared" si="2"/>
        <v>00</v>
      </c>
      <c r="F138" s="21">
        <v>0.168437116590922</v>
      </c>
      <c r="G138" s="4">
        <v>0.55200000000000005</v>
      </c>
      <c r="H138" s="4">
        <v>0.43799472295514502</v>
      </c>
      <c r="I138" s="4">
        <v>1.0999999999999999E-2</v>
      </c>
      <c r="J138" s="4">
        <v>1.7999999999999999E-2</v>
      </c>
      <c r="K138" s="5">
        <v>0</v>
      </c>
      <c r="L138" s="5">
        <v>100</v>
      </c>
      <c r="M138" s="5">
        <v>100</v>
      </c>
      <c r="N138" s="5">
        <v>100</v>
      </c>
      <c r="O138" s="2">
        <v>0.80296204656715198</v>
      </c>
      <c r="P138" s="2">
        <v>0.57624403937300117</v>
      </c>
      <c r="Q138" s="2">
        <v>1.1060947359424948E-2</v>
      </c>
      <c r="R138" s="2">
        <v>1.816397062767118E-2</v>
      </c>
    </row>
    <row r="139" spans="1:18" x14ac:dyDescent="0.3">
      <c r="A139" s="7">
        <v>904</v>
      </c>
      <c r="B139" s="7">
        <v>385</v>
      </c>
      <c r="C139" s="7">
        <v>0</v>
      </c>
      <c r="D139" s="7">
        <v>0</v>
      </c>
      <c r="E139" s="20" t="str">
        <f t="shared" si="2"/>
        <v>00</v>
      </c>
      <c r="F139" s="21">
        <v>0.170391874844353</v>
      </c>
      <c r="G139" s="4">
        <v>0.38700000000000001</v>
      </c>
      <c r="H139" s="4">
        <v>0.29977628635346798</v>
      </c>
      <c r="I139" s="4">
        <v>2.9000000000000001E-2</v>
      </c>
      <c r="J139" s="4">
        <v>1.6E-2</v>
      </c>
      <c r="K139" s="5">
        <v>100</v>
      </c>
      <c r="L139" s="5">
        <v>100</v>
      </c>
      <c r="M139" s="5">
        <v>100</v>
      </c>
      <c r="N139" s="5">
        <v>100</v>
      </c>
      <c r="O139" s="2">
        <v>0.48939034304592566</v>
      </c>
      <c r="P139" s="2">
        <v>0.3563554040734162</v>
      </c>
      <c r="Q139" s="2">
        <v>2.9428810690812168E-2</v>
      </c>
      <c r="R139" s="2">
        <v>1.6129381929883644E-2</v>
      </c>
    </row>
    <row r="140" spans="1:18" x14ac:dyDescent="0.3">
      <c r="A140" s="7">
        <v>677</v>
      </c>
      <c r="B140" s="7">
        <v>359</v>
      </c>
      <c r="C140" s="7">
        <v>0</v>
      </c>
      <c r="D140" s="7">
        <v>0</v>
      </c>
      <c r="E140" s="20" t="str">
        <f t="shared" si="2"/>
        <v>00</v>
      </c>
      <c r="F140" s="21">
        <v>0.173125254018097</v>
      </c>
      <c r="G140" s="4">
        <v>0.38700000000000001</v>
      </c>
      <c r="H140" s="4">
        <v>0.341935483870968</v>
      </c>
      <c r="I140" s="4">
        <v>1.4E-2</v>
      </c>
      <c r="J140" s="4">
        <v>2.3E-2</v>
      </c>
      <c r="K140" s="5">
        <v>100</v>
      </c>
      <c r="L140" s="5">
        <v>100</v>
      </c>
      <c r="M140" s="5">
        <v>100</v>
      </c>
      <c r="N140" s="5">
        <v>100</v>
      </c>
      <c r="O140" s="2">
        <v>0.48939034304592566</v>
      </c>
      <c r="P140" s="2">
        <v>0.41845230363497604</v>
      </c>
      <c r="Q140" s="2">
        <v>1.4098924379501648E-2</v>
      </c>
      <c r="R140" s="2">
        <v>2.3268626939354331E-2</v>
      </c>
    </row>
    <row r="141" spans="1:18" x14ac:dyDescent="0.3">
      <c r="A141" s="7">
        <v>249</v>
      </c>
      <c r="B141" s="7">
        <v>392</v>
      </c>
      <c r="C141" s="7">
        <v>0</v>
      </c>
      <c r="D141" s="7">
        <v>0</v>
      </c>
      <c r="E141" s="20" t="str">
        <f t="shared" si="2"/>
        <v>00</v>
      </c>
      <c r="F141" s="21">
        <v>0.173820618349244</v>
      </c>
      <c r="G141" s="4">
        <v>0.435</v>
      </c>
      <c r="H141" s="4">
        <v>0.37614678899082599</v>
      </c>
      <c r="I141" s="4">
        <v>1.2999999999999999E-2</v>
      </c>
      <c r="J141" s="4">
        <v>1.2999999999999999E-2</v>
      </c>
      <c r="K141" s="5">
        <v>100</v>
      </c>
      <c r="L141" s="5">
        <v>100</v>
      </c>
      <c r="M141" s="5">
        <v>100</v>
      </c>
      <c r="N141" s="5">
        <v>100</v>
      </c>
      <c r="O141" s="2">
        <v>0.57092954783569616</v>
      </c>
      <c r="P141" s="2">
        <v>0.47184017705303749</v>
      </c>
      <c r="Q141" s="2">
        <v>1.3085239548655481E-2</v>
      </c>
      <c r="R141" s="2">
        <v>1.3085239548655481E-2</v>
      </c>
    </row>
    <row r="142" spans="1:18" x14ac:dyDescent="0.3">
      <c r="A142" s="7">
        <v>858</v>
      </c>
      <c r="B142" s="7">
        <v>349</v>
      </c>
      <c r="C142" s="7">
        <v>0</v>
      </c>
      <c r="D142" s="7">
        <v>0</v>
      </c>
      <c r="E142" s="20" t="str">
        <f t="shared" si="2"/>
        <v>00</v>
      </c>
      <c r="F142" s="21">
        <v>0.17483635481909199</v>
      </c>
      <c r="G142" s="4">
        <v>0.375</v>
      </c>
      <c r="H142" s="4">
        <v>0.35129310344827602</v>
      </c>
      <c r="I142" s="4">
        <v>0.02</v>
      </c>
      <c r="J142" s="4">
        <v>1.2999999999999999E-2</v>
      </c>
      <c r="K142" s="5">
        <v>100</v>
      </c>
      <c r="L142" s="5">
        <v>100</v>
      </c>
      <c r="M142" s="5">
        <v>100</v>
      </c>
      <c r="N142" s="5">
        <v>100</v>
      </c>
      <c r="O142" s="2">
        <v>0.47000362924573558</v>
      </c>
      <c r="P142" s="2">
        <v>0.43277428747737978</v>
      </c>
      <c r="Q142" s="2">
        <v>2.0202707317519466E-2</v>
      </c>
      <c r="R142" s="2">
        <v>1.3085239548655481E-2</v>
      </c>
    </row>
    <row r="143" spans="1:18" x14ac:dyDescent="0.3">
      <c r="A143" s="7">
        <v>788</v>
      </c>
      <c r="B143" s="7">
        <v>369</v>
      </c>
      <c r="C143" s="7">
        <v>0</v>
      </c>
      <c r="D143" s="7">
        <v>0</v>
      </c>
      <c r="E143" s="20" t="str">
        <f t="shared" si="2"/>
        <v>00</v>
      </c>
      <c r="F143" s="21">
        <v>0.177877275094592</v>
      </c>
      <c r="G143" s="4">
        <v>0.308</v>
      </c>
      <c r="H143" s="4">
        <v>0.21412300683371299</v>
      </c>
      <c r="I143" s="4">
        <v>2.3E-2</v>
      </c>
      <c r="J143" s="4">
        <v>1.7000000000000001E-2</v>
      </c>
      <c r="K143" s="5">
        <v>100</v>
      </c>
      <c r="L143" s="5">
        <v>100</v>
      </c>
      <c r="M143" s="5">
        <v>100</v>
      </c>
      <c r="N143" s="5">
        <v>100</v>
      </c>
      <c r="O143" s="2">
        <v>0.36816932336446756</v>
      </c>
      <c r="P143" s="2">
        <v>0.2409549960438116</v>
      </c>
      <c r="Q143" s="2">
        <v>2.3268626939354331E-2</v>
      </c>
      <c r="R143" s="2">
        <v>1.7146158834970514E-2</v>
      </c>
    </row>
    <row r="144" spans="1:18" x14ac:dyDescent="0.3">
      <c r="A144" s="7">
        <v>531</v>
      </c>
      <c r="B144" s="7">
        <v>361</v>
      </c>
      <c r="C144" s="7">
        <v>0</v>
      </c>
      <c r="D144" s="7">
        <v>0</v>
      </c>
      <c r="E144" s="20" t="str">
        <f t="shared" si="2"/>
        <v>00</v>
      </c>
      <c r="F144" s="21">
        <v>0.178282152213734</v>
      </c>
      <c r="G144" s="4">
        <v>0.46899999999999997</v>
      </c>
      <c r="H144" s="4">
        <v>0.37442922374429199</v>
      </c>
      <c r="I144" s="4">
        <v>1.4E-2</v>
      </c>
      <c r="J144" s="4">
        <v>8.9999999999999993E-3</v>
      </c>
      <c r="K144" s="5">
        <v>100</v>
      </c>
      <c r="L144" s="5">
        <v>100</v>
      </c>
      <c r="M144" s="5">
        <v>100</v>
      </c>
      <c r="N144" s="5">
        <v>100</v>
      </c>
      <c r="O144" s="2">
        <v>0.63299325774019821</v>
      </c>
      <c r="P144" s="2">
        <v>0.46909080398837549</v>
      </c>
      <c r="Q144" s="2">
        <v>1.4098924379501648E-2</v>
      </c>
      <c r="R144" s="2">
        <v>9.0407446521490707E-3</v>
      </c>
    </row>
    <row r="145" spans="1:18" x14ac:dyDescent="0.3">
      <c r="A145" s="7">
        <v>323</v>
      </c>
      <c r="B145" s="7">
        <v>368</v>
      </c>
      <c r="C145" s="7">
        <v>0</v>
      </c>
      <c r="D145" s="7">
        <v>0</v>
      </c>
      <c r="E145" s="20" t="str">
        <f t="shared" si="2"/>
        <v>00</v>
      </c>
      <c r="F145" s="21">
        <v>0.17848697876616901</v>
      </c>
      <c r="G145" s="4">
        <v>0.41899999999999998</v>
      </c>
      <c r="H145" s="4">
        <v>0.30561797752809</v>
      </c>
      <c r="I145" s="4">
        <v>1.6E-2</v>
      </c>
      <c r="J145" s="4">
        <v>1.6E-2</v>
      </c>
      <c r="K145" s="5">
        <v>100</v>
      </c>
      <c r="L145" s="5">
        <v>100</v>
      </c>
      <c r="M145" s="5">
        <v>100</v>
      </c>
      <c r="N145" s="5">
        <v>100</v>
      </c>
      <c r="O145" s="2">
        <v>0.54300452213022588</v>
      </c>
      <c r="P145" s="2">
        <v>0.364733005268495</v>
      </c>
      <c r="Q145" s="2">
        <v>1.6129381929883644E-2</v>
      </c>
      <c r="R145" s="2">
        <v>1.6129381929883644E-2</v>
      </c>
    </row>
    <row r="146" spans="1:18" x14ac:dyDescent="0.3">
      <c r="A146" s="7">
        <v>125</v>
      </c>
      <c r="B146" s="7">
        <v>364</v>
      </c>
      <c r="C146" s="7">
        <v>0</v>
      </c>
      <c r="D146" s="7">
        <v>0</v>
      </c>
      <c r="E146" s="20" t="str">
        <f t="shared" si="2"/>
        <v>00</v>
      </c>
      <c r="F146" s="21">
        <v>0.17890941939813301</v>
      </c>
      <c r="G146" s="4">
        <v>0.44900000000000001</v>
      </c>
      <c r="H146" s="4">
        <v>0.37442922374429199</v>
      </c>
      <c r="I146" s="4">
        <v>1.2999999999999999E-2</v>
      </c>
      <c r="J146" s="4">
        <v>1.0999999999999999E-2</v>
      </c>
      <c r="K146" s="5">
        <v>100</v>
      </c>
      <c r="L146" s="5">
        <v>100</v>
      </c>
      <c r="M146" s="5">
        <v>100</v>
      </c>
      <c r="N146" s="5">
        <v>100</v>
      </c>
      <c r="O146" s="2">
        <v>0.59602046982922263</v>
      </c>
      <c r="P146" s="2">
        <v>0.46909080398837549</v>
      </c>
      <c r="Q146" s="2">
        <v>1.3085239548655481E-2</v>
      </c>
      <c r="R146" s="2">
        <v>1.1060947359424948E-2</v>
      </c>
    </row>
    <row r="147" spans="1:18" x14ac:dyDescent="0.3">
      <c r="A147" s="7">
        <v>591</v>
      </c>
      <c r="B147" s="7">
        <v>379</v>
      </c>
      <c r="C147" s="7">
        <v>0</v>
      </c>
      <c r="D147" s="7">
        <v>0</v>
      </c>
      <c r="E147" s="20" t="str">
        <f t="shared" si="2"/>
        <v>00</v>
      </c>
      <c r="F147" s="21">
        <v>0.18146733175542401</v>
      </c>
      <c r="G147" s="4">
        <v>0.35499999999999998</v>
      </c>
      <c r="H147" s="4">
        <v>0.29711751662971198</v>
      </c>
      <c r="I147" s="4">
        <v>1.4E-2</v>
      </c>
      <c r="J147" s="4">
        <v>1.7999999999999999E-2</v>
      </c>
      <c r="K147" s="5">
        <v>100</v>
      </c>
      <c r="L147" s="5">
        <v>100</v>
      </c>
      <c r="M147" s="5">
        <v>100</v>
      </c>
      <c r="N147" s="5">
        <v>100</v>
      </c>
      <c r="O147" s="2">
        <v>0.43850496218636453</v>
      </c>
      <c r="P147" s="2">
        <v>0.35256556562539804</v>
      </c>
      <c r="Q147" s="2">
        <v>1.4098924379501648E-2</v>
      </c>
      <c r="R147" s="2">
        <v>1.816397062767118E-2</v>
      </c>
    </row>
    <row r="148" spans="1:18" x14ac:dyDescent="0.3">
      <c r="A148" s="7">
        <v>45</v>
      </c>
      <c r="B148" s="7">
        <v>371</v>
      </c>
      <c r="C148" s="7">
        <v>0</v>
      </c>
      <c r="D148" s="7">
        <v>0</v>
      </c>
      <c r="E148" s="20" t="str">
        <f t="shared" si="2"/>
        <v>00</v>
      </c>
      <c r="F148" s="21">
        <v>0.182173313554024</v>
      </c>
      <c r="G148" s="4">
        <v>0.40400000000000003</v>
      </c>
      <c r="H148" s="4">
        <v>0.29355608591885402</v>
      </c>
      <c r="I148" s="4">
        <v>1.2999999999999999E-2</v>
      </c>
      <c r="J148" s="4">
        <v>0.02</v>
      </c>
      <c r="K148" s="5">
        <v>100</v>
      </c>
      <c r="L148" s="5">
        <v>100</v>
      </c>
      <c r="M148" s="5">
        <v>100</v>
      </c>
      <c r="N148" s="5">
        <v>100</v>
      </c>
      <c r="O148" s="2">
        <v>0.51751461191678738</v>
      </c>
      <c r="P148" s="2">
        <v>0.34751146559807672</v>
      </c>
      <c r="Q148" s="2">
        <v>1.3085239548655481E-2</v>
      </c>
      <c r="R148" s="2">
        <v>2.0202707317519466E-2</v>
      </c>
    </row>
    <row r="149" spans="1:18" x14ac:dyDescent="0.3">
      <c r="A149" s="7">
        <v>914</v>
      </c>
      <c r="B149" s="7">
        <v>368</v>
      </c>
      <c r="C149" s="7">
        <v>0</v>
      </c>
      <c r="D149" s="7">
        <v>0</v>
      </c>
      <c r="E149" s="20" t="str">
        <f t="shared" si="2"/>
        <v>00</v>
      </c>
      <c r="F149" s="21">
        <v>0.182781835797929</v>
      </c>
      <c r="G149" s="4">
        <v>0.317</v>
      </c>
      <c r="H149" s="4">
        <v>0.28985507246376802</v>
      </c>
      <c r="I149" s="4">
        <v>1.6E-2</v>
      </c>
      <c r="J149" s="4">
        <v>2.1000000000000001E-2</v>
      </c>
      <c r="K149" s="5">
        <v>100</v>
      </c>
      <c r="L149" s="5">
        <v>100</v>
      </c>
      <c r="M149" s="5">
        <v>100</v>
      </c>
      <c r="N149" s="5">
        <v>100</v>
      </c>
      <c r="O149" s="2">
        <v>0.38126041941134692</v>
      </c>
      <c r="P149" s="2">
        <v>0.34228620648663272</v>
      </c>
      <c r="Q149" s="2">
        <v>1.6129381929883644E-2</v>
      </c>
      <c r="R149" s="2">
        <v>2.1223636451626688E-2</v>
      </c>
    </row>
    <row r="150" spans="1:18" x14ac:dyDescent="0.3">
      <c r="A150" s="7">
        <v>46</v>
      </c>
      <c r="B150" s="7">
        <v>390</v>
      </c>
      <c r="C150" s="7">
        <v>0</v>
      </c>
      <c r="D150" s="7">
        <v>0</v>
      </c>
      <c r="E150" s="20" t="str">
        <f t="shared" si="2"/>
        <v>00</v>
      </c>
      <c r="F150" s="21">
        <v>0.18360776417229299</v>
      </c>
      <c r="G150" s="4">
        <v>0.39300000000000002</v>
      </c>
      <c r="H150" s="4">
        <v>0.30921052631578899</v>
      </c>
      <c r="I150" s="4">
        <v>2.1000000000000001E-2</v>
      </c>
      <c r="J150" s="4">
        <v>2.1000000000000001E-2</v>
      </c>
      <c r="K150" s="5">
        <v>100</v>
      </c>
      <c r="L150" s="5">
        <v>100</v>
      </c>
      <c r="M150" s="5">
        <v>100</v>
      </c>
      <c r="N150" s="5">
        <v>100</v>
      </c>
      <c r="O150" s="2">
        <v>0.4992264879226388</v>
      </c>
      <c r="P150" s="2">
        <v>0.36992017068875221</v>
      </c>
      <c r="Q150" s="2">
        <v>2.1223636451626688E-2</v>
      </c>
      <c r="R150" s="2">
        <v>2.1223636451626688E-2</v>
      </c>
    </row>
    <row r="151" spans="1:18" x14ac:dyDescent="0.3">
      <c r="A151" s="7">
        <v>907</v>
      </c>
      <c r="B151" s="7">
        <v>366</v>
      </c>
      <c r="C151" s="7">
        <v>0</v>
      </c>
      <c r="D151" s="7">
        <v>0</v>
      </c>
      <c r="E151" s="20" t="str">
        <f t="shared" si="2"/>
        <v>00</v>
      </c>
      <c r="F151" s="21">
        <v>0.185445912338113</v>
      </c>
      <c r="G151" s="4">
        <v>0.35599999999999998</v>
      </c>
      <c r="H151" s="4">
        <v>0.31974248927038601</v>
      </c>
      <c r="I151" s="4">
        <v>1.4E-2</v>
      </c>
      <c r="J151" s="4">
        <v>0.01</v>
      </c>
      <c r="K151" s="5">
        <v>100</v>
      </c>
      <c r="L151" s="5">
        <v>100</v>
      </c>
      <c r="M151" s="5">
        <v>100</v>
      </c>
      <c r="N151" s="5">
        <v>100</v>
      </c>
      <c r="O151" s="2">
        <v>0.44005655287778339</v>
      </c>
      <c r="P151" s="2">
        <v>0.38528386024836481</v>
      </c>
      <c r="Q151" s="2">
        <v>1.4098924379501648E-2</v>
      </c>
      <c r="R151" s="2">
        <v>1.0050335853501451E-2</v>
      </c>
    </row>
    <row r="152" spans="1:18" x14ac:dyDescent="0.3">
      <c r="A152" s="7">
        <v>675</v>
      </c>
      <c r="B152" s="7">
        <v>356</v>
      </c>
      <c r="C152" s="7">
        <v>0</v>
      </c>
      <c r="D152" s="7">
        <v>0</v>
      </c>
      <c r="E152" s="20" t="str">
        <f t="shared" si="2"/>
        <v>00</v>
      </c>
      <c r="F152" s="21">
        <v>0.185814760046661</v>
      </c>
      <c r="G152" s="4">
        <v>0.316</v>
      </c>
      <c r="H152" s="4">
        <v>0.276688453159041</v>
      </c>
      <c r="I152" s="4">
        <v>1.4999999999999999E-2</v>
      </c>
      <c r="J152" s="4">
        <v>1.2999999999999999E-2</v>
      </c>
      <c r="K152" s="5">
        <v>100</v>
      </c>
      <c r="L152" s="5">
        <v>100</v>
      </c>
      <c r="M152" s="5">
        <v>100</v>
      </c>
      <c r="N152" s="5">
        <v>100</v>
      </c>
      <c r="O152" s="2">
        <v>0.37979736135958669</v>
      </c>
      <c r="P152" s="2">
        <v>0.32391524114405607</v>
      </c>
      <c r="Q152" s="2">
        <v>1.5113637810048184E-2</v>
      </c>
      <c r="R152" s="2">
        <v>1.3085239548655481E-2</v>
      </c>
    </row>
    <row r="153" spans="1:18" x14ac:dyDescent="0.3">
      <c r="A153" s="7">
        <v>255</v>
      </c>
      <c r="B153" s="7">
        <v>347</v>
      </c>
      <c r="C153" s="7">
        <v>0</v>
      </c>
      <c r="D153" s="7">
        <v>0</v>
      </c>
      <c r="E153" s="20" t="str">
        <f t="shared" si="2"/>
        <v>00</v>
      </c>
      <c r="F153" s="21">
        <v>0.18628757401611501</v>
      </c>
      <c r="G153" s="4">
        <v>0.42899999999999999</v>
      </c>
      <c r="H153" s="4">
        <v>0.40128755364806901</v>
      </c>
      <c r="I153" s="4">
        <v>1.0999999999999999E-2</v>
      </c>
      <c r="J153" s="4">
        <v>1.7999999999999999E-2</v>
      </c>
      <c r="K153" s="5">
        <v>100</v>
      </c>
      <c r="L153" s="5">
        <v>100</v>
      </c>
      <c r="M153" s="5">
        <v>100</v>
      </c>
      <c r="N153" s="5">
        <v>100</v>
      </c>
      <c r="O153" s="2">
        <v>0.56036606932612687</v>
      </c>
      <c r="P153" s="2">
        <v>0.51297385230428083</v>
      </c>
      <c r="Q153" s="2">
        <v>1.1060947359424948E-2</v>
      </c>
      <c r="R153" s="2">
        <v>1.816397062767118E-2</v>
      </c>
    </row>
    <row r="154" spans="1:18" x14ac:dyDescent="0.3">
      <c r="A154" s="7">
        <v>692</v>
      </c>
      <c r="B154" s="7">
        <v>374</v>
      </c>
      <c r="C154" s="7">
        <v>0</v>
      </c>
      <c r="D154" s="7">
        <v>0</v>
      </c>
      <c r="E154" s="20" t="str">
        <f t="shared" si="2"/>
        <v>00</v>
      </c>
      <c r="F154" s="21">
        <v>0.18970650553851701</v>
      </c>
      <c r="G154" s="4">
        <v>0.46700000000000003</v>
      </c>
      <c r="H154" s="4">
        <v>0.42528735632183901</v>
      </c>
      <c r="I154" s="4">
        <v>1.2E-2</v>
      </c>
      <c r="J154" s="4">
        <v>0.03</v>
      </c>
      <c r="K154" s="5">
        <v>100</v>
      </c>
      <c r="L154" s="5">
        <v>100</v>
      </c>
      <c r="M154" s="5">
        <v>100</v>
      </c>
      <c r="N154" s="5">
        <v>100</v>
      </c>
      <c r="O154" s="2">
        <v>0.62923385481629268</v>
      </c>
      <c r="P154" s="2">
        <v>0.55388511322643752</v>
      </c>
      <c r="Q154" s="2">
        <v>1.2072581234269249E-2</v>
      </c>
      <c r="R154" s="2">
        <v>3.0459207484708574E-2</v>
      </c>
    </row>
    <row r="155" spans="1:18" x14ac:dyDescent="0.3">
      <c r="A155" s="7">
        <v>291</v>
      </c>
      <c r="B155" s="7">
        <v>336</v>
      </c>
      <c r="C155" s="7">
        <v>0</v>
      </c>
      <c r="D155" s="7">
        <v>0</v>
      </c>
      <c r="E155" s="20" t="str">
        <f t="shared" si="2"/>
        <v>00</v>
      </c>
      <c r="F155" s="21">
        <v>0.19116612418437501</v>
      </c>
      <c r="G155" s="4">
        <v>0.25700000000000001</v>
      </c>
      <c r="H155" s="4">
        <v>0.211297071129707</v>
      </c>
      <c r="I155" s="4">
        <v>0.01</v>
      </c>
      <c r="J155" s="4">
        <v>1.4E-2</v>
      </c>
      <c r="K155" s="5">
        <v>100</v>
      </c>
      <c r="L155" s="5">
        <v>100</v>
      </c>
      <c r="M155" s="5">
        <v>100</v>
      </c>
      <c r="N155" s="5">
        <v>100</v>
      </c>
      <c r="O155" s="2">
        <v>0.29705923426437791</v>
      </c>
      <c r="P155" s="2">
        <v>0.23736554504344504</v>
      </c>
      <c r="Q155" s="2">
        <v>1.0050335853501451E-2</v>
      </c>
      <c r="R155" s="2">
        <v>1.4098924379501648E-2</v>
      </c>
    </row>
    <row r="156" spans="1:18" x14ac:dyDescent="0.3">
      <c r="A156" s="7">
        <v>567</v>
      </c>
      <c r="B156" s="7">
        <v>377</v>
      </c>
      <c r="C156" s="7">
        <v>0</v>
      </c>
      <c r="D156" s="7">
        <v>0</v>
      </c>
      <c r="E156" s="20" t="str">
        <f t="shared" si="2"/>
        <v>00</v>
      </c>
      <c r="F156" s="21">
        <v>0.19120267015815701</v>
      </c>
      <c r="G156" s="4">
        <v>0.25800000000000001</v>
      </c>
      <c r="H156" s="4">
        <v>0.240740740740741</v>
      </c>
      <c r="I156" s="4">
        <v>1.7999999999999999E-2</v>
      </c>
      <c r="J156" s="4">
        <v>0.01</v>
      </c>
      <c r="K156" s="5">
        <v>100</v>
      </c>
      <c r="L156" s="5">
        <v>100</v>
      </c>
      <c r="M156" s="5">
        <v>100</v>
      </c>
      <c r="N156" s="5">
        <v>100</v>
      </c>
      <c r="O156" s="2">
        <v>0.29840603581475661</v>
      </c>
      <c r="P156" s="2">
        <v>0.27541197985996696</v>
      </c>
      <c r="Q156" s="2">
        <v>1.816397062767118E-2</v>
      </c>
      <c r="R156" s="2">
        <v>1.0050335853501451E-2</v>
      </c>
    </row>
    <row r="157" spans="1:18" x14ac:dyDescent="0.3">
      <c r="A157" s="7">
        <v>949</v>
      </c>
      <c r="B157" s="7">
        <v>372</v>
      </c>
      <c r="C157" s="7">
        <v>0</v>
      </c>
      <c r="D157" s="7">
        <v>0</v>
      </c>
      <c r="E157" s="20" t="str">
        <f t="shared" si="2"/>
        <v>00</v>
      </c>
      <c r="F157" s="21">
        <v>0.193050097613125</v>
      </c>
      <c r="G157" s="4">
        <v>0.34</v>
      </c>
      <c r="H157" s="4">
        <v>0.29653679653679699</v>
      </c>
      <c r="I157" s="4">
        <v>2.5000000000000001E-2</v>
      </c>
      <c r="J157" s="4">
        <v>1.9E-2</v>
      </c>
      <c r="K157" s="5">
        <v>100</v>
      </c>
      <c r="L157" s="5">
        <v>100</v>
      </c>
      <c r="M157" s="5">
        <v>100</v>
      </c>
      <c r="N157" s="5">
        <v>100</v>
      </c>
      <c r="O157" s="2">
        <v>0.41551544396166595</v>
      </c>
      <c r="P157" s="2">
        <v>0.351739708752002</v>
      </c>
      <c r="Q157" s="2">
        <v>2.5317807984289897E-2</v>
      </c>
      <c r="R157" s="2">
        <v>1.9182819416773987E-2</v>
      </c>
    </row>
    <row r="158" spans="1:18" x14ac:dyDescent="0.3">
      <c r="A158" s="7">
        <v>98</v>
      </c>
      <c r="B158" s="7">
        <v>343</v>
      </c>
      <c r="C158" s="7">
        <v>0</v>
      </c>
      <c r="D158" s="7">
        <v>0</v>
      </c>
      <c r="E158" s="20" t="str">
        <f t="shared" si="2"/>
        <v>00</v>
      </c>
      <c r="F158" s="21">
        <v>0.193572545662833</v>
      </c>
      <c r="G158" s="4">
        <v>0.52200000000000002</v>
      </c>
      <c r="H158" s="4">
        <v>0.45248868778280499</v>
      </c>
      <c r="I158" s="4">
        <v>2.3E-2</v>
      </c>
      <c r="J158" s="4">
        <v>2.3E-2</v>
      </c>
      <c r="K158" s="5">
        <v>0</v>
      </c>
      <c r="L158" s="5">
        <v>100</v>
      </c>
      <c r="M158" s="5">
        <v>100</v>
      </c>
      <c r="N158" s="5">
        <v>100</v>
      </c>
      <c r="O158" s="2">
        <v>0.73814454649068106</v>
      </c>
      <c r="P158" s="2">
        <v>0.60237215592101079</v>
      </c>
      <c r="Q158" s="2">
        <v>2.3268626939354331E-2</v>
      </c>
      <c r="R158" s="2">
        <v>2.3268626939354331E-2</v>
      </c>
    </row>
    <row r="159" spans="1:18" x14ac:dyDescent="0.3">
      <c r="A159" s="7">
        <v>142</v>
      </c>
      <c r="B159" s="7">
        <v>376</v>
      </c>
      <c r="C159" s="7">
        <v>0</v>
      </c>
      <c r="D159" s="7">
        <v>0</v>
      </c>
      <c r="E159" s="20" t="str">
        <f t="shared" si="2"/>
        <v>00</v>
      </c>
      <c r="F159" s="21">
        <v>0.194506930923773</v>
      </c>
      <c r="G159" s="4">
        <v>0.24099999999999999</v>
      </c>
      <c r="H159" s="4">
        <v>0.22268041237113401</v>
      </c>
      <c r="I159" s="4">
        <v>0.01</v>
      </c>
      <c r="J159" s="4">
        <v>1.4E-2</v>
      </c>
      <c r="K159" s="5">
        <v>100</v>
      </c>
      <c r="L159" s="5">
        <v>100</v>
      </c>
      <c r="M159" s="5">
        <v>100</v>
      </c>
      <c r="N159" s="5">
        <v>100</v>
      </c>
      <c r="O159" s="2">
        <v>0.27575350158650713</v>
      </c>
      <c r="P159" s="2">
        <v>0.25190370348947244</v>
      </c>
      <c r="Q159" s="2">
        <v>1.0050335853501451E-2</v>
      </c>
      <c r="R159" s="2">
        <v>1.4098924379501648E-2</v>
      </c>
    </row>
    <row r="160" spans="1:18" x14ac:dyDescent="0.3">
      <c r="A160" s="7">
        <v>39</v>
      </c>
      <c r="B160" s="7">
        <v>351</v>
      </c>
      <c r="C160" s="7">
        <v>0</v>
      </c>
      <c r="D160" s="7">
        <v>0</v>
      </c>
      <c r="E160" s="20" t="str">
        <f t="shared" si="2"/>
        <v>00</v>
      </c>
      <c r="F160" s="21">
        <v>0.195016443257156</v>
      </c>
      <c r="G160" s="4">
        <v>0.375</v>
      </c>
      <c r="H160" s="4">
        <v>0.31856540084388202</v>
      </c>
      <c r="I160" s="4">
        <v>1.6E-2</v>
      </c>
      <c r="J160" s="4">
        <v>1.4999999999999999E-2</v>
      </c>
      <c r="K160" s="5">
        <v>100</v>
      </c>
      <c r="L160" s="5">
        <v>100</v>
      </c>
      <c r="M160" s="5">
        <v>100</v>
      </c>
      <c r="N160" s="5">
        <v>100</v>
      </c>
      <c r="O160" s="2">
        <v>0.47000362924573558</v>
      </c>
      <c r="P160" s="2">
        <v>0.38355499847242025</v>
      </c>
      <c r="Q160" s="2">
        <v>1.6129381929883644E-2</v>
      </c>
      <c r="R160" s="2">
        <v>1.5113637810048184E-2</v>
      </c>
    </row>
    <row r="161" spans="1:18" x14ac:dyDescent="0.3">
      <c r="A161" s="7">
        <v>737</v>
      </c>
      <c r="B161" s="7">
        <v>347</v>
      </c>
      <c r="C161" s="7">
        <v>0</v>
      </c>
      <c r="D161" s="7">
        <v>0</v>
      </c>
      <c r="E161" s="20" t="str">
        <f t="shared" si="2"/>
        <v>00</v>
      </c>
      <c r="F161" s="21">
        <v>0.19518555354102801</v>
      </c>
      <c r="G161" s="4">
        <v>0.29199999999999998</v>
      </c>
      <c r="H161" s="4">
        <v>0.25987525987526</v>
      </c>
      <c r="I161" s="4">
        <v>1.7000000000000001E-2</v>
      </c>
      <c r="J161" s="4">
        <v>1.7000000000000001E-2</v>
      </c>
      <c r="K161" s="5">
        <v>100</v>
      </c>
      <c r="L161" s="5">
        <v>100</v>
      </c>
      <c r="M161" s="5">
        <v>100</v>
      </c>
      <c r="N161" s="5">
        <v>100</v>
      </c>
      <c r="O161" s="2">
        <v>0.34531118528841737</v>
      </c>
      <c r="P161" s="2">
        <v>0.30093653925373098</v>
      </c>
      <c r="Q161" s="2">
        <v>1.7146158834970514E-2</v>
      </c>
      <c r="R161" s="2">
        <v>1.7146158834970514E-2</v>
      </c>
    </row>
    <row r="162" spans="1:18" x14ac:dyDescent="0.3">
      <c r="A162" s="7">
        <v>638</v>
      </c>
      <c r="B162" s="7">
        <v>354</v>
      </c>
      <c r="C162" s="7">
        <v>0</v>
      </c>
      <c r="D162" s="7">
        <v>0</v>
      </c>
      <c r="E162" s="20" t="str">
        <f t="shared" si="2"/>
        <v>00</v>
      </c>
      <c r="F162" s="21">
        <v>0.195429513517793</v>
      </c>
      <c r="G162" s="4">
        <v>0.29799999999999999</v>
      </c>
      <c r="H162" s="4">
        <v>0.26539278131634803</v>
      </c>
      <c r="I162" s="4">
        <v>2.1999999999999999E-2</v>
      </c>
      <c r="J162" s="4">
        <v>0.02</v>
      </c>
      <c r="K162" s="5">
        <v>100</v>
      </c>
      <c r="L162" s="5">
        <v>100</v>
      </c>
      <c r="M162" s="5">
        <v>100</v>
      </c>
      <c r="N162" s="5">
        <v>100</v>
      </c>
      <c r="O162" s="2">
        <v>0.353821874956326</v>
      </c>
      <c r="P162" s="2">
        <v>0.30841931895869323</v>
      </c>
      <c r="Q162" s="2">
        <v>2.2245608947319737E-2</v>
      </c>
      <c r="R162" s="2">
        <v>2.0202707317519466E-2</v>
      </c>
    </row>
    <row r="163" spans="1:18" x14ac:dyDescent="0.3">
      <c r="A163" s="7">
        <v>779</v>
      </c>
      <c r="B163" s="7">
        <v>351</v>
      </c>
      <c r="C163" s="7">
        <v>0</v>
      </c>
      <c r="D163" s="7">
        <v>0</v>
      </c>
      <c r="E163" s="20" t="str">
        <f t="shared" si="2"/>
        <v>00</v>
      </c>
      <c r="F163" s="21">
        <v>0.19746473613026999</v>
      </c>
      <c r="G163" s="4">
        <v>0.497</v>
      </c>
      <c r="H163" s="4">
        <v>0.444695259593679</v>
      </c>
      <c r="I163" s="4">
        <v>8.9999999999999993E-3</v>
      </c>
      <c r="J163" s="4">
        <v>1.0999999999999999E-2</v>
      </c>
      <c r="K163" s="5">
        <v>100</v>
      </c>
      <c r="L163" s="5">
        <v>100</v>
      </c>
      <c r="M163" s="5">
        <v>100</v>
      </c>
      <c r="N163" s="5">
        <v>100</v>
      </c>
      <c r="O163" s="2">
        <v>0.68716510888239779</v>
      </c>
      <c r="P163" s="2">
        <v>0.5882382341127721</v>
      </c>
      <c r="Q163" s="2">
        <v>9.0407446521490707E-3</v>
      </c>
      <c r="R163" s="2">
        <v>1.1060947359424948E-2</v>
      </c>
    </row>
    <row r="164" spans="1:18" x14ac:dyDescent="0.3">
      <c r="A164" s="7">
        <v>704</v>
      </c>
      <c r="B164" s="7">
        <v>326</v>
      </c>
      <c r="C164" s="7">
        <v>0</v>
      </c>
      <c r="D164" s="7">
        <v>0</v>
      </c>
      <c r="E164" s="20" t="str">
        <f t="shared" si="2"/>
        <v>00</v>
      </c>
      <c r="F164" s="21">
        <v>0.19851801461628901</v>
      </c>
      <c r="G164" s="4">
        <v>0.34599999999999997</v>
      </c>
      <c r="H164" s="4">
        <v>0.30598669623059899</v>
      </c>
      <c r="I164" s="4">
        <v>9.6000000000000002E-2</v>
      </c>
      <c r="J164" s="4">
        <v>7.6999999999999999E-2</v>
      </c>
      <c r="K164" s="5">
        <v>100</v>
      </c>
      <c r="L164" s="5">
        <v>100</v>
      </c>
      <c r="M164" s="5">
        <v>100</v>
      </c>
      <c r="N164" s="5">
        <v>100</v>
      </c>
      <c r="O164" s="2">
        <v>0.4246479275249383</v>
      </c>
      <c r="P164" s="2">
        <v>0.36526414896252568</v>
      </c>
      <c r="Q164" s="2">
        <v>0.10092591858996053</v>
      </c>
      <c r="R164" s="2">
        <v>8.0126044479284855E-2</v>
      </c>
    </row>
    <row r="165" spans="1:18" x14ac:dyDescent="0.3">
      <c r="A165" s="7">
        <v>622</v>
      </c>
      <c r="B165" s="7">
        <v>364</v>
      </c>
      <c r="C165" s="7">
        <v>0</v>
      </c>
      <c r="D165" s="7">
        <v>0</v>
      </c>
      <c r="E165" s="20" t="str">
        <f t="shared" si="2"/>
        <v>00</v>
      </c>
      <c r="F165" s="21">
        <v>0.19909243507051799</v>
      </c>
      <c r="G165" s="4">
        <v>0.25600000000000001</v>
      </c>
      <c r="H165" s="4">
        <v>0.214285714285714</v>
      </c>
      <c r="I165" s="4">
        <v>1.2E-2</v>
      </c>
      <c r="J165" s="4">
        <v>0.02</v>
      </c>
      <c r="K165" s="5">
        <v>100</v>
      </c>
      <c r="L165" s="5">
        <v>100</v>
      </c>
      <c r="M165" s="5">
        <v>100</v>
      </c>
      <c r="N165" s="5">
        <v>100</v>
      </c>
      <c r="O165" s="2">
        <v>0.29571424414904518</v>
      </c>
      <c r="P165" s="2">
        <v>0.24116205681688765</v>
      </c>
      <c r="Q165" s="2">
        <v>1.2072581234269249E-2</v>
      </c>
      <c r="R165" s="2">
        <v>2.0202707317519466E-2</v>
      </c>
    </row>
    <row r="166" spans="1:18" x14ac:dyDescent="0.3">
      <c r="A166" s="7">
        <v>383</v>
      </c>
      <c r="B166" s="7">
        <v>362</v>
      </c>
      <c r="C166" s="7">
        <v>0</v>
      </c>
      <c r="D166" s="7">
        <v>0</v>
      </c>
      <c r="E166" s="20" t="str">
        <f t="shared" si="2"/>
        <v>00</v>
      </c>
      <c r="F166" s="21">
        <v>0.20150797453466401</v>
      </c>
      <c r="G166" s="4">
        <v>0.54600000000000004</v>
      </c>
      <c r="H166" s="4">
        <v>0.41387559808612401</v>
      </c>
      <c r="I166" s="4">
        <v>0.99</v>
      </c>
      <c r="J166" s="4">
        <v>0.97699999999999998</v>
      </c>
      <c r="K166" s="5">
        <v>0</v>
      </c>
      <c r="L166" s="5">
        <v>100</v>
      </c>
      <c r="M166" s="5">
        <v>0</v>
      </c>
      <c r="N166" s="5">
        <v>0</v>
      </c>
      <c r="O166" s="2">
        <v>0.78965808094078915</v>
      </c>
      <c r="P166" s="2">
        <v>0.53422322198002858</v>
      </c>
      <c r="Q166" s="2">
        <v>4.6051701859880909</v>
      </c>
      <c r="R166" s="2">
        <v>3.7722610630529863</v>
      </c>
    </row>
    <row r="167" spans="1:18" x14ac:dyDescent="0.3">
      <c r="A167" s="7">
        <v>551</v>
      </c>
      <c r="B167" s="7">
        <v>432</v>
      </c>
      <c r="C167" s="7">
        <v>0</v>
      </c>
      <c r="D167" s="7">
        <v>0</v>
      </c>
      <c r="E167" s="20" t="str">
        <f t="shared" si="2"/>
        <v>00</v>
      </c>
      <c r="F167" s="21">
        <v>0.20555776873880399</v>
      </c>
      <c r="G167" s="4">
        <v>0.40799999999999997</v>
      </c>
      <c r="H167" s="4">
        <v>0.34497816593886499</v>
      </c>
      <c r="I167" s="4">
        <v>1.2999999999999999E-2</v>
      </c>
      <c r="J167" s="4">
        <v>1.7999999999999999E-2</v>
      </c>
      <c r="K167" s="5">
        <v>100</v>
      </c>
      <c r="L167" s="5">
        <v>100</v>
      </c>
      <c r="M167" s="5">
        <v>100</v>
      </c>
      <c r="N167" s="5">
        <v>100</v>
      </c>
      <c r="O167" s="2">
        <v>0.52424864409813121</v>
      </c>
      <c r="P167" s="2">
        <v>0.42308670945798443</v>
      </c>
      <c r="Q167" s="2">
        <v>1.3085239548655481E-2</v>
      </c>
      <c r="R167" s="2">
        <v>1.816397062767118E-2</v>
      </c>
    </row>
    <row r="168" spans="1:18" x14ac:dyDescent="0.3">
      <c r="A168" s="7">
        <v>986</v>
      </c>
      <c r="B168" s="7">
        <v>337</v>
      </c>
      <c r="C168" s="7">
        <v>0</v>
      </c>
      <c r="D168" s="7">
        <v>0</v>
      </c>
      <c r="E168" s="20" t="str">
        <f t="shared" si="2"/>
        <v>00</v>
      </c>
      <c r="F168" s="21">
        <v>0.206030283651507</v>
      </c>
      <c r="G168" s="4">
        <v>0.29099999999999998</v>
      </c>
      <c r="H168" s="4">
        <v>0.27708333333333302</v>
      </c>
      <c r="I168" s="4">
        <v>0.02</v>
      </c>
      <c r="J168" s="4">
        <v>1.4999999999999999E-2</v>
      </c>
      <c r="K168" s="5">
        <v>100</v>
      </c>
      <c r="L168" s="5">
        <v>100</v>
      </c>
      <c r="M168" s="5">
        <v>100</v>
      </c>
      <c r="N168" s="5">
        <v>100</v>
      </c>
      <c r="O168" s="2">
        <v>0.34389975245000942</v>
      </c>
      <c r="P168" s="2">
        <v>0.32446132395507699</v>
      </c>
      <c r="Q168" s="2">
        <v>2.0202707317519466E-2</v>
      </c>
      <c r="R168" s="2">
        <v>1.5113637810048184E-2</v>
      </c>
    </row>
    <row r="169" spans="1:18" x14ac:dyDescent="0.3">
      <c r="A169" s="7">
        <v>74</v>
      </c>
      <c r="B169" s="7">
        <v>336</v>
      </c>
      <c r="C169" s="7">
        <v>0</v>
      </c>
      <c r="D169" s="7">
        <v>0</v>
      </c>
      <c r="E169" s="20" t="str">
        <f t="shared" si="2"/>
        <v>00</v>
      </c>
      <c r="F169" s="21">
        <v>0.206394286854758</v>
      </c>
      <c r="G169" s="4">
        <v>0.42799999999999999</v>
      </c>
      <c r="H169" s="4">
        <v>0.36241610738254998</v>
      </c>
      <c r="I169" s="4">
        <v>2.5999999999999999E-2</v>
      </c>
      <c r="J169" s="4">
        <v>2.1999999999999999E-2</v>
      </c>
      <c r="K169" s="5">
        <v>100</v>
      </c>
      <c r="L169" s="5">
        <v>100</v>
      </c>
      <c r="M169" s="5">
        <v>100</v>
      </c>
      <c r="N169" s="5">
        <v>100</v>
      </c>
      <c r="O169" s="2">
        <v>0.55861628760233906</v>
      </c>
      <c r="P169" s="2">
        <v>0.45006941434491782</v>
      </c>
      <c r="Q169" s="2">
        <v>2.6343975339601977E-2</v>
      </c>
      <c r="R169" s="2">
        <v>2.2245608947319737E-2</v>
      </c>
    </row>
    <row r="170" spans="1:18" x14ac:dyDescent="0.3">
      <c r="A170" s="7">
        <v>123</v>
      </c>
      <c r="B170" s="7">
        <v>348</v>
      </c>
      <c r="C170" s="7">
        <v>0</v>
      </c>
      <c r="D170" s="7">
        <v>0</v>
      </c>
      <c r="E170" s="20" t="str">
        <f t="shared" si="2"/>
        <v>00</v>
      </c>
      <c r="F170" s="21">
        <v>0.208450480153475</v>
      </c>
      <c r="G170" s="4">
        <v>0.28799999999999998</v>
      </c>
      <c r="H170" s="4">
        <v>0.25265392781316298</v>
      </c>
      <c r="I170" s="4">
        <v>1.7000000000000001E-2</v>
      </c>
      <c r="J170" s="4">
        <v>1.9E-2</v>
      </c>
      <c r="K170" s="5">
        <v>100</v>
      </c>
      <c r="L170" s="5">
        <v>100</v>
      </c>
      <c r="M170" s="5">
        <v>100</v>
      </c>
      <c r="N170" s="5">
        <v>100</v>
      </c>
      <c r="O170" s="2">
        <v>0.33967736757016131</v>
      </c>
      <c r="P170" s="2">
        <v>0.29122691841831999</v>
      </c>
      <c r="Q170" s="2">
        <v>1.7146158834970514E-2</v>
      </c>
      <c r="R170" s="2">
        <v>1.9182819416773987E-2</v>
      </c>
    </row>
    <row r="171" spans="1:18" x14ac:dyDescent="0.3">
      <c r="A171" s="7">
        <v>73</v>
      </c>
      <c r="B171" s="7">
        <v>350</v>
      </c>
      <c r="C171" s="7">
        <v>0</v>
      </c>
      <c r="D171" s="7">
        <v>0</v>
      </c>
      <c r="E171" s="20" t="str">
        <f t="shared" si="2"/>
        <v>00</v>
      </c>
      <c r="F171" s="21">
        <v>0.21143202293181801</v>
      </c>
      <c r="G171" s="4">
        <v>0.60899999999999999</v>
      </c>
      <c r="H171" s="4">
        <v>0.50605326876513301</v>
      </c>
      <c r="I171" s="4">
        <v>1.2E-2</v>
      </c>
      <c r="J171" s="4">
        <v>1.0999999999999999E-2</v>
      </c>
      <c r="K171" s="5">
        <v>0</v>
      </c>
      <c r="L171" s="5">
        <v>0</v>
      </c>
      <c r="M171" s="5">
        <v>100</v>
      </c>
      <c r="N171" s="5">
        <v>100</v>
      </c>
      <c r="O171" s="2">
        <v>0.9390477189967712</v>
      </c>
      <c r="P171" s="2">
        <v>0.70532759911681608</v>
      </c>
      <c r="Q171" s="2">
        <v>1.2072581234269249E-2</v>
      </c>
      <c r="R171" s="2">
        <v>1.1060947359424948E-2</v>
      </c>
    </row>
    <row r="172" spans="1:18" x14ac:dyDescent="0.3">
      <c r="A172" s="7">
        <v>821</v>
      </c>
      <c r="B172" s="7">
        <v>361</v>
      </c>
      <c r="C172" s="7">
        <v>0</v>
      </c>
      <c r="D172" s="7">
        <v>0</v>
      </c>
      <c r="E172" s="20" t="str">
        <f t="shared" si="2"/>
        <v>00</v>
      </c>
      <c r="F172" s="21">
        <v>0.21419340336786599</v>
      </c>
      <c r="G172" s="4">
        <v>0.36899999999999999</v>
      </c>
      <c r="H172" s="4">
        <v>0.24455205811138001</v>
      </c>
      <c r="I172" s="4">
        <v>1.9E-2</v>
      </c>
      <c r="J172" s="4">
        <v>0.02</v>
      </c>
      <c r="K172" s="5">
        <v>100</v>
      </c>
      <c r="L172" s="5">
        <v>100</v>
      </c>
      <c r="M172" s="5">
        <v>100</v>
      </c>
      <c r="N172" s="5">
        <v>100</v>
      </c>
      <c r="O172" s="2">
        <v>0.46044941644092391</v>
      </c>
      <c r="P172" s="2">
        <v>0.28044440515155022</v>
      </c>
      <c r="Q172" s="2">
        <v>1.9182819416773987E-2</v>
      </c>
      <c r="R172" s="2">
        <v>2.0202707317519466E-2</v>
      </c>
    </row>
    <row r="173" spans="1:18" x14ac:dyDescent="0.3">
      <c r="A173" s="7">
        <v>925</v>
      </c>
      <c r="B173" s="7">
        <v>363</v>
      </c>
      <c r="C173" s="7">
        <v>0</v>
      </c>
      <c r="D173" s="7">
        <v>0</v>
      </c>
      <c r="E173" s="20" t="str">
        <f t="shared" si="2"/>
        <v>00</v>
      </c>
      <c r="F173" s="21">
        <v>0.21455998320050801</v>
      </c>
      <c r="G173" s="4">
        <v>0.33600000000000002</v>
      </c>
      <c r="H173" s="4">
        <v>0.30042918454935602</v>
      </c>
      <c r="I173" s="4">
        <v>0.01</v>
      </c>
      <c r="J173" s="4">
        <v>1.6E-2</v>
      </c>
      <c r="K173" s="5">
        <v>100</v>
      </c>
      <c r="L173" s="5">
        <v>100</v>
      </c>
      <c r="M173" s="5">
        <v>100</v>
      </c>
      <c r="N173" s="5">
        <v>100</v>
      </c>
      <c r="O173" s="2">
        <v>0.4094731295057033</v>
      </c>
      <c r="P173" s="2">
        <v>0.357288252758938</v>
      </c>
      <c r="Q173" s="2">
        <v>1.0050335853501451E-2</v>
      </c>
      <c r="R173" s="2">
        <v>1.6129381929883644E-2</v>
      </c>
    </row>
    <row r="174" spans="1:18" x14ac:dyDescent="0.3">
      <c r="A174" s="7">
        <v>311</v>
      </c>
      <c r="B174" s="7">
        <v>325</v>
      </c>
      <c r="C174" s="7">
        <v>0</v>
      </c>
      <c r="D174" s="7">
        <v>0</v>
      </c>
      <c r="E174" s="20" t="str">
        <f t="shared" si="2"/>
        <v>00</v>
      </c>
      <c r="F174" s="21">
        <v>0.21537263622251701</v>
      </c>
      <c r="G174" s="4">
        <v>0.24099999999999999</v>
      </c>
      <c r="H174" s="4">
        <v>0.19298245614035101</v>
      </c>
      <c r="I174" s="4">
        <v>1.0999999999999999E-2</v>
      </c>
      <c r="J174" s="4">
        <v>2.5000000000000001E-2</v>
      </c>
      <c r="K174" s="5">
        <v>100</v>
      </c>
      <c r="L174" s="5">
        <v>100</v>
      </c>
      <c r="M174" s="5">
        <v>100</v>
      </c>
      <c r="N174" s="5">
        <v>100</v>
      </c>
      <c r="O174" s="2">
        <v>0.27575350158650713</v>
      </c>
      <c r="P174" s="2">
        <v>0.21440987134545533</v>
      </c>
      <c r="Q174" s="2">
        <v>1.1060947359424948E-2</v>
      </c>
      <c r="R174" s="2">
        <v>2.5317807984289897E-2</v>
      </c>
    </row>
    <row r="175" spans="1:18" x14ac:dyDescent="0.3">
      <c r="A175" s="7">
        <v>359</v>
      </c>
      <c r="B175" s="7">
        <v>334</v>
      </c>
      <c r="C175" s="7">
        <v>0</v>
      </c>
      <c r="D175" s="7">
        <v>0</v>
      </c>
      <c r="E175" s="20" t="str">
        <f t="shared" si="2"/>
        <v>00</v>
      </c>
      <c r="F175" s="21">
        <v>0.217624344389833</v>
      </c>
      <c r="G175" s="4">
        <v>0.61299999999999999</v>
      </c>
      <c r="H175" s="4">
        <v>0.47323943661971801</v>
      </c>
      <c r="I175" s="4">
        <v>1.6E-2</v>
      </c>
      <c r="J175" s="4">
        <v>2.5000000000000001E-2</v>
      </c>
      <c r="K175" s="5">
        <v>0</v>
      </c>
      <c r="L175" s="5">
        <v>100</v>
      </c>
      <c r="M175" s="5">
        <v>100</v>
      </c>
      <c r="N175" s="5">
        <v>100</v>
      </c>
      <c r="O175" s="2">
        <v>0.9493305859523552</v>
      </c>
      <c r="P175" s="2">
        <v>0.64100917262082857</v>
      </c>
      <c r="Q175" s="2">
        <v>1.6129381929883644E-2</v>
      </c>
      <c r="R175" s="2">
        <v>2.5317807984289897E-2</v>
      </c>
    </row>
    <row r="176" spans="1:18" x14ac:dyDescent="0.3">
      <c r="A176" s="7">
        <v>246</v>
      </c>
      <c r="B176" s="7">
        <v>342</v>
      </c>
      <c r="C176" s="7">
        <v>0</v>
      </c>
      <c r="D176" s="7">
        <v>0</v>
      </c>
      <c r="E176" s="20" t="str">
        <f t="shared" si="2"/>
        <v>00</v>
      </c>
      <c r="F176" s="21">
        <v>0.21848105623446001</v>
      </c>
      <c r="G176" s="4">
        <v>0.52300000000000002</v>
      </c>
      <c r="H176" s="4">
        <v>0.44390243902439003</v>
      </c>
      <c r="I176" s="4">
        <v>1.9E-2</v>
      </c>
      <c r="J176" s="4">
        <v>3.1E-2</v>
      </c>
      <c r="K176" s="5">
        <v>0</v>
      </c>
      <c r="L176" s="5">
        <v>100</v>
      </c>
      <c r="M176" s="5">
        <v>100</v>
      </c>
      <c r="N176" s="5">
        <v>100</v>
      </c>
      <c r="O176" s="2">
        <v>0.74023878809379584</v>
      </c>
      <c r="P176" s="2">
        <v>0.58681153074391224</v>
      </c>
      <c r="Q176" s="2">
        <v>1.9182819416773987E-2</v>
      </c>
      <c r="R176" s="2">
        <v>3.1490667091370848E-2</v>
      </c>
    </row>
    <row r="177" spans="1:18" x14ac:dyDescent="0.3">
      <c r="A177" s="7">
        <v>251</v>
      </c>
      <c r="B177" s="7">
        <v>335</v>
      </c>
      <c r="C177" s="7">
        <v>0</v>
      </c>
      <c r="D177" s="7">
        <v>0</v>
      </c>
      <c r="E177" s="20" t="str">
        <f t="shared" si="2"/>
        <v>00</v>
      </c>
      <c r="F177" s="21">
        <v>0.2203026495374</v>
      </c>
      <c r="G177" s="4">
        <v>0.439</v>
      </c>
      <c r="H177" s="4">
        <v>0.37443946188340799</v>
      </c>
      <c r="I177" s="4">
        <v>1.9E-2</v>
      </c>
      <c r="J177" s="4">
        <v>1.2999999999999999E-2</v>
      </c>
      <c r="K177" s="5">
        <v>100</v>
      </c>
      <c r="L177" s="5">
        <v>100</v>
      </c>
      <c r="M177" s="5">
        <v>100</v>
      </c>
      <c r="N177" s="5">
        <v>100</v>
      </c>
      <c r="O177" s="2">
        <v>0.57803437345944086</v>
      </c>
      <c r="P177" s="2">
        <v>0.46910717019869824</v>
      </c>
      <c r="Q177" s="2">
        <v>1.9182819416773987E-2</v>
      </c>
      <c r="R177" s="2">
        <v>1.3085239548655481E-2</v>
      </c>
    </row>
    <row r="178" spans="1:18" x14ac:dyDescent="0.3">
      <c r="A178" s="7">
        <v>101</v>
      </c>
      <c r="B178" s="7">
        <v>354</v>
      </c>
      <c r="C178" s="7">
        <v>0</v>
      </c>
      <c r="D178" s="7">
        <v>0</v>
      </c>
      <c r="E178" s="20" t="str">
        <f t="shared" si="2"/>
        <v>00</v>
      </c>
      <c r="F178" s="21">
        <v>0.221367194026583</v>
      </c>
      <c r="G178" s="4">
        <v>0.38800000000000001</v>
      </c>
      <c r="H178" s="4">
        <v>0.27014218009478702</v>
      </c>
      <c r="I178" s="4">
        <v>2.1000000000000001E-2</v>
      </c>
      <c r="J178" s="4">
        <v>0.02</v>
      </c>
      <c r="K178" s="5">
        <v>100</v>
      </c>
      <c r="L178" s="5">
        <v>100</v>
      </c>
      <c r="M178" s="5">
        <v>100</v>
      </c>
      <c r="N178" s="5">
        <v>100</v>
      </c>
      <c r="O178" s="2">
        <v>0.49102299646981101</v>
      </c>
      <c r="P178" s="2">
        <v>0.31490553106243768</v>
      </c>
      <c r="Q178" s="2">
        <v>2.1223636451626688E-2</v>
      </c>
      <c r="R178" s="2">
        <v>2.0202707317519466E-2</v>
      </c>
    </row>
    <row r="179" spans="1:18" x14ac:dyDescent="0.3">
      <c r="A179" s="7">
        <v>267</v>
      </c>
      <c r="B179" s="7">
        <v>337</v>
      </c>
      <c r="C179" s="7">
        <v>0</v>
      </c>
      <c r="D179" s="7">
        <v>0</v>
      </c>
      <c r="E179" s="20" t="str">
        <f t="shared" si="2"/>
        <v>00</v>
      </c>
      <c r="F179" s="21">
        <v>0.22150954767745301</v>
      </c>
      <c r="G179" s="4">
        <v>0.61599999999999999</v>
      </c>
      <c r="H179" s="4">
        <v>0.39329268292682901</v>
      </c>
      <c r="I179" s="4">
        <v>1.4999999999999999E-2</v>
      </c>
      <c r="J179" s="4">
        <v>1.9E-2</v>
      </c>
      <c r="K179" s="5">
        <v>0</v>
      </c>
      <c r="L179" s="5">
        <v>100</v>
      </c>
      <c r="M179" s="5">
        <v>100</v>
      </c>
      <c r="N179" s="5">
        <v>100</v>
      </c>
      <c r="O179" s="2">
        <v>0.95711272639441014</v>
      </c>
      <c r="P179" s="2">
        <v>0.49970878365965099</v>
      </c>
      <c r="Q179" s="2">
        <v>1.5113637810048184E-2</v>
      </c>
      <c r="R179" s="2">
        <v>1.9182819416773987E-2</v>
      </c>
    </row>
    <row r="180" spans="1:18" x14ac:dyDescent="0.3">
      <c r="A180" s="7">
        <v>431</v>
      </c>
      <c r="B180" s="7">
        <v>358</v>
      </c>
      <c r="C180" s="7">
        <v>0</v>
      </c>
      <c r="D180" s="7">
        <v>0</v>
      </c>
      <c r="E180" s="20" t="str">
        <f t="shared" si="2"/>
        <v>00</v>
      </c>
      <c r="F180" s="21">
        <v>0.22184932396477999</v>
      </c>
      <c r="G180" s="4">
        <v>0.28000000000000003</v>
      </c>
      <c r="H180" s="4">
        <v>0.22052401746724901</v>
      </c>
      <c r="I180" s="4">
        <v>0.02</v>
      </c>
      <c r="J180" s="4">
        <v>1.7999999999999999E-2</v>
      </c>
      <c r="K180" s="5">
        <v>100</v>
      </c>
      <c r="L180" s="5">
        <v>100</v>
      </c>
      <c r="M180" s="5">
        <v>100</v>
      </c>
      <c r="N180" s="5">
        <v>100</v>
      </c>
      <c r="O180" s="2">
        <v>0.3285040669720361</v>
      </c>
      <c r="P180" s="2">
        <v>0.24913340233454603</v>
      </c>
      <c r="Q180" s="2">
        <v>2.0202707317519466E-2</v>
      </c>
      <c r="R180" s="2">
        <v>1.816397062767118E-2</v>
      </c>
    </row>
    <row r="181" spans="1:18" x14ac:dyDescent="0.3">
      <c r="A181" s="7">
        <v>913</v>
      </c>
      <c r="B181" s="7">
        <v>360</v>
      </c>
      <c r="C181" s="7">
        <v>0</v>
      </c>
      <c r="D181" s="7">
        <v>0</v>
      </c>
      <c r="E181" s="20" t="str">
        <f t="shared" si="2"/>
        <v>00</v>
      </c>
      <c r="F181" s="21">
        <v>0.22353805980151001</v>
      </c>
      <c r="G181" s="4">
        <v>0.35099999999999998</v>
      </c>
      <c r="H181" s="4">
        <v>0.3</v>
      </c>
      <c r="I181" s="4">
        <v>1.4E-2</v>
      </c>
      <c r="J181" s="4">
        <v>2.4E-2</v>
      </c>
      <c r="K181" s="5">
        <v>100</v>
      </c>
      <c r="L181" s="5">
        <v>100</v>
      </c>
      <c r="M181" s="5">
        <v>100</v>
      </c>
      <c r="N181" s="5">
        <v>100</v>
      </c>
      <c r="O181" s="2">
        <v>0.43232256227804705</v>
      </c>
      <c r="P181" s="2">
        <v>0.35667494393873245</v>
      </c>
      <c r="Q181" s="2">
        <v>1.4098924379501648E-2</v>
      </c>
      <c r="R181" s="2">
        <v>2.4292692569044587E-2</v>
      </c>
    </row>
    <row r="182" spans="1:18" x14ac:dyDescent="0.3">
      <c r="A182" s="7">
        <v>224</v>
      </c>
      <c r="B182" s="7">
        <v>341</v>
      </c>
      <c r="C182" s="7">
        <v>0</v>
      </c>
      <c r="D182" s="7">
        <v>0</v>
      </c>
      <c r="E182" s="20" t="str">
        <f t="shared" si="2"/>
        <v>00</v>
      </c>
      <c r="F182" s="21">
        <v>0.22361097493985899</v>
      </c>
      <c r="G182" s="4">
        <v>0.39600000000000002</v>
      </c>
      <c r="H182" s="4">
        <v>0.27934272300469498</v>
      </c>
      <c r="I182" s="4">
        <v>1.7000000000000001E-2</v>
      </c>
      <c r="J182" s="4">
        <v>1.2999999999999999E-2</v>
      </c>
      <c r="K182" s="5">
        <v>100</v>
      </c>
      <c r="L182" s="5">
        <v>100</v>
      </c>
      <c r="M182" s="5">
        <v>100</v>
      </c>
      <c r="N182" s="5">
        <v>100</v>
      </c>
      <c r="O182" s="2">
        <v>0.50418108104732218</v>
      </c>
      <c r="P182" s="2">
        <v>0.32759159868217347</v>
      </c>
      <c r="Q182" s="2">
        <v>1.7146158834970514E-2</v>
      </c>
      <c r="R182" s="2">
        <v>1.3085239548655481E-2</v>
      </c>
    </row>
    <row r="183" spans="1:18" x14ac:dyDescent="0.3">
      <c r="A183" s="7">
        <v>78</v>
      </c>
      <c r="B183" s="7">
        <v>343</v>
      </c>
      <c r="C183" s="7">
        <v>0</v>
      </c>
      <c r="D183" s="7">
        <v>0</v>
      </c>
      <c r="E183" s="20" t="str">
        <f t="shared" si="2"/>
        <v>00</v>
      </c>
      <c r="F183" s="21">
        <v>0.224868247536156</v>
      </c>
      <c r="G183" s="4">
        <v>0.32100000000000001</v>
      </c>
      <c r="H183" s="4">
        <v>0.23830734966592401</v>
      </c>
      <c r="I183" s="4">
        <v>0.98399999999999999</v>
      </c>
      <c r="J183" s="4">
        <v>0.97</v>
      </c>
      <c r="K183" s="5">
        <v>100</v>
      </c>
      <c r="L183" s="5">
        <v>100</v>
      </c>
      <c r="M183" s="5">
        <v>0</v>
      </c>
      <c r="N183" s="5">
        <v>0</v>
      </c>
      <c r="O183" s="2">
        <v>0.38713415142344088</v>
      </c>
      <c r="P183" s="2">
        <v>0.27221215067964882</v>
      </c>
      <c r="Q183" s="2">
        <v>4.1351665567423552</v>
      </c>
      <c r="R183" s="2">
        <v>3.5065578973199809</v>
      </c>
    </row>
    <row r="184" spans="1:18" x14ac:dyDescent="0.3">
      <c r="A184" s="7">
        <v>734</v>
      </c>
      <c r="B184" s="7">
        <v>326</v>
      </c>
      <c r="C184" s="7">
        <v>0</v>
      </c>
      <c r="D184" s="7">
        <v>0</v>
      </c>
      <c r="E184" s="20" t="str">
        <f t="shared" si="2"/>
        <v>00</v>
      </c>
      <c r="F184" s="21">
        <v>0.22498315947039299</v>
      </c>
      <c r="G184" s="4">
        <v>0.40699999999999997</v>
      </c>
      <c r="H184" s="4">
        <v>0.30913348946135799</v>
      </c>
      <c r="I184" s="4">
        <v>1.0999999999999999E-2</v>
      </c>
      <c r="J184" s="4">
        <v>0.01</v>
      </c>
      <c r="K184" s="5">
        <v>100</v>
      </c>
      <c r="L184" s="5">
        <v>100</v>
      </c>
      <c r="M184" s="5">
        <v>100</v>
      </c>
      <c r="N184" s="5">
        <v>100</v>
      </c>
      <c r="O184" s="2">
        <v>0.5225608799844117</v>
      </c>
      <c r="P184" s="2">
        <v>0.36980865688880427</v>
      </c>
      <c r="Q184" s="2">
        <v>1.1060947359424948E-2</v>
      </c>
      <c r="R184" s="2">
        <v>1.0050335853501451E-2</v>
      </c>
    </row>
    <row r="185" spans="1:18" x14ac:dyDescent="0.3">
      <c r="A185" s="7">
        <v>486</v>
      </c>
      <c r="B185" s="7">
        <v>357</v>
      </c>
      <c r="C185" s="7">
        <v>0</v>
      </c>
      <c r="D185" s="7">
        <v>0</v>
      </c>
      <c r="E185" s="20" t="str">
        <f t="shared" si="2"/>
        <v>00</v>
      </c>
      <c r="F185" s="21">
        <v>0.22609983206931</v>
      </c>
      <c r="G185" s="4">
        <v>0.28399999999999997</v>
      </c>
      <c r="H185" s="4">
        <v>0.222943722943723</v>
      </c>
      <c r="I185" s="4">
        <v>1.6E-2</v>
      </c>
      <c r="J185" s="4">
        <v>2.7E-2</v>
      </c>
      <c r="K185" s="5">
        <v>100</v>
      </c>
      <c r="L185" s="5">
        <v>100</v>
      </c>
      <c r="M185" s="5">
        <v>100</v>
      </c>
      <c r="N185" s="5">
        <v>100</v>
      </c>
      <c r="O185" s="2">
        <v>0.33407511202149148</v>
      </c>
      <c r="P185" s="2">
        <v>0.25224250259346004</v>
      </c>
      <c r="Q185" s="2">
        <v>1.6129381929883644E-2</v>
      </c>
      <c r="R185" s="2">
        <v>2.7371196796132015E-2</v>
      </c>
    </row>
    <row r="186" spans="1:18" x14ac:dyDescent="0.3">
      <c r="A186" s="7">
        <v>538</v>
      </c>
      <c r="B186" s="7">
        <v>346</v>
      </c>
      <c r="C186" s="7">
        <v>0</v>
      </c>
      <c r="D186" s="7">
        <v>0</v>
      </c>
      <c r="E186" s="20" t="str">
        <f t="shared" si="2"/>
        <v>00</v>
      </c>
      <c r="F186" s="21">
        <v>0.227296304324652</v>
      </c>
      <c r="G186" s="4">
        <v>0.44700000000000001</v>
      </c>
      <c r="H186" s="4">
        <v>0.39400428265524601</v>
      </c>
      <c r="I186" s="4">
        <v>2.3E-2</v>
      </c>
      <c r="J186" s="4">
        <v>2.1000000000000001E-2</v>
      </c>
      <c r="K186" s="5">
        <v>100</v>
      </c>
      <c r="L186" s="5">
        <v>100</v>
      </c>
      <c r="M186" s="5">
        <v>100</v>
      </c>
      <c r="N186" s="5">
        <v>100</v>
      </c>
      <c r="O186" s="2">
        <v>0.59239727745980242</v>
      </c>
      <c r="P186" s="2">
        <v>0.50088236002565933</v>
      </c>
      <c r="Q186" s="2">
        <v>2.3268626939354331E-2</v>
      </c>
      <c r="R186" s="2">
        <v>2.1223636451626688E-2</v>
      </c>
    </row>
    <row r="187" spans="1:18" x14ac:dyDescent="0.3">
      <c r="A187" s="7">
        <v>117</v>
      </c>
      <c r="B187" s="7">
        <v>320</v>
      </c>
      <c r="C187" s="7">
        <v>0</v>
      </c>
      <c r="D187" s="7">
        <v>0</v>
      </c>
      <c r="E187" s="20" t="str">
        <f t="shared" si="2"/>
        <v>00</v>
      </c>
      <c r="F187" s="21">
        <v>0.22829759610747999</v>
      </c>
      <c r="G187" s="4">
        <v>0.36199999999999999</v>
      </c>
      <c r="H187" s="4">
        <v>0.23980815347721801</v>
      </c>
      <c r="I187" s="4">
        <v>1.2999999999999999E-2</v>
      </c>
      <c r="J187" s="4">
        <v>0.02</v>
      </c>
      <c r="K187" s="5">
        <v>100</v>
      </c>
      <c r="L187" s="5">
        <v>100</v>
      </c>
      <c r="M187" s="5">
        <v>100</v>
      </c>
      <c r="N187" s="5">
        <v>100</v>
      </c>
      <c r="O187" s="2">
        <v>0.44941699563734716</v>
      </c>
      <c r="P187" s="2">
        <v>0.27418444792152064</v>
      </c>
      <c r="Q187" s="2">
        <v>1.3085239548655481E-2</v>
      </c>
      <c r="R187" s="2">
        <v>2.0202707317519466E-2</v>
      </c>
    </row>
    <row r="188" spans="1:18" x14ac:dyDescent="0.3">
      <c r="A188" s="7">
        <v>950</v>
      </c>
      <c r="B188" s="7">
        <v>344</v>
      </c>
      <c r="C188" s="7">
        <v>0</v>
      </c>
      <c r="D188" s="7">
        <v>0</v>
      </c>
      <c r="E188" s="20" t="str">
        <f t="shared" si="2"/>
        <v>00</v>
      </c>
      <c r="F188" s="21">
        <v>0.22993795411840201</v>
      </c>
      <c r="G188" s="4">
        <v>0.34699999999999998</v>
      </c>
      <c r="H188" s="4">
        <v>0.32285115303983197</v>
      </c>
      <c r="I188" s="4">
        <v>3.3000000000000002E-2</v>
      </c>
      <c r="J188" s="4">
        <v>3.2000000000000001E-2</v>
      </c>
      <c r="K188" s="5">
        <v>100</v>
      </c>
      <c r="L188" s="5">
        <v>100</v>
      </c>
      <c r="M188" s="5">
        <v>100</v>
      </c>
      <c r="N188" s="5">
        <v>100</v>
      </c>
      <c r="O188" s="2">
        <v>0.42617814970570594</v>
      </c>
      <c r="P188" s="2">
        <v>0.38986416766568416</v>
      </c>
      <c r="Q188" s="2">
        <v>3.3556783528842754E-2</v>
      </c>
      <c r="R188" s="2">
        <v>3.2523191705560062E-2</v>
      </c>
    </row>
    <row r="189" spans="1:18" x14ac:dyDescent="0.3">
      <c r="A189" s="7">
        <v>315</v>
      </c>
      <c r="B189" s="7">
        <v>320</v>
      </c>
      <c r="C189" s="7">
        <v>0</v>
      </c>
      <c r="D189" s="7">
        <v>0</v>
      </c>
      <c r="E189" s="20" t="str">
        <f t="shared" si="2"/>
        <v>00</v>
      </c>
      <c r="F189" s="21">
        <v>0.23045647697757901</v>
      </c>
      <c r="G189" s="4">
        <v>0.26</v>
      </c>
      <c r="H189" s="4">
        <v>0.207792207792208</v>
      </c>
      <c r="I189" s="4">
        <v>1.4999999999999999E-2</v>
      </c>
      <c r="J189" s="4">
        <v>8.9999999999999993E-3</v>
      </c>
      <c r="K189" s="5">
        <v>100</v>
      </c>
      <c r="L189" s="5">
        <v>100</v>
      </c>
      <c r="M189" s="5">
        <v>100</v>
      </c>
      <c r="N189" s="5">
        <v>100</v>
      </c>
      <c r="O189" s="2">
        <v>0.30110509278392161</v>
      </c>
      <c r="P189" s="2">
        <v>0.23293155768037282</v>
      </c>
      <c r="Q189" s="2">
        <v>1.5113637810048184E-2</v>
      </c>
      <c r="R189" s="2">
        <v>9.0407446521490707E-3</v>
      </c>
    </row>
    <row r="190" spans="1:18" x14ac:dyDescent="0.3">
      <c r="A190" s="7">
        <v>96</v>
      </c>
      <c r="B190" s="7">
        <v>329</v>
      </c>
      <c r="C190" s="7">
        <v>0</v>
      </c>
      <c r="D190" s="7">
        <v>0</v>
      </c>
      <c r="E190" s="20" t="str">
        <f t="shared" si="2"/>
        <v>00</v>
      </c>
      <c r="F190" s="21">
        <v>0.23116469781302301</v>
      </c>
      <c r="G190" s="4">
        <v>0.29399999999999998</v>
      </c>
      <c r="H190" s="4">
        <v>0.24516129032258099</v>
      </c>
      <c r="I190" s="4">
        <v>1.0999999999999999E-2</v>
      </c>
      <c r="J190" s="4">
        <v>1.2E-2</v>
      </c>
      <c r="K190" s="5">
        <v>100</v>
      </c>
      <c r="L190" s="5">
        <v>100</v>
      </c>
      <c r="M190" s="5">
        <v>100</v>
      </c>
      <c r="N190" s="5">
        <v>100</v>
      </c>
      <c r="O190" s="2">
        <v>0.34814004148889505</v>
      </c>
      <c r="P190" s="2">
        <v>0.28125118212149103</v>
      </c>
      <c r="Q190" s="2">
        <v>1.1060947359424948E-2</v>
      </c>
      <c r="R190" s="2">
        <v>1.2072581234269249E-2</v>
      </c>
    </row>
    <row r="191" spans="1:18" x14ac:dyDescent="0.3">
      <c r="A191" s="7">
        <v>483</v>
      </c>
      <c r="B191" s="7">
        <v>354</v>
      </c>
      <c r="C191" s="7">
        <v>0</v>
      </c>
      <c r="D191" s="7">
        <v>0</v>
      </c>
      <c r="E191" s="20" t="str">
        <f t="shared" si="2"/>
        <v>00</v>
      </c>
      <c r="F191" s="21">
        <v>0.232695765919055</v>
      </c>
      <c r="G191" s="4">
        <v>0.67700000000000005</v>
      </c>
      <c r="H191" s="4">
        <v>0.63474387527839604</v>
      </c>
      <c r="I191" s="4">
        <v>2.1000000000000001E-2</v>
      </c>
      <c r="J191" s="4">
        <v>2.7E-2</v>
      </c>
      <c r="K191" s="5">
        <v>0</v>
      </c>
      <c r="L191" s="5">
        <v>0</v>
      </c>
      <c r="M191" s="5">
        <v>100</v>
      </c>
      <c r="N191" s="5">
        <v>100</v>
      </c>
      <c r="O191" s="2">
        <v>1.1301029557594806</v>
      </c>
      <c r="P191" s="2">
        <v>1.0071564599180547</v>
      </c>
      <c r="Q191" s="2">
        <v>2.1223636451626688E-2</v>
      </c>
      <c r="R191" s="2">
        <v>2.7371196796132015E-2</v>
      </c>
    </row>
    <row r="192" spans="1:18" x14ac:dyDescent="0.3">
      <c r="A192" s="7">
        <v>589</v>
      </c>
      <c r="B192" s="7">
        <v>313</v>
      </c>
      <c r="C192" s="7">
        <v>0</v>
      </c>
      <c r="D192" s="7">
        <v>0</v>
      </c>
      <c r="E192" s="20" t="str">
        <f t="shared" si="2"/>
        <v>00</v>
      </c>
      <c r="F192" s="21">
        <v>0.23308160974921599</v>
      </c>
      <c r="G192" s="4">
        <v>0.54</v>
      </c>
      <c r="H192" s="4">
        <v>0.46436781609195399</v>
      </c>
      <c r="I192" s="4">
        <v>8.9999999999999993E-3</v>
      </c>
      <c r="J192" s="4">
        <v>2.1999999999999999E-2</v>
      </c>
      <c r="K192" s="5">
        <v>0</v>
      </c>
      <c r="L192" s="5">
        <v>100</v>
      </c>
      <c r="M192" s="5">
        <v>100</v>
      </c>
      <c r="N192" s="5">
        <v>100</v>
      </c>
      <c r="O192" s="2">
        <v>0.7765287894989964</v>
      </c>
      <c r="P192" s="2">
        <v>0.62430757752298349</v>
      </c>
      <c r="Q192" s="2">
        <v>9.0407446521490707E-3</v>
      </c>
      <c r="R192" s="2">
        <v>2.2245608947319737E-2</v>
      </c>
    </row>
    <row r="193" spans="1:18" x14ac:dyDescent="0.3">
      <c r="A193" s="7">
        <v>169</v>
      </c>
      <c r="B193" s="7">
        <v>342</v>
      </c>
      <c r="C193" s="7">
        <v>0</v>
      </c>
      <c r="D193" s="7">
        <v>0</v>
      </c>
      <c r="E193" s="20" t="str">
        <f t="shared" si="2"/>
        <v>00</v>
      </c>
      <c r="F193" s="21">
        <v>0.23418078367839101</v>
      </c>
      <c r="G193" s="4">
        <v>0.45600000000000002</v>
      </c>
      <c r="H193" s="4">
        <v>0.43468950749464702</v>
      </c>
      <c r="I193" s="4">
        <v>2.4E-2</v>
      </c>
      <c r="J193" s="4">
        <v>2.1999999999999999E-2</v>
      </c>
      <c r="K193" s="5">
        <v>100</v>
      </c>
      <c r="L193" s="5">
        <v>100</v>
      </c>
      <c r="M193" s="5">
        <v>100</v>
      </c>
      <c r="N193" s="5">
        <v>100</v>
      </c>
      <c r="O193" s="2">
        <v>0.60880603212619433</v>
      </c>
      <c r="P193" s="2">
        <v>0.57038015452258184</v>
      </c>
      <c r="Q193" s="2">
        <v>2.4292692569044587E-2</v>
      </c>
      <c r="R193" s="2">
        <v>2.2245608947319737E-2</v>
      </c>
    </row>
    <row r="194" spans="1:18" x14ac:dyDescent="0.3">
      <c r="A194" s="7">
        <v>906</v>
      </c>
      <c r="B194" s="7">
        <v>405</v>
      </c>
      <c r="C194" s="7">
        <v>0</v>
      </c>
      <c r="D194" s="7">
        <v>0</v>
      </c>
      <c r="E194" s="20" t="str">
        <f t="shared" ref="E194:E257" si="3">_xlfn.CONCAT(C194,D194)</f>
        <v>00</v>
      </c>
      <c r="F194" s="21">
        <v>0.235240228091149</v>
      </c>
      <c r="G194" s="4">
        <v>0.31</v>
      </c>
      <c r="H194" s="4">
        <v>0.26483050847457601</v>
      </c>
      <c r="I194" s="4">
        <v>1.7999999999999999E-2</v>
      </c>
      <c r="J194" s="4">
        <v>0.02</v>
      </c>
      <c r="K194" s="5">
        <v>100</v>
      </c>
      <c r="L194" s="5">
        <v>100</v>
      </c>
      <c r="M194" s="5">
        <v>100</v>
      </c>
      <c r="N194" s="5">
        <v>100</v>
      </c>
      <c r="O194" s="2">
        <v>0.37106368139083207</v>
      </c>
      <c r="P194" s="2">
        <v>0.30765420563869583</v>
      </c>
      <c r="Q194" s="2">
        <v>1.816397062767118E-2</v>
      </c>
      <c r="R194" s="2">
        <v>2.0202707317519466E-2</v>
      </c>
    </row>
    <row r="195" spans="1:18" x14ac:dyDescent="0.3">
      <c r="A195" s="7">
        <v>80</v>
      </c>
      <c r="B195" s="7">
        <v>324</v>
      </c>
      <c r="C195" s="7">
        <v>0</v>
      </c>
      <c r="D195" s="7">
        <v>0</v>
      </c>
      <c r="E195" s="20" t="str">
        <f t="shared" si="3"/>
        <v>00</v>
      </c>
      <c r="F195" s="21">
        <v>0.23627857293813601</v>
      </c>
      <c r="G195" s="4">
        <v>0.27400000000000002</v>
      </c>
      <c r="H195" s="4">
        <v>0.204301075268817</v>
      </c>
      <c r="I195" s="4">
        <v>3.1E-2</v>
      </c>
      <c r="J195" s="4">
        <v>2.7E-2</v>
      </c>
      <c r="K195" s="5">
        <v>100</v>
      </c>
      <c r="L195" s="5">
        <v>100</v>
      </c>
      <c r="M195" s="5">
        <v>100</v>
      </c>
      <c r="N195" s="5">
        <v>100</v>
      </c>
      <c r="O195" s="2">
        <v>0.32020526415734102</v>
      </c>
      <c r="P195" s="2">
        <v>0.22853439994908595</v>
      </c>
      <c r="Q195" s="2">
        <v>3.1490667091370848E-2</v>
      </c>
      <c r="R195" s="2">
        <v>2.7371196796132015E-2</v>
      </c>
    </row>
    <row r="196" spans="1:18" x14ac:dyDescent="0.3">
      <c r="A196" s="7">
        <v>773</v>
      </c>
      <c r="B196" s="7">
        <v>337</v>
      </c>
      <c r="C196" s="7">
        <v>0</v>
      </c>
      <c r="D196" s="7">
        <v>0</v>
      </c>
      <c r="E196" s="20" t="str">
        <f t="shared" si="3"/>
        <v>00</v>
      </c>
      <c r="F196" s="21">
        <v>0.236873357498467</v>
      </c>
      <c r="G196" s="4">
        <v>0.16500000000000001</v>
      </c>
      <c r="H196" s="4">
        <v>0.15527950310558999</v>
      </c>
      <c r="I196" s="4">
        <v>1.9E-2</v>
      </c>
      <c r="J196" s="4">
        <v>1.7999999999999999E-2</v>
      </c>
      <c r="K196" s="5">
        <v>100</v>
      </c>
      <c r="L196" s="5">
        <v>100</v>
      </c>
      <c r="M196" s="5">
        <v>100</v>
      </c>
      <c r="N196" s="5">
        <v>100</v>
      </c>
      <c r="O196" s="2">
        <v>0.18032355413128162</v>
      </c>
      <c r="P196" s="2">
        <v>0.16874947924841094</v>
      </c>
      <c r="Q196" s="2">
        <v>1.9182819416773987E-2</v>
      </c>
      <c r="R196" s="2">
        <v>1.816397062767118E-2</v>
      </c>
    </row>
    <row r="197" spans="1:18" x14ac:dyDescent="0.3">
      <c r="A197" s="7">
        <v>304</v>
      </c>
      <c r="B197" s="7">
        <v>321</v>
      </c>
      <c r="C197" s="7">
        <v>0</v>
      </c>
      <c r="D197" s="7">
        <v>0</v>
      </c>
      <c r="E197" s="20" t="str">
        <f t="shared" si="3"/>
        <v>00</v>
      </c>
      <c r="F197" s="21">
        <v>0.23789578866326999</v>
      </c>
      <c r="G197" s="4">
        <v>0.42799999999999999</v>
      </c>
      <c r="H197" s="4">
        <v>0.30370370370370398</v>
      </c>
      <c r="I197" s="4">
        <v>0.02</v>
      </c>
      <c r="J197" s="4">
        <v>1.6E-2</v>
      </c>
      <c r="K197" s="5">
        <v>100</v>
      </c>
      <c r="L197" s="5">
        <v>100</v>
      </c>
      <c r="M197" s="5">
        <v>100</v>
      </c>
      <c r="N197" s="5">
        <v>100</v>
      </c>
      <c r="O197" s="2">
        <v>0.55861628760233906</v>
      </c>
      <c r="P197" s="2">
        <v>0.36197999616842602</v>
      </c>
      <c r="Q197" s="2">
        <v>2.0202707317519466E-2</v>
      </c>
      <c r="R197" s="2">
        <v>1.6129381929883644E-2</v>
      </c>
    </row>
    <row r="198" spans="1:18" x14ac:dyDescent="0.3">
      <c r="A198" s="7">
        <v>90</v>
      </c>
      <c r="B198" s="7">
        <v>311</v>
      </c>
      <c r="C198" s="7">
        <v>0</v>
      </c>
      <c r="D198" s="7">
        <v>0</v>
      </c>
      <c r="E198" s="20" t="str">
        <f t="shared" si="3"/>
        <v>00</v>
      </c>
      <c r="F198" s="21">
        <v>0.23827050834618799</v>
      </c>
      <c r="G198" s="4">
        <v>0.216</v>
      </c>
      <c r="H198" s="4">
        <v>0.167714884696017</v>
      </c>
      <c r="I198" s="4">
        <v>2.3E-2</v>
      </c>
      <c r="J198" s="4">
        <v>3.9E-2</v>
      </c>
      <c r="K198" s="5">
        <v>100</v>
      </c>
      <c r="L198" s="5">
        <v>100</v>
      </c>
      <c r="M198" s="5">
        <v>100</v>
      </c>
      <c r="N198" s="5">
        <v>100</v>
      </c>
      <c r="O198" s="2">
        <v>0.24334625863172918</v>
      </c>
      <c r="P198" s="2">
        <v>0.18358021020115112</v>
      </c>
      <c r="Q198" s="2">
        <v>2.3268626939354331E-2</v>
      </c>
      <c r="R198" s="2">
        <v>3.9780870011844598E-2</v>
      </c>
    </row>
    <row r="199" spans="1:18" x14ac:dyDescent="0.3">
      <c r="A199" s="7">
        <v>847</v>
      </c>
      <c r="B199" s="7">
        <v>318</v>
      </c>
      <c r="C199" s="7">
        <v>0</v>
      </c>
      <c r="D199" s="7">
        <v>0</v>
      </c>
      <c r="E199" s="20" t="str">
        <f t="shared" si="3"/>
        <v>00</v>
      </c>
      <c r="F199" s="21">
        <v>0.24296281155334001</v>
      </c>
      <c r="G199" s="4">
        <v>0.34200000000000003</v>
      </c>
      <c r="H199" s="4">
        <v>0.26503340757238297</v>
      </c>
      <c r="I199" s="4">
        <v>1.4999999999999999E-2</v>
      </c>
      <c r="J199" s="4">
        <v>1.2999999999999999E-2</v>
      </c>
      <c r="K199" s="5">
        <v>100</v>
      </c>
      <c r="L199" s="5">
        <v>100</v>
      </c>
      <c r="M199" s="5">
        <v>100</v>
      </c>
      <c r="N199" s="5">
        <v>100</v>
      </c>
      <c r="O199" s="2">
        <v>0.41855034765681998</v>
      </c>
      <c r="P199" s="2">
        <v>0.3079302332817283</v>
      </c>
      <c r="Q199" s="2">
        <v>1.5113637810048184E-2</v>
      </c>
      <c r="R199" s="2">
        <v>1.3085239548655481E-2</v>
      </c>
    </row>
    <row r="200" spans="1:18" x14ac:dyDescent="0.3">
      <c r="A200" s="7">
        <v>824</v>
      </c>
      <c r="B200" s="7">
        <v>325</v>
      </c>
      <c r="C200" s="7">
        <v>0</v>
      </c>
      <c r="D200" s="7">
        <v>0</v>
      </c>
      <c r="E200" s="20" t="str">
        <f t="shared" si="3"/>
        <v>00</v>
      </c>
      <c r="F200" s="21">
        <v>0.24441836374228201</v>
      </c>
      <c r="G200" s="4">
        <v>0.32500000000000001</v>
      </c>
      <c r="H200" s="4">
        <v>0.27157894736842098</v>
      </c>
      <c r="I200" s="4">
        <v>2.5000000000000001E-2</v>
      </c>
      <c r="J200" s="4">
        <v>1.0999999999999999E-2</v>
      </c>
      <c r="K200" s="5">
        <v>100</v>
      </c>
      <c r="L200" s="5">
        <v>100</v>
      </c>
      <c r="M200" s="5">
        <v>100</v>
      </c>
      <c r="N200" s="5">
        <v>100</v>
      </c>
      <c r="O200" s="2">
        <v>0.39304258810960718</v>
      </c>
      <c r="P200" s="2">
        <v>0.31687602897691675</v>
      </c>
      <c r="Q200" s="2">
        <v>2.5317807984289897E-2</v>
      </c>
      <c r="R200" s="2">
        <v>1.1060947359424948E-2</v>
      </c>
    </row>
    <row r="201" spans="1:18" x14ac:dyDescent="0.3">
      <c r="A201" s="7">
        <v>712</v>
      </c>
      <c r="B201" s="7">
        <v>331</v>
      </c>
      <c r="C201" s="7">
        <v>0</v>
      </c>
      <c r="D201" s="7">
        <v>0</v>
      </c>
      <c r="E201" s="20" t="str">
        <f t="shared" si="3"/>
        <v>00</v>
      </c>
      <c r="F201" s="21">
        <v>0.24554267791027001</v>
      </c>
      <c r="G201" s="4">
        <v>0.27100000000000002</v>
      </c>
      <c r="H201" s="4">
        <v>0.25933609958506199</v>
      </c>
      <c r="I201" s="4">
        <v>1.4999999999999999E-2</v>
      </c>
      <c r="J201" s="4">
        <v>2.4E-2</v>
      </c>
      <c r="K201" s="5">
        <v>100</v>
      </c>
      <c r="L201" s="5">
        <v>100</v>
      </c>
      <c r="M201" s="5">
        <v>100</v>
      </c>
      <c r="N201" s="5">
        <v>100</v>
      </c>
      <c r="O201" s="2">
        <v>0.31608154697347896</v>
      </c>
      <c r="P201" s="2">
        <v>0.30020833227096089</v>
      </c>
      <c r="Q201" s="2">
        <v>1.5113637810048184E-2</v>
      </c>
      <c r="R201" s="2">
        <v>2.4292692569044587E-2</v>
      </c>
    </row>
    <row r="202" spans="1:18" x14ac:dyDescent="0.3">
      <c r="A202" s="7">
        <v>747</v>
      </c>
      <c r="B202" s="7">
        <v>333</v>
      </c>
      <c r="C202" s="7">
        <v>0</v>
      </c>
      <c r="D202" s="7">
        <v>0</v>
      </c>
      <c r="E202" s="20" t="str">
        <f t="shared" si="3"/>
        <v>00</v>
      </c>
      <c r="F202" s="21">
        <v>0.24577649345508501</v>
      </c>
      <c r="G202" s="4">
        <v>0.45200000000000001</v>
      </c>
      <c r="H202" s="4">
        <v>0.40042826552462502</v>
      </c>
      <c r="I202" s="4">
        <v>2.5000000000000001E-2</v>
      </c>
      <c r="J202" s="4">
        <v>1.4999999999999999E-2</v>
      </c>
      <c r="K202" s="5">
        <v>100</v>
      </c>
      <c r="L202" s="5">
        <v>100</v>
      </c>
      <c r="M202" s="5">
        <v>100</v>
      </c>
      <c r="N202" s="5">
        <v>100</v>
      </c>
      <c r="O202" s="2">
        <v>0.60147999203412139</v>
      </c>
      <c r="P202" s="2">
        <v>0.51153965449964722</v>
      </c>
      <c r="Q202" s="2">
        <v>2.5317807984289897E-2</v>
      </c>
      <c r="R202" s="2">
        <v>1.5113637810048184E-2</v>
      </c>
    </row>
    <row r="203" spans="1:18" x14ac:dyDescent="0.3">
      <c r="A203" s="7">
        <v>31</v>
      </c>
      <c r="B203" s="7">
        <v>328</v>
      </c>
      <c r="C203" s="7">
        <v>0</v>
      </c>
      <c r="D203" s="7">
        <v>0</v>
      </c>
      <c r="E203" s="20" t="str">
        <f t="shared" si="3"/>
        <v>00</v>
      </c>
      <c r="F203" s="21">
        <v>0.246017457119901</v>
      </c>
      <c r="G203" s="4">
        <v>0.20799999999999999</v>
      </c>
      <c r="H203" s="4">
        <v>0.22312373225152099</v>
      </c>
      <c r="I203" s="4">
        <v>1.7999999999999999E-2</v>
      </c>
      <c r="J203" s="4">
        <v>0.02</v>
      </c>
      <c r="K203" s="5">
        <v>100</v>
      </c>
      <c r="L203" s="5">
        <v>100</v>
      </c>
      <c r="M203" s="5">
        <v>100</v>
      </c>
      <c r="N203" s="5">
        <v>100</v>
      </c>
      <c r="O203" s="2">
        <v>0.23319388716771114</v>
      </c>
      <c r="P203" s="2">
        <v>0.25247418486204365</v>
      </c>
      <c r="Q203" s="2">
        <v>1.816397062767118E-2</v>
      </c>
      <c r="R203" s="2">
        <v>2.0202707317519466E-2</v>
      </c>
    </row>
    <row r="204" spans="1:18" x14ac:dyDescent="0.3">
      <c r="A204" s="7">
        <v>77</v>
      </c>
      <c r="B204" s="7">
        <v>313</v>
      </c>
      <c r="C204" s="7">
        <v>0</v>
      </c>
      <c r="D204" s="7">
        <v>0</v>
      </c>
      <c r="E204" s="20" t="str">
        <f t="shared" si="3"/>
        <v>00</v>
      </c>
      <c r="F204" s="21">
        <v>0.249432368440341</v>
      </c>
      <c r="G204" s="4">
        <v>0.50600000000000001</v>
      </c>
      <c r="H204" s="4">
        <v>0.42888888888888899</v>
      </c>
      <c r="I204" s="4">
        <v>2.9000000000000001E-2</v>
      </c>
      <c r="J204" s="4">
        <v>1.9E-2</v>
      </c>
      <c r="K204" s="5">
        <v>0</v>
      </c>
      <c r="L204" s="5">
        <v>100</v>
      </c>
      <c r="M204" s="5">
        <v>100</v>
      </c>
      <c r="N204" s="5">
        <v>100</v>
      </c>
      <c r="O204" s="2">
        <v>0.70521976179421453</v>
      </c>
      <c r="P204" s="2">
        <v>0.56017149786914577</v>
      </c>
      <c r="Q204" s="2">
        <v>2.9428810690812168E-2</v>
      </c>
      <c r="R204" s="2">
        <v>1.9182819416773987E-2</v>
      </c>
    </row>
    <row r="205" spans="1:18" x14ac:dyDescent="0.3">
      <c r="A205" s="7">
        <v>671</v>
      </c>
      <c r="B205" s="7">
        <v>336</v>
      </c>
      <c r="C205" s="7">
        <v>0</v>
      </c>
      <c r="D205" s="7">
        <v>0</v>
      </c>
      <c r="E205" s="20" t="str">
        <f t="shared" si="3"/>
        <v>00</v>
      </c>
      <c r="F205" s="21">
        <v>0.25238452156228403</v>
      </c>
      <c r="G205" s="4">
        <v>0.45200000000000001</v>
      </c>
      <c r="H205" s="4">
        <v>0.384074941451991</v>
      </c>
      <c r="I205" s="4">
        <v>1.4999999999999999E-2</v>
      </c>
      <c r="J205" s="4">
        <v>1.6E-2</v>
      </c>
      <c r="K205" s="5">
        <v>100</v>
      </c>
      <c r="L205" s="5">
        <v>100</v>
      </c>
      <c r="M205" s="5">
        <v>100</v>
      </c>
      <c r="N205" s="5">
        <v>100</v>
      </c>
      <c r="O205" s="2">
        <v>0.60147999203412139</v>
      </c>
      <c r="P205" s="2">
        <v>0.48462998105086069</v>
      </c>
      <c r="Q205" s="2">
        <v>1.5113637810048184E-2</v>
      </c>
      <c r="R205" s="2">
        <v>1.6129381929883644E-2</v>
      </c>
    </row>
    <row r="206" spans="1:18" x14ac:dyDescent="0.3">
      <c r="A206" s="7">
        <v>362</v>
      </c>
      <c r="B206" s="7">
        <v>310</v>
      </c>
      <c r="C206" s="7">
        <v>0</v>
      </c>
      <c r="D206" s="7">
        <v>0</v>
      </c>
      <c r="E206" s="20" t="str">
        <f t="shared" si="3"/>
        <v>00</v>
      </c>
      <c r="F206" s="21">
        <v>0.25238799227798397</v>
      </c>
      <c r="G206" s="4">
        <v>0.46400000000000002</v>
      </c>
      <c r="H206" s="4">
        <v>0.400890868596882</v>
      </c>
      <c r="I206" s="4">
        <v>1.7000000000000001E-2</v>
      </c>
      <c r="J206" s="4">
        <v>2.5999999999999999E-2</v>
      </c>
      <c r="K206" s="5">
        <v>100</v>
      </c>
      <c r="L206" s="5">
        <v>100</v>
      </c>
      <c r="M206" s="5">
        <v>100</v>
      </c>
      <c r="N206" s="5">
        <v>100</v>
      </c>
      <c r="O206" s="2">
        <v>0.62362111791133501</v>
      </c>
      <c r="P206" s="2">
        <v>0.51231150814041515</v>
      </c>
      <c r="Q206" s="2">
        <v>1.7146158834970514E-2</v>
      </c>
      <c r="R206" s="2">
        <v>2.6343975339601977E-2</v>
      </c>
    </row>
    <row r="207" spans="1:18" x14ac:dyDescent="0.3">
      <c r="A207" s="7">
        <v>936</v>
      </c>
      <c r="B207" s="7">
        <v>323</v>
      </c>
      <c r="C207" s="7">
        <v>0</v>
      </c>
      <c r="D207" s="7">
        <v>0</v>
      </c>
      <c r="E207" s="20" t="str">
        <f t="shared" si="3"/>
        <v>00</v>
      </c>
      <c r="F207" s="21">
        <v>0.26171614262007498</v>
      </c>
      <c r="G207" s="4">
        <v>0.39300000000000002</v>
      </c>
      <c r="H207" s="4">
        <v>0.27014218009478702</v>
      </c>
      <c r="I207" s="4">
        <v>0.02</v>
      </c>
      <c r="J207" s="4">
        <v>2.3E-2</v>
      </c>
      <c r="K207" s="5">
        <v>100</v>
      </c>
      <c r="L207" s="5">
        <v>100</v>
      </c>
      <c r="M207" s="5">
        <v>100</v>
      </c>
      <c r="N207" s="5">
        <v>100</v>
      </c>
      <c r="O207" s="2">
        <v>0.4992264879226388</v>
      </c>
      <c r="P207" s="2">
        <v>0.31490553106243768</v>
      </c>
      <c r="Q207" s="2">
        <v>2.0202707317519466E-2</v>
      </c>
      <c r="R207" s="2">
        <v>2.3268626939354331E-2</v>
      </c>
    </row>
    <row r="208" spans="1:18" x14ac:dyDescent="0.3">
      <c r="A208" s="7">
        <v>691</v>
      </c>
      <c r="B208" s="7">
        <v>328</v>
      </c>
      <c r="C208" s="7">
        <v>0</v>
      </c>
      <c r="D208" s="7">
        <v>0</v>
      </c>
      <c r="E208" s="20" t="str">
        <f t="shared" si="3"/>
        <v>00</v>
      </c>
      <c r="F208" s="21">
        <v>0.26176718397183901</v>
      </c>
      <c r="G208" s="4">
        <v>0.41199999999999998</v>
      </c>
      <c r="H208" s="4">
        <v>0.33771929824561397</v>
      </c>
      <c r="I208" s="4">
        <v>2.8000000000000001E-2</v>
      </c>
      <c r="J208" s="4">
        <v>3.2000000000000001E-2</v>
      </c>
      <c r="K208" s="5">
        <v>100</v>
      </c>
      <c r="L208" s="5">
        <v>100</v>
      </c>
      <c r="M208" s="5">
        <v>100</v>
      </c>
      <c r="N208" s="5">
        <v>100</v>
      </c>
      <c r="O208" s="2">
        <v>0.53102833108351</v>
      </c>
      <c r="P208" s="2">
        <v>0.41206579213951633</v>
      </c>
      <c r="Q208" s="2">
        <v>2.8399474521698002E-2</v>
      </c>
      <c r="R208" s="2">
        <v>3.2523191705560062E-2</v>
      </c>
    </row>
    <row r="209" spans="1:18" x14ac:dyDescent="0.3">
      <c r="A209" s="7">
        <v>449</v>
      </c>
      <c r="B209" s="7">
        <v>309</v>
      </c>
      <c r="C209" s="7">
        <v>0</v>
      </c>
      <c r="D209" s="7">
        <v>0</v>
      </c>
      <c r="E209" s="20" t="str">
        <f t="shared" si="3"/>
        <v>00</v>
      </c>
      <c r="F209" s="21">
        <v>0.26405347220397901</v>
      </c>
      <c r="G209" s="4">
        <v>0.188</v>
      </c>
      <c r="H209" s="4">
        <v>0.17177914110429399</v>
      </c>
      <c r="I209" s="4">
        <v>1.9E-2</v>
      </c>
      <c r="J209" s="4">
        <v>1.2E-2</v>
      </c>
      <c r="K209" s="5">
        <v>100</v>
      </c>
      <c r="L209" s="5">
        <v>100</v>
      </c>
      <c r="M209" s="5">
        <v>100</v>
      </c>
      <c r="N209" s="5">
        <v>100</v>
      </c>
      <c r="O209" s="2">
        <v>0.20825493882045903</v>
      </c>
      <c r="P209" s="2">
        <v>0.18847542236833223</v>
      </c>
      <c r="Q209" s="2">
        <v>1.9182819416773987E-2</v>
      </c>
      <c r="R209" s="2">
        <v>1.2072581234269249E-2</v>
      </c>
    </row>
    <row r="210" spans="1:18" x14ac:dyDescent="0.3">
      <c r="A210" s="7">
        <v>347</v>
      </c>
      <c r="B210" s="7">
        <v>303</v>
      </c>
      <c r="C210" s="7">
        <v>0</v>
      </c>
      <c r="D210" s="7">
        <v>0</v>
      </c>
      <c r="E210" s="20" t="str">
        <f t="shared" si="3"/>
        <v>00</v>
      </c>
      <c r="F210" s="21">
        <v>0.26421553673961401</v>
      </c>
      <c r="G210" s="4">
        <v>0.34300000000000003</v>
      </c>
      <c r="H210" s="4">
        <v>0.298097251585624</v>
      </c>
      <c r="I210" s="4">
        <v>2.1000000000000001E-2</v>
      </c>
      <c r="J210" s="4">
        <v>1.9E-2</v>
      </c>
      <c r="K210" s="5">
        <v>100</v>
      </c>
      <c r="L210" s="5">
        <v>100</v>
      </c>
      <c r="M210" s="5">
        <v>100</v>
      </c>
      <c r="N210" s="5">
        <v>100</v>
      </c>
      <c r="O210" s="2">
        <v>0.42007126049752652</v>
      </c>
      <c r="P210" s="2">
        <v>0.35396041957544483</v>
      </c>
      <c r="Q210" s="2">
        <v>2.1223636451626688E-2</v>
      </c>
      <c r="R210" s="2">
        <v>1.9182819416773987E-2</v>
      </c>
    </row>
    <row r="211" spans="1:18" x14ac:dyDescent="0.3">
      <c r="A211" s="7">
        <v>789</v>
      </c>
      <c r="B211" s="7">
        <v>296</v>
      </c>
      <c r="C211" s="7">
        <v>0</v>
      </c>
      <c r="D211" s="7">
        <v>0</v>
      </c>
      <c r="E211" s="20" t="str">
        <f t="shared" si="3"/>
        <v>00</v>
      </c>
      <c r="F211" s="21">
        <v>0.26530422027098699</v>
      </c>
      <c r="G211" s="4">
        <v>0.36399999999999999</v>
      </c>
      <c r="H211" s="4">
        <v>0.32385120350109398</v>
      </c>
      <c r="I211" s="4">
        <v>0.22</v>
      </c>
      <c r="J211" s="4">
        <v>0.21</v>
      </c>
      <c r="K211" s="5">
        <v>100</v>
      </c>
      <c r="L211" s="5">
        <v>100</v>
      </c>
      <c r="M211" s="5">
        <v>100</v>
      </c>
      <c r="N211" s="5">
        <v>100</v>
      </c>
      <c r="O211" s="2">
        <v>0.45255671564201488</v>
      </c>
      <c r="P211" s="2">
        <v>0.39134211399645907</v>
      </c>
      <c r="Q211" s="2">
        <v>0.24846135929849961</v>
      </c>
      <c r="R211" s="2">
        <v>0.23572233352106983</v>
      </c>
    </row>
    <row r="212" spans="1:18" x14ac:dyDescent="0.3">
      <c r="A212" s="7">
        <v>953</v>
      </c>
      <c r="B212" s="7">
        <v>343</v>
      </c>
      <c r="C212" s="7">
        <v>0</v>
      </c>
      <c r="D212" s="7">
        <v>0</v>
      </c>
      <c r="E212" s="20" t="str">
        <f t="shared" si="3"/>
        <v>00</v>
      </c>
      <c r="F212" s="21">
        <v>0.26816974062121901</v>
      </c>
      <c r="G212" s="4">
        <v>0.24299999999999999</v>
      </c>
      <c r="H212" s="4">
        <v>0.208677685950413</v>
      </c>
      <c r="I212" s="4">
        <v>3.2000000000000001E-2</v>
      </c>
      <c r="J212" s="4">
        <v>2.4E-2</v>
      </c>
      <c r="K212" s="5">
        <v>100</v>
      </c>
      <c r="L212" s="5">
        <v>100</v>
      </c>
      <c r="M212" s="5">
        <v>100</v>
      </c>
      <c r="N212" s="5">
        <v>100</v>
      </c>
      <c r="O212" s="2">
        <v>0.27839202554468828</v>
      </c>
      <c r="P212" s="2">
        <v>0.23404991753598547</v>
      </c>
      <c r="Q212" s="2">
        <v>3.2523191705560062E-2</v>
      </c>
      <c r="R212" s="2">
        <v>2.4292692569044587E-2</v>
      </c>
    </row>
    <row r="213" spans="1:18" x14ac:dyDescent="0.3">
      <c r="A213" s="7">
        <v>909</v>
      </c>
      <c r="B213" s="7">
        <v>294</v>
      </c>
      <c r="C213" s="7">
        <v>0</v>
      </c>
      <c r="D213" s="7">
        <v>0</v>
      </c>
      <c r="E213" s="20" t="str">
        <f t="shared" si="3"/>
        <v>00</v>
      </c>
      <c r="F213" s="21">
        <v>0.27631979789206401</v>
      </c>
      <c r="G213" s="4">
        <v>0.35199999999999998</v>
      </c>
      <c r="H213" s="4">
        <v>0.328512396694215</v>
      </c>
      <c r="I213" s="4">
        <v>1.7000000000000001E-2</v>
      </c>
      <c r="J213" s="4">
        <v>2.1000000000000001E-2</v>
      </c>
      <c r="K213" s="5">
        <v>100</v>
      </c>
      <c r="L213" s="5">
        <v>100</v>
      </c>
      <c r="M213" s="5">
        <v>100</v>
      </c>
      <c r="N213" s="5">
        <v>100</v>
      </c>
      <c r="O213" s="2">
        <v>0.43386458262986233</v>
      </c>
      <c r="P213" s="2">
        <v>0.39825972438689433</v>
      </c>
      <c r="Q213" s="2">
        <v>1.7146158834970514E-2</v>
      </c>
      <c r="R213" s="2">
        <v>2.1223636451626688E-2</v>
      </c>
    </row>
    <row r="214" spans="1:18" x14ac:dyDescent="0.3">
      <c r="A214" s="7">
        <v>4</v>
      </c>
      <c r="B214" s="7">
        <v>326</v>
      </c>
      <c r="C214" s="7">
        <v>0</v>
      </c>
      <c r="D214" s="7">
        <v>0</v>
      </c>
      <c r="E214" s="20" t="str">
        <f t="shared" si="3"/>
        <v>00</v>
      </c>
      <c r="F214" s="21">
        <v>0.276743387763489</v>
      </c>
      <c r="G214" s="4">
        <v>0.41699999999999998</v>
      </c>
      <c r="H214" s="4">
        <v>0.32151300236406599</v>
      </c>
      <c r="I214" s="4">
        <v>2.1000000000000001E-2</v>
      </c>
      <c r="J214" s="4">
        <v>1.9E-2</v>
      </c>
      <c r="K214" s="5">
        <v>100</v>
      </c>
      <c r="L214" s="5">
        <v>100</v>
      </c>
      <c r="M214" s="5">
        <v>100</v>
      </c>
      <c r="N214" s="5">
        <v>100</v>
      </c>
      <c r="O214" s="2">
        <v>0.53956809263164474</v>
      </c>
      <c r="P214" s="2">
        <v>0.38788996328665654</v>
      </c>
      <c r="Q214" s="2">
        <v>2.1223636451626688E-2</v>
      </c>
      <c r="R214" s="2">
        <v>1.9182819416773987E-2</v>
      </c>
    </row>
    <row r="215" spans="1:18" x14ac:dyDescent="0.3">
      <c r="A215" s="7">
        <v>722</v>
      </c>
      <c r="B215" s="7">
        <v>299</v>
      </c>
      <c r="C215" s="7">
        <v>0</v>
      </c>
      <c r="D215" s="7">
        <v>0</v>
      </c>
      <c r="E215" s="20" t="str">
        <f t="shared" si="3"/>
        <v>00</v>
      </c>
      <c r="F215" s="21">
        <v>0.27907831043871401</v>
      </c>
      <c r="G215" s="4">
        <v>0.46700000000000003</v>
      </c>
      <c r="H215" s="4">
        <v>0.279373368146214</v>
      </c>
      <c r="I215" s="4">
        <v>1.7999999999999999E-2</v>
      </c>
      <c r="J215" s="4">
        <v>2.3E-2</v>
      </c>
      <c r="K215" s="5">
        <v>100</v>
      </c>
      <c r="L215" s="5">
        <v>100</v>
      </c>
      <c r="M215" s="5">
        <v>100</v>
      </c>
      <c r="N215" s="5">
        <v>100</v>
      </c>
      <c r="O215" s="2">
        <v>0.62923385481629268</v>
      </c>
      <c r="P215" s="2">
        <v>0.32763412346349591</v>
      </c>
      <c r="Q215" s="2">
        <v>1.816397062767118E-2</v>
      </c>
      <c r="R215" s="2">
        <v>2.3268626939354331E-2</v>
      </c>
    </row>
    <row r="216" spans="1:18" x14ac:dyDescent="0.3">
      <c r="A216" s="7">
        <v>608</v>
      </c>
      <c r="B216" s="7">
        <v>297</v>
      </c>
      <c r="C216" s="7">
        <v>0</v>
      </c>
      <c r="D216" s="7">
        <v>0</v>
      </c>
      <c r="E216" s="20" t="str">
        <f t="shared" si="3"/>
        <v>00</v>
      </c>
      <c r="F216" s="21">
        <v>0.27936435122310499</v>
      </c>
      <c r="G216" s="4">
        <v>0.53200000000000003</v>
      </c>
      <c r="H216" s="4">
        <v>0.46436781609195399</v>
      </c>
      <c r="I216" s="4">
        <v>1.7999999999999999E-2</v>
      </c>
      <c r="J216" s="4">
        <v>2.7E-2</v>
      </c>
      <c r="K216" s="5">
        <v>0</v>
      </c>
      <c r="L216" s="5">
        <v>100</v>
      </c>
      <c r="M216" s="5">
        <v>100</v>
      </c>
      <c r="N216" s="5">
        <v>100</v>
      </c>
      <c r="O216" s="2">
        <v>0.75928698306449038</v>
      </c>
      <c r="P216" s="2">
        <v>0.62430757752298349</v>
      </c>
      <c r="Q216" s="2">
        <v>1.816397062767118E-2</v>
      </c>
      <c r="R216" s="2">
        <v>2.7371196796132015E-2</v>
      </c>
    </row>
    <row r="217" spans="1:18" x14ac:dyDescent="0.3">
      <c r="A217" s="7">
        <v>694</v>
      </c>
      <c r="B217" s="7">
        <v>308</v>
      </c>
      <c r="C217" s="7">
        <v>0</v>
      </c>
      <c r="D217" s="7">
        <v>0</v>
      </c>
      <c r="E217" s="20" t="str">
        <f t="shared" si="3"/>
        <v>00</v>
      </c>
      <c r="F217" s="21">
        <v>0.28294230548160398</v>
      </c>
      <c r="G217" s="4">
        <v>0.27100000000000002</v>
      </c>
      <c r="H217" s="4">
        <v>0.22500000000000001</v>
      </c>
      <c r="I217" s="4">
        <v>2.4E-2</v>
      </c>
      <c r="J217" s="4">
        <v>2.1000000000000001E-2</v>
      </c>
      <c r="K217" s="5">
        <v>100</v>
      </c>
      <c r="L217" s="5">
        <v>100</v>
      </c>
      <c r="M217" s="5">
        <v>100</v>
      </c>
      <c r="N217" s="5">
        <v>100</v>
      </c>
      <c r="O217" s="2">
        <v>0.31608154697347896</v>
      </c>
      <c r="P217" s="2">
        <v>0.25489224962879004</v>
      </c>
      <c r="Q217" s="2">
        <v>2.4292692569044587E-2</v>
      </c>
      <c r="R217" s="2">
        <v>2.1223636451626688E-2</v>
      </c>
    </row>
    <row r="218" spans="1:18" x14ac:dyDescent="0.3">
      <c r="A218" s="7">
        <v>441</v>
      </c>
      <c r="B218" s="7">
        <v>329</v>
      </c>
      <c r="C218" s="7">
        <v>0</v>
      </c>
      <c r="D218" s="7">
        <v>0</v>
      </c>
      <c r="E218" s="20" t="str">
        <f t="shared" si="3"/>
        <v>00</v>
      </c>
      <c r="F218" s="21">
        <v>0.28488357701936301</v>
      </c>
      <c r="G218" s="4">
        <v>0.49</v>
      </c>
      <c r="H218" s="4">
        <v>0.32727272727272699</v>
      </c>
      <c r="I218" s="4">
        <v>2.1000000000000001E-2</v>
      </c>
      <c r="J218" s="4">
        <v>3.3000000000000002E-2</v>
      </c>
      <c r="K218" s="5">
        <v>100</v>
      </c>
      <c r="L218" s="5">
        <v>100</v>
      </c>
      <c r="M218" s="5">
        <v>100</v>
      </c>
      <c r="N218" s="5">
        <v>100</v>
      </c>
      <c r="O218" s="2">
        <v>0.67334455326376563</v>
      </c>
      <c r="P218" s="2">
        <v>0.39641527258824599</v>
      </c>
      <c r="Q218" s="2">
        <v>2.1223636451626688E-2</v>
      </c>
      <c r="R218" s="2">
        <v>3.3556783528842754E-2</v>
      </c>
    </row>
    <row r="219" spans="1:18" x14ac:dyDescent="0.3">
      <c r="A219" s="7">
        <v>456</v>
      </c>
      <c r="B219" s="7">
        <v>300</v>
      </c>
      <c r="C219" s="7">
        <v>0</v>
      </c>
      <c r="D219" s="7">
        <v>0</v>
      </c>
      <c r="E219" s="20" t="str">
        <f t="shared" si="3"/>
        <v>00</v>
      </c>
      <c r="F219" s="21">
        <v>0.28905815942634699</v>
      </c>
      <c r="G219" s="4">
        <v>0.439</v>
      </c>
      <c r="H219" s="4">
        <v>0.40308370044052899</v>
      </c>
      <c r="I219" s="4">
        <v>2.8000000000000001E-2</v>
      </c>
      <c r="J219" s="4">
        <v>1.6E-2</v>
      </c>
      <c r="K219" s="5">
        <v>100</v>
      </c>
      <c r="L219" s="5">
        <v>100</v>
      </c>
      <c r="M219" s="5">
        <v>100</v>
      </c>
      <c r="N219" s="5">
        <v>100</v>
      </c>
      <c r="O219" s="2">
        <v>0.57803437345944086</v>
      </c>
      <c r="P219" s="2">
        <v>0.51597837716164763</v>
      </c>
      <c r="Q219" s="2">
        <v>2.8399474521698002E-2</v>
      </c>
      <c r="R219" s="2">
        <v>1.6129381929883644E-2</v>
      </c>
    </row>
    <row r="220" spans="1:18" x14ac:dyDescent="0.3">
      <c r="A220" s="7">
        <v>561</v>
      </c>
      <c r="B220" s="7">
        <v>293</v>
      </c>
      <c r="C220" s="7">
        <v>0</v>
      </c>
      <c r="D220" s="7">
        <v>0</v>
      </c>
      <c r="E220" s="20" t="str">
        <f t="shared" si="3"/>
        <v>00</v>
      </c>
      <c r="F220" s="21">
        <v>0.29260146743563997</v>
      </c>
      <c r="G220" s="4">
        <v>0.505</v>
      </c>
      <c r="H220" s="4">
        <v>0.46035242290748901</v>
      </c>
      <c r="I220" s="4">
        <v>1.4E-2</v>
      </c>
      <c r="J220" s="4">
        <v>2.4E-2</v>
      </c>
      <c r="K220" s="5">
        <v>0</v>
      </c>
      <c r="L220" s="5">
        <v>100</v>
      </c>
      <c r="M220" s="5">
        <v>100</v>
      </c>
      <c r="N220" s="5">
        <v>100</v>
      </c>
      <c r="O220" s="2">
        <v>0.70319751641344674</v>
      </c>
      <c r="P220" s="2">
        <v>0.61683898749662103</v>
      </c>
      <c r="Q220" s="2">
        <v>1.4098924379501648E-2</v>
      </c>
      <c r="R220" s="2">
        <v>2.4292692569044587E-2</v>
      </c>
    </row>
    <row r="221" spans="1:18" x14ac:dyDescent="0.3">
      <c r="A221" s="7">
        <v>95</v>
      </c>
      <c r="B221" s="7">
        <v>320</v>
      </c>
      <c r="C221" s="7">
        <v>0</v>
      </c>
      <c r="D221" s="7">
        <v>0</v>
      </c>
      <c r="E221" s="20" t="str">
        <f t="shared" si="3"/>
        <v>00</v>
      </c>
      <c r="F221" s="21">
        <v>0.29330089324641001</v>
      </c>
      <c r="G221" s="4">
        <v>0.44800000000000001</v>
      </c>
      <c r="H221" s="4">
        <v>0.37193763919821798</v>
      </c>
      <c r="I221" s="4">
        <v>1.6E-2</v>
      </c>
      <c r="J221" s="4">
        <v>1.4999999999999999E-2</v>
      </c>
      <c r="K221" s="5">
        <v>100</v>
      </c>
      <c r="L221" s="5">
        <v>100</v>
      </c>
      <c r="M221" s="5">
        <v>100</v>
      </c>
      <c r="N221" s="5">
        <v>100</v>
      </c>
      <c r="O221" s="2">
        <v>0.59420723270504161</v>
      </c>
      <c r="P221" s="2">
        <v>0.46511581680414027</v>
      </c>
      <c r="Q221" s="2">
        <v>1.6129381929883644E-2</v>
      </c>
      <c r="R221" s="2">
        <v>1.5113637810048184E-2</v>
      </c>
    </row>
    <row r="222" spans="1:18" x14ac:dyDescent="0.3">
      <c r="A222" s="7">
        <v>152</v>
      </c>
      <c r="B222" s="7">
        <v>301</v>
      </c>
      <c r="C222" s="7">
        <v>0</v>
      </c>
      <c r="D222" s="7">
        <v>0</v>
      </c>
      <c r="E222" s="20" t="str">
        <f t="shared" si="3"/>
        <v>00</v>
      </c>
      <c r="F222" s="21">
        <v>0.29383653005007299</v>
      </c>
      <c r="G222" s="4">
        <v>0.59299999999999997</v>
      </c>
      <c r="H222" s="4">
        <v>0.410810810810811</v>
      </c>
      <c r="I222" s="4">
        <v>0.02</v>
      </c>
      <c r="J222" s="4">
        <v>2.1999999999999999E-2</v>
      </c>
      <c r="K222" s="5">
        <v>0</v>
      </c>
      <c r="L222" s="5">
        <v>100</v>
      </c>
      <c r="M222" s="5">
        <v>100</v>
      </c>
      <c r="N222" s="5">
        <v>100</v>
      </c>
      <c r="O222" s="2">
        <v>0.89894209353954202</v>
      </c>
      <c r="P222" s="2">
        <v>0.52900794284918151</v>
      </c>
      <c r="Q222" s="2">
        <v>2.0202707317519466E-2</v>
      </c>
      <c r="R222" s="2">
        <v>2.2245608947319737E-2</v>
      </c>
    </row>
    <row r="223" spans="1:18" x14ac:dyDescent="0.3">
      <c r="A223" s="7">
        <v>564</v>
      </c>
      <c r="B223" s="7">
        <v>288</v>
      </c>
      <c r="C223" s="7">
        <v>0</v>
      </c>
      <c r="D223" s="7">
        <v>0</v>
      </c>
      <c r="E223" s="20" t="str">
        <f t="shared" si="3"/>
        <v>00</v>
      </c>
      <c r="F223" s="21">
        <v>0.29412070274616098</v>
      </c>
      <c r="G223" s="4">
        <v>0.25600000000000001</v>
      </c>
      <c r="H223" s="4">
        <v>0.22899159663865501</v>
      </c>
      <c r="I223" s="4">
        <v>3.6999999999999998E-2</v>
      </c>
      <c r="J223" s="4">
        <v>3.1E-2</v>
      </c>
      <c r="K223" s="5">
        <v>100</v>
      </c>
      <c r="L223" s="5">
        <v>100</v>
      </c>
      <c r="M223" s="5">
        <v>100</v>
      </c>
      <c r="N223" s="5">
        <v>100</v>
      </c>
      <c r="O223" s="2">
        <v>0.29571424414904518</v>
      </c>
      <c r="P223" s="2">
        <v>0.2600560061768491</v>
      </c>
      <c r="Q223" s="2">
        <v>3.7701867184011528E-2</v>
      </c>
      <c r="R223" s="2">
        <v>3.1490667091370848E-2</v>
      </c>
    </row>
    <row r="224" spans="1:18" x14ac:dyDescent="0.3">
      <c r="A224" s="7">
        <v>807</v>
      </c>
      <c r="B224" s="7">
        <v>309</v>
      </c>
      <c r="C224" s="7">
        <v>0</v>
      </c>
      <c r="D224" s="7">
        <v>0</v>
      </c>
      <c r="E224" s="20" t="str">
        <f t="shared" si="3"/>
        <v>00</v>
      </c>
      <c r="F224" s="21">
        <v>0.29743803814536002</v>
      </c>
      <c r="G224" s="4">
        <v>0.41499999999999998</v>
      </c>
      <c r="H224" s="4">
        <v>0.34130434782608698</v>
      </c>
      <c r="I224" s="4">
        <v>0.97199999999999998</v>
      </c>
      <c r="J224" s="4">
        <v>0.97399999999999998</v>
      </c>
      <c r="K224" s="5">
        <v>100</v>
      </c>
      <c r="L224" s="5">
        <v>100</v>
      </c>
      <c r="M224" s="5">
        <v>0</v>
      </c>
      <c r="N224" s="5">
        <v>0</v>
      </c>
      <c r="O224" s="2">
        <v>0.53614343175028067</v>
      </c>
      <c r="P224" s="2">
        <v>0.41749368397377157</v>
      </c>
      <c r="Q224" s="2">
        <v>3.5755507688069321</v>
      </c>
      <c r="R224" s="2">
        <v>3.6496587409606542</v>
      </c>
    </row>
    <row r="225" spans="1:18" x14ac:dyDescent="0.3">
      <c r="A225" s="7">
        <v>752</v>
      </c>
      <c r="B225" s="7">
        <v>308</v>
      </c>
      <c r="C225" s="7">
        <v>0</v>
      </c>
      <c r="D225" s="7">
        <v>0</v>
      </c>
      <c r="E225" s="20" t="str">
        <f t="shared" si="3"/>
        <v>00</v>
      </c>
      <c r="F225" s="21">
        <v>0.29753597686961403</v>
      </c>
      <c r="G225" s="4">
        <v>0.255</v>
      </c>
      <c r="H225" s="4">
        <v>0.216386554621849</v>
      </c>
      <c r="I225" s="4">
        <v>2.1999999999999999E-2</v>
      </c>
      <c r="J225" s="4">
        <v>2.4E-2</v>
      </c>
      <c r="K225" s="5">
        <v>100</v>
      </c>
      <c r="L225" s="5">
        <v>100</v>
      </c>
      <c r="M225" s="5">
        <v>100</v>
      </c>
      <c r="N225" s="5">
        <v>100</v>
      </c>
      <c r="O225" s="2">
        <v>0.29437106060257756</v>
      </c>
      <c r="P225" s="2">
        <v>0.24383943458760476</v>
      </c>
      <c r="Q225" s="2">
        <v>2.2245608947319737E-2</v>
      </c>
      <c r="R225" s="2">
        <v>2.4292692569044587E-2</v>
      </c>
    </row>
    <row r="226" spans="1:18" x14ac:dyDescent="0.3">
      <c r="A226" s="7">
        <v>273</v>
      </c>
      <c r="B226" s="7">
        <v>309</v>
      </c>
      <c r="C226" s="7">
        <v>0</v>
      </c>
      <c r="D226" s="7">
        <v>0</v>
      </c>
      <c r="E226" s="20" t="str">
        <f t="shared" si="3"/>
        <v>00</v>
      </c>
      <c r="F226" s="21">
        <v>0.29769554414735799</v>
      </c>
      <c r="G226" s="4">
        <v>0.307</v>
      </c>
      <c r="H226" s="4">
        <v>0.25053533190578198</v>
      </c>
      <c r="I226" s="4">
        <v>2.7E-2</v>
      </c>
      <c r="J226" s="4">
        <v>2.1000000000000001E-2</v>
      </c>
      <c r="K226" s="5">
        <v>100</v>
      </c>
      <c r="L226" s="5">
        <v>100</v>
      </c>
      <c r="M226" s="5">
        <v>100</v>
      </c>
      <c r="N226" s="5">
        <v>100</v>
      </c>
      <c r="O226" s="2">
        <v>0.36672527979223374</v>
      </c>
      <c r="P226" s="2">
        <v>0.2883961031854384</v>
      </c>
      <c r="Q226" s="2">
        <v>2.7371196796132015E-2</v>
      </c>
      <c r="R226" s="2">
        <v>2.1223636451626688E-2</v>
      </c>
    </row>
    <row r="227" spans="1:18" x14ac:dyDescent="0.3">
      <c r="A227" s="7">
        <v>920</v>
      </c>
      <c r="B227" s="7">
        <v>309</v>
      </c>
      <c r="C227" s="7">
        <v>0</v>
      </c>
      <c r="D227" s="7">
        <v>0</v>
      </c>
      <c r="E227" s="20" t="str">
        <f t="shared" si="3"/>
        <v>00</v>
      </c>
      <c r="F227" s="21">
        <v>0.29921215937630502</v>
      </c>
      <c r="G227" s="4">
        <v>0.44400000000000001</v>
      </c>
      <c r="H227" s="4">
        <v>0.41086956521739099</v>
      </c>
      <c r="I227" s="4">
        <v>2.1000000000000001E-2</v>
      </c>
      <c r="J227" s="4">
        <v>1.7999999999999999E-2</v>
      </c>
      <c r="K227" s="5">
        <v>100</v>
      </c>
      <c r="L227" s="5">
        <v>100</v>
      </c>
      <c r="M227" s="5">
        <v>100</v>
      </c>
      <c r="N227" s="5">
        <v>100</v>
      </c>
      <c r="O227" s="2">
        <v>0.58698698473155464</v>
      </c>
      <c r="P227" s="2">
        <v>0.52910766860343939</v>
      </c>
      <c r="Q227" s="2">
        <v>2.1223636451626688E-2</v>
      </c>
      <c r="R227" s="2">
        <v>1.816397062767118E-2</v>
      </c>
    </row>
    <row r="228" spans="1:18" x14ac:dyDescent="0.3">
      <c r="A228" s="7">
        <v>769</v>
      </c>
      <c r="B228" s="7">
        <v>292</v>
      </c>
      <c r="C228" s="7">
        <v>0</v>
      </c>
      <c r="D228" s="7">
        <v>0</v>
      </c>
      <c r="E228" s="20" t="str">
        <f t="shared" si="3"/>
        <v>00</v>
      </c>
      <c r="F228" s="21">
        <v>0.30125218142462301</v>
      </c>
      <c r="G228" s="4">
        <v>0.40400000000000003</v>
      </c>
      <c r="H228" s="4">
        <v>0.36268343815513598</v>
      </c>
      <c r="I228" s="4">
        <v>2.3E-2</v>
      </c>
      <c r="J228" s="4">
        <v>2.1000000000000001E-2</v>
      </c>
      <c r="K228" s="5">
        <v>100</v>
      </c>
      <c r="L228" s="5">
        <v>100</v>
      </c>
      <c r="M228" s="5">
        <v>100</v>
      </c>
      <c r="N228" s="5">
        <v>100</v>
      </c>
      <c r="O228" s="2">
        <v>0.51751461191678738</v>
      </c>
      <c r="P228" s="2">
        <v>0.45048878948211918</v>
      </c>
      <c r="Q228" s="2">
        <v>2.3268626939354331E-2</v>
      </c>
      <c r="R228" s="2">
        <v>2.1223636451626688E-2</v>
      </c>
    </row>
    <row r="229" spans="1:18" x14ac:dyDescent="0.3">
      <c r="A229" s="7">
        <v>412</v>
      </c>
      <c r="B229" s="7">
        <v>266</v>
      </c>
      <c r="C229" s="7">
        <v>0</v>
      </c>
      <c r="D229" s="7">
        <v>0</v>
      </c>
      <c r="E229" s="20" t="str">
        <f t="shared" si="3"/>
        <v>00</v>
      </c>
      <c r="F229" s="21">
        <v>0.30248754334836198</v>
      </c>
      <c r="G229" s="4">
        <v>0.25</v>
      </c>
      <c r="H229" s="4">
        <v>0.25925925925925902</v>
      </c>
      <c r="I229" s="4">
        <v>3.5000000000000003E-2</v>
      </c>
      <c r="J229" s="4">
        <v>3.3000000000000002E-2</v>
      </c>
      <c r="K229" s="5">
        <v>100</v>
      </c>
      <c r="L229" s="5">
        <v>100</v>
      </c>
      <c r="M229" s="5">
        <v>100</v>
      </c>
      <c r="N229" s="5">
        <v>100</v>
      </c>
      <c r="O229" s="2">
        <v>0.2876820724517809</v>
      </c>
      <c r="P229" s="2">
        <v>0.30010459245033783</v>
      </c>
      <c r="Q229" s="2">
        <v>3.562717764315116E-2</v>
      </c>
      <c r="R229" s="2">
        <v>3.3556783528842754E-2</v>
      </c>
    </row>
    <row r="230" spans="1:18" x14ac:dyDescent="0.3">
      <c r="A230" s="7">
        <v>295</v>
      </c>
      <c r="B230" s="7">
        <v>316</v>
      </c>
      <c r="C230" s="7">
        <v>0</v>
      </c>
      <c r="D230" s="7">
        <v>0</v>
      </c>
      <c r="E230" s="20" t="str">
        <f t="shared" si="3"/>
        <v>00</v>
      </c>
      <c r="F230" s="21">
        <v>0.30324908073821999</v>
      </c>
      <c r="G230" s="4">
        <v>0.27900000000000003</v>
      </c>
      <c r="H230" s="4">
        <v>0.25485961123110201</v>
      </c>
      <c r="I230" s="4">
        <v>0.03</v>
      </c>
      <c r="J230" s="4">
        <v>1.7999999999999999E-2</v>
      </c>
      <c r="K230" s="5">
        <v>100</v>
      </c>
      <c r="L230" s="5">
        <v>100</v>
      </c>
      <c r="M230" s="5">
        <v>100</v>
      </c>
      <c r="N230" s="5">
        <v>100</v>
      </c>
      <c r="O230" s="2">
        <v>0.327116141697188</v>
      </c>
      <c r="P230" s="2">
        <v>0.29418263705487496</v>
      </c>
      <c r="Q230" s="2">
        <v>3.0459207484708574E-2</v>
      </c>
      <c r="R230" s="2">
        <v>1.816397062767118E-2</v>
      </c>
    </row>
    <row r="231" spans="1:18" x14ac:dyDescent="0.3">
      <c r="A231" s="7">
        <v>280</v>
      </c>
      <c r="B231" s="7">
        <v>286</v>
      </c>
      <c r="C231" s="7">
        <v>0</v>
      </c>
      <c r="D231" s="7">
        <v>0</v>
      </c>
      <c r="E231" s="20" t="str">
        <f t="shared" si="3"/>
        <v>00</v>
      </c>
      <c r="F231" s="21">
        <v>0.303995648487697</v>
      </c>
      <c r="G231" s="4">
        <v>0.27</v>
      </c>
      <c r="H231" s="4">
        <v>0.225263157894737</v>
      </c>
      <c r="I231" s="4">
        <v>1.4E-2</v>
      </c>
      <c r="J231" s="4">
        <v>2.9000000000000001E-2</v>
      </c>
      <c r="K231" s="5">
        <v>100</v>
      </c>
      <c r="L231" s="5">
        <v>100</v>
      </c>
      <c r="M231" s="5">
        <v>100</v>
      </c>
      <c r="N231" s="5">
        <v>100</v>
      </c>
      <c r="O231" s="2">
        <v>0.31471074483970024</v>
      </c>
      <c r="P231" s="2">
        <v>0.25523186586571056</v>
      </c>
      <c r="Q231" s="2">
        <v>1.4098924379501648E-2</v>
      </c>
      <c r="R231" s="2">
        <v>2.9428810690812168E-2</v>
      </c>
    </row>
    <row r="232" spans="1:18" x14ac:dyDescent="0.3">
      <c r="A232" s="7">
        <v>888</v>
      </c>
      <c r="B232" s="7">
        <v>284</v>
      </c>
      <c r="C232" s="7">
        <v>0</v>
      </c>
      <c r="D232" s="7">
        <v>0</v>
      </c>
      <c r="E232" s="20" t="str">
        <f t="shared" si="3"/>
        <v>00</v>
      </c>
      <c r="F232" s="21">
        <v>0.30491725400805503</v>
      </c>
      <c r="G232" s="4">
        <v>0.39800000000000002</v>
      </c>
      <c r="H232" s="4">
        <v>0.28828828828828801</v>
      </c>
      <c r="I232" s="4">
        <v>3.3000000000000002E-2</v>
      </c>
      <c r="J232" s="4">
        <v>4.2999999999999997E-2</v>
      </c>
      <c r="K232" s="5">
        <v>100</v>
      </c>
      <c r="L232" s="5">
        <v>100</v>
      </c>
      <c r="M232" s="5">
        <v>100</v>
      </c>
      <c r="N232" s="5">
        <v>100</v>
      </c>
      <c r="O232" s="2">
        <v>0.50749783367331602</v>
      </c>
      <c r="P232" s="2">
        <v>0.34008234884531224</v>
      </c>
      <c r="Q232" s="2">
        <v>3.3556783528842754E-2</v>
      </c>
      <c r="R232" s="2">
        <v>4.3951887529182831E-2</v>
      </c>
    </row>
    <row r="233" spans="1:18" x14ac:dyDescent="0.3">
      <c r="A233" s="7">
        <v>419</v>
      </c>
      <c r="B233" s="7">
        <v>293</v>
      </c>
      <c r="C233" s="7">
        <v>0</v>
      </c>
      <c r="D233" s="7">
        <v>0</v>
      </c>
      <c r="E233" s="20" t="str">
        <f t="shared" si="3"/>
        <v>00</v>
      </c>
      <c r="F233" s="21">
        <v>0.30760113597376998</v>
      </c>
      <c r="G233" s="4">
        <v>0.39</v>
      </c>
      <c r="H233" s="4">
        <v>0.33035714285714302</v>
      </c>
      <c r="I233" s="4">
        <v>1.6E-2</v>
      </c>
      <c r="J233" s="4">
        <v>1.6E-2</v>
      </c>
      <c r="K233" s="5">
        <v>100</v>
      </c>
      <c r="L233" s="5">
        <v>100</v>
      </c>
      <c r="M233" s="5">
        <v>100</v>
      </c>
      <c r="N233" s="5">
        <v>100</v>
      </c>
      <c r="O233" s="2">
        <v>0.49429632181478012</v>
      </c>
      <c r="P233" s="2">
        <v>0.40101075775878436</v>
      </c>
      <c r="Q233" s="2">
        <v>1.6129381929883644E-2</v>
      </c>
      <c r="R233" s="2">
        <v>1.6129381929883644E-2</v>
      </c>
    </row>
    <row r="234" spans="1:18" x14ac:dyDescent="0.3">
      <c r="A234" s="7">
        <v>733</v>
      </c>
      <c r="B234" s="7">
        <v>341</v>
      </c>
      <c r="C234" s="7">
        <v>0</v>
      </c>
      <c r="D234" s="7">
        <v>0</v>
      </c>
      <c r="E234" s="20" t="str">
        <f t="shared" si="3"/>
        <v>00</v>
      </c>
      <c r="F234" s="21">
        <v>0.30999715585006898</v>
      </c>
      <c r="G234" s="4">
        <v>0.35199999999999998</v>
      </c>
      <c r="H234" s="4">
        <v>0.31034482758620702</v>
      </c>
      <c r="I234" s="4">
        <v>2.1000000000000001E-2</v>
      </c>
      <c r="J234" s="4">
        <v>2.1000000000000001E-2</v>
      </c>
      <c r="K234" s="5">
        <v>100</v>
      </c>
      <c r="L234" s="5">
        <v>100</v>
      </c>
      <c r="M234" s="5">
        <v>100</v>
      </c>
      <c r="N234" s="5">
        <v>100</v>
      </c>
      <c r="O234" s="2">
        <v>0.43386458262986233</v>
      </c>
      <c r="P234" s="2">
        <v>0.37156355643248329</v>
      </c>
      <c r="Q234" s="2">
        <v>2.1223636451626688E-2</v>
      </c>
      <c r="R234" s="2">
        <v>2.1223636451626688E-2</v>
      </c>
    </row>
    <row r="235" spans="1:18" x14ac:dyDescent="0.3">
      <c r="A235" s="7">
        <v>710</v>
      </c>
      <c r="B235" s="7">
        <v>275</v>
      </c>
      <c r="C235" s="7">
        <v>0</v>
      </c>
      <c r="D235" s="7">
        <v>0</v>
      </c>
      <c r="E235" s="20" t="str">
        <f t="shared" si="3"/>
        <v>00</v>
      </c>
      <c r="F235" s="21">
        <v>0.31213718198413898</v>
      </c>
      <c r="G235" s="4">
        <v>0.57699999999999996</v>
      </c>
      <c r="H235" s="4">
        <v>0.46428571428571402</v>
      </c>
      <c r="I235" s="4">
        <v>1.4E-2</v>
      </c>
      <c r="J235" s="4">
        <v>2.7E-2</v>
      </c>
      <c r="K235" s="5">
        <v>0</v>
      </c>
      <c r="L235" s="5">
        <v>100</v>
      </c>
      <c r="M235" s="5">
        <v>100</v>
      </c>
      <c r="N235" s="5">
        <v>100</v>
      </c>
      <c r="O235" s="2">
        <v>0.86038309993585893</v>
      </c>
      <c r="P235" s="2">
        <v>0.6241543090729933</v>
      </c>
      <c r="Q235" s="2">
        <v>1.4098924379501648E-2</v>
      </c>
      <c r="R235" s="2">
        <v>2.7371196796132015E-2</v>
      </c>
    </row>
    <row r="236" spans="1:18" x14ac:dyDescent="0.3">
      <c r="A236" s="7">
        <v>6</v>
      </c>
      <c r="B236" s="7">
        <v>306</v>
      </c>
      <c r="C236" s="7">
        <v>0</v>
      </c>
      <c r="D236" s="7">
        <v>0</v>
      </c>
      <c r="E236" s="20" t="str">
        <f t="shared" si="3"/>
        <v>00</v>
      </c>
      <c r="F236" s="21">
        <v>0.31444679754871502</v>
      </c>
      <c r="G236" s="4">
        <v>0.443</v>
      </c>
      <c r="H236" s="4">
        <v>0.37089201877934302</v>
      </c>
      <c r="I236" s="4">
        <v>0.72</v>
      </c>
      <c r="J236" s="4">
        <v>0.70499999999999996</v>
      </c>
      <c r="K236" s="5">
        <v>100</v>
      </c>
      <c r="L236" s="5">
        <v>100</v>
      </c>
      <c r="M236" s="5">
        <v>0</v>
      </c>
      <c r="N236" s="5">
        <v>0</v>
      </c>
      <c r="O236" s="2">
        <v>0.58519003905485312</v>
      </c>
      <c r="P236" s="2">
        <v>0.46345236575851412</v>
      </c>
      <c r="Q236" s="2">
        <v>1.2729656758128873</v>
      </c>
      <c r="R236" s="2">
        <v>1.2207799226423171</v>
      </c>
    </row>
    <row r="237" spans="1:18" x14ac:dyDescent="0.3">
      <c r="A237" s="7">
        <v>137</v>
      </c>
      <c r="B237" s="7">
        <v>260</v>
      </c>
      <c r="C237" s="7">
        <v>0</v>
      </c>
      <c r="D237" s="7">
        <v>0</v>
      </c>
      <c r="E237" s="20" t="str">
        <f t="shared" si="3"/>
        <v>00</v>
      </c>
      <c r="F237" s="21">
        <v>0.315419643556198</v>
      </c>
      <c r="G237" s="4">
        <v>0.34200000000000003</v>
      </c>
      <c r="H237" s="4">
        <v>0.34567901234567899</v>
      </c>
      <c r="I237" s="4">
        <v>2.8000000000000001E-2</v>
      </c>
      <c r="J237" s="4">
        <v>3.3000000000000002E-2</v>
      </c>
      <c r="K237" s="5">
        <v>100</v>
      </c>
      <c r="L237" s="5">
        <v>100</v>
      </c>
      <c r="M237" s="5">
        <v>100</v>
      </c>
      <c r="N237" s="5">
        <v>100</v>
      </c>
      <c r="O237" s="2">
        <v>0.41855034765681998</v>
      </c>
      <c r="P237" s="2">
        <v>0.42415724112031689</v>
      </c>
      <c r="Q237" s="2">
        <v>2.8399474521698002E-2</v>
      </c>
      <c r="R237" s="2">
        <v>3.3556783528842754E-2</v>
      </c>
    </row>
    <row r="238" spans="1:18" x14ac:dyDescent="0.3">
      <c r="A238" s="7">
        <v>854</v>
      </c>
      <c r="B238" s="7">
        <v>284</v>
      </c>
      <c r="C238" s="7">
        <v>0</v>
      </c>
      <c r="D238" s="7">
        <v>0</v>
      </c>
      <c r="E238" s="20" t="str">
        <f t="shared" si="3"/>
        <v>00</v>
      </c>
      <c r="F238" s="21">
        <v>0.31548023181037599</v>
      </c>
      <c r="G238" s="4">
        <v>0.41699999999999998</v>
      </c>
      <c r="H238" s="4">
        <v>0.34304932735426003</v>
      </c>
      <c r="I238" s="4">
        <v>2.9000000000000001E-2</v>
      </c>
      <c r="J238" s="4">
        <v>2.9000000000000001E-2</v>
      </c>
      <c r="K238" s="5">
        <v>100</v>
      </c>
      <c r="L238" s="5">
        <v>100</v>
      </c>
      <c r="M238" s="5">
        <v>100</v>
      </c>
      <c r="N238" s="5">
        <v>100</v>
      </c>
      <c r="O238" s="2">
        <v>0.53956809263164474</v>
      </c>
      <c r="P238" s="2">
        <v>0.42014634300299675</v>
      </c>
      <c r="Q238" s="2">
        <v>2.9428810690812168E-2</v>
      </c>
      <c r="R238" s="2">
        <v>2.9428810690812168E-2</v>
      </c>
    </row>
    <row r="239" spans="1:18" x14ac:dyDescent="0.3">
      <c r="A239" s="7">
        <v>170</v>
      </c>
      <c r="B239" s="7">
        <v>283</v>
      </c>
      <c r="C239" s="7">
        <v>0</v>
      </c>
      <c r="D239" s="7">
        <v>0</v>
      </c>
      <c r="E239" s="20" t="str">
        <f t="shared" si="3"/>
        <v>00</v>
      </c>
      <c r="F239" s="21">
        <v>0.317505173962706</v>
      </c>
      <c r="G239" s="4">
        <v>0.70399999999999996</v>
      </c>
      <c r="H239" s="4">
        <v>0.65989847715736005</v>
      </c>
      <c r="I239" s="4">
        <v>2.4E-2</v>
      </c>
      <c r="J239" s="4">
        <v>2.3E-2</v>
      </c>
      <c r="K239" s="5">
        <v>0</v>
      </c>
      <c r="L239" s="5">
        <v>0</v>
      </c>
      <c r="M239" s="5">
        <v>100</v>
      </c>
      <c r="N239" s="5">
        <v>100</v>
      </c>
      <c r="O239" s="2">
        <v>1.2173958246580765</v>
      </c>
      <c r="P239" s="2">
        <v>1.0785111093470214</v>
      </c>
      <c r="Q239" s="2">
        <v>2.4292692569044587E-2</v>
      </c>
      <c r="R239" s="2">
        <v>2.3268626939354331E-2</v>
      </c>
    </row>
    <row r="240" spans="1:18" x14ac:dyDescent="0.3">
      <c r="A240" s="7">
        <v>306</v>
      </c>
      <c r="B240" s="7">
        <v>272</v>
      </c>
      <c r="C240" s="7">
        <v>0</v>
      </c>
      <c r="D240" s="7">
        <v>0</v>
      </c>
      <c r="E240" s="20" t="str">
        <f t="shared" si="3"/>
        <v>00</v>
      </c>
      <c r="F240" s="21">
        <v>0.31789537353092201</v>
      </c>
      <c r="G240" s="4">
        <v>0.22800000000000001</v>
      </c>
      <c r="H240" s="4">
        <v>0.20798319327731099</v>
      </c>
      <c r="I240" s="4">
        <v>2.1999999999999999E-2</v>
      </c>
      <c r="J240" s="4">
        <v>3.6999999999999998E-2</v>
      </c>
      <c r="K240" s="5">
        <v>100</v>
      </c>
      <c r="L240" s="5">
        <v>100</v>
      </c>
      <c r="M240" s="5">
        <v>100</v>
      </c>
      <c r="N240" s="5">
        <v>100</v>
      </c>
      <c r="O240" s="2">
        <v>0.25877072895736086</v>
      </c>
      <c r="P240" s="2">
        <v>0.23317266678340928</v>
      </c>
      <c r="Q240" s="2">
        <v>2.2245608947319737E-2</v>
      </c>
      <c r="R240" s="2">
        <v>3.7701867184011528E-2</v>
      </c>
    </row>
    <row r="241" spans="1:18" x14ac:dyDescent="0.3">
      <c r="A241" s="7">
        <v>222</v>
      </c>
      <c r="B241" s="7">
        <v>267</v>
      </c>
      <c r="C241" s="7">
        <v>0</v>
      </c>
      <c r="D241" s="7">
        <v>0</v>
      </c>
      <c r="E241" s="20" t="str">
        <f t="shared" si="3"/>
        <v>00</v>
      </c>
      <c r="F241" s="21">
        <v>0.31968717528294599</v>
      </c>
      <c r="G241" s="4">
        <v>0.36399999999999999</v>
      </c>
      <c r="H241" s="4">
        <v>0.27293064876957501</v>
      </c>
      <c r="I241" s="4">
        <v>2.5999999999999999E-2</v>
      </c>
      <c r="J241" s="4">
        <v>2.1999999999999999E-2</v>
      </c>
      <c r="K241" s="5">
        <v>100</v>
      </c>
      <c r="L241" s="5">
        <v>100</v>
      </c>
      <c r="M241" s="5">
        <v>100</v>
      </c>
      <c r="N241" s="5">
        <v>100</v>
      </c>
      <c r="O241" s="2">
        <v>0.45255671564201488</v>
      </c>
      <c r="P241" s="2">
        <v>0.31873341228383151</v>
      </c>
      <c r="Q241" s="2">
        <v>2.6343975339601977E-2</v>
      </c>
      <c r="R241" s="2">
        <v>2.2245608947319737E-2</v>
      </c>
    </row>
    <row r="242" spans="1:18" x14ac:dyDescent="0.3">
      <c r="A242" s="7">
        <v>319</v>
      </c>
      <c r="B242" s="7">
        <v>275</v>
      </c>
      <c r="C242" s="7">
        <v>0</v>
      </c>
      <c r="D242" s="7">
        <v>0</v>
      </c>
      <c r="E242" s="20" t="str">
        <f t="shared" si="3"/>
        <v>00</v>
      </c>
      <c r="F242" s="21">
        <v>0.32997175982184801</v>
      </c>
      <c r="G242" s="4">
        <v>0.33400000000000002</v>
      </c>
      <c r="H242" s="4">
        <v>0.240184757505774</v>
      </c>
      <c r="I242" s="4">
        <v>2.5000000000000001E-2</v>
      </c>
      <c r="J242" s="4">
        <v>3.1E-2</v>
      </c>
      <c r="K242" s="5">
        <v>100</v>
      </c>
      <c r="L242" s="5">
        <v>100</v>
      </c>
      <c r="M242" s="5">
        <v>100</v>
      </c>
      <c r="N242" s="5">
        <v>100</v>
      </c>
      <c r="O242" s="2">
        <v>0.40646560844174801</v>
      </c>
      <c r="P242" s="2">
        <v>0.27467997723711846</v>
      </c>
      <c r="Q242" s="2">
        <v>2.5317807984289897E-2</v>
      </c>
      <c r="R242" s="2">
        <v>3.1490667091370848E-2</v>
      </c>
    </row>
    <row r="243" spans="1:18" x14ac:dyDescent="0.3">
      <c r="A243" s="7">
        <v>86</v>
      </c>
      <c r="B243" s="7">
        <v>265</v>
      </c>
      <c r="C243" s="7">
        <v>0</v>
      </c>
      <c r="D243" s="7">
        <v>0</v>
      </c>
      <c r="E243" s="20" t="str">
        <f t="shared" si="3"/>
        <v>00</v>
      </c>
      <c r="F243" s="21">
        <v>0.33736837964670602</v>
      </c>
      <c r="G243" s="4">
        <v>0.36</v>
      </c>
      <c r="H243" s="4">
        <v>0.28131868131868099</v>
      </c>
      <c r="I243" s="4">
        <v>3.6999999999999998E-2</v>
      </c>
      <c r="J243" s="4">
        <v>4.2000000000000003E-2</v>
      </c>
      <c r="K243" s="5">
        <v>100</v>
      </c>
      <c r="L243" s="5">
        <v>100</v>
      </c>
      <c r="M243" s="5">
        <v>100</v>
      </c>
      <c r="N243" s="5">
        <v>100</v>
      </c>
      <c r="O243" s="2">
        <v>0.44628710262841947</v>
      </c>
      <c r="P243" s="2">
        <v>0.33033724805369657</v>
      </c>
      <c r="Q243" s="2">
        <v>3.7701867184011528E-2</v>
      </c>
      <c r="R243" s="2">
        <v>4.290750101127655E-2</v>
      </c>
    </row>
    <row r="244" spans="1:18" x14ac:dyDescent="0.3">
      <c r="A244" s="7">
        <v>229</v>
      </c>
      <c r="B244" s="7">
        <v>279</v>
      </c>
      <c r="C244" s="7">
        <v>0</v>
      </c>
      <c r="D244" s="7">
        <v>0</v>
      </c>
      <c r="E244" s="20" t="str">
        <f t="shared" si="3"/>
        <v>00</v>
      </c>
      <c r="F244" s="21">
        <v>0.339727687537689</v>
      </c>
      <c r="G244" s="4">
        <v>0.29299999999999998</v>
      </c>
      <c r="H244" s="4">
        <v>0.27789046653144001</v>
      </c>
      <c r="I244" s="4">
        <v>3.6999999999999998E-2</v>
      </c>
      <c r="J244" s="4">
        <v>2.8000000000000001E-2</v>
      </c>
      <c r="K244" s="5">
        <v>100</v>
      </c>
      <c r="L244" s="5">
        <v>100</v>
      </c>
      <c r="M244" s="5">
        <v>100</v>
      </c>
      <c r="N244" s="5">
        <v>100</v>
      </c>
      <c r="O244" s="2">
        <v>0.34672461308556418</v>
      </c>
      <c r="P244" s="2">
        <v>0.32557844319065943</v>
      </c>
      <c r="Q244" s="2">
        <v>3.7701867184011528E-2</v>
      </c>
      <c r="R244" s="2">
        <v>2.8399474521698002E-2</v>
      </c>
    </row>
    <row r="245" spans="1:18" x14ac:dyDescent="0.3">
      <c r="A245" s="7">
        <v>525</v>
      </c>
      <c r="B245" s="7">
        <v>287</v>
      </c>
      <c r="C245" s="7">
        <v>0</v>
      </c>
      <c r="D245" s="7">
        <v>0</v>
      </c>
      <c r="E245" s="20" t="str">
        <f t="shared" si="3"/>
        <v>00</v>
      </c>
      <c r="F245" s="21">
        <v>0.34117393469469198</v>
      </c>
      <c r="G245" s="4">
        <v>0.56899999999999995</v>
      </c>
      <c r="H245" s="4">
        <v>0.48505747126436799</v>
      </c>
      <c r="I245" s="4">
        <v>3.1E-2</v>
      </c>
      <c r="J245" s="4">
        <v>0.02</v>
      </c>
      <c r="K245" s="5">
        <v>0</v>
      </c>
      <c r="L245" s="5">
        <v>100</v>
      </c>
      <c r="M245" s="5">
        <v>100</v>
      </c>
      <c r="N245" s="5">
        <v>100</v>
      </c>
      <c r="O245" s="2">
        <v>0.84164718887838919</v>
      </c>
      <c r="P245" s="2">
        <v>0.66369997923364465</v>
      </c>
      <c r="Q245" s="2">
        <v>3.1490667091370848E-2</v>
      </c>
      <c r="R245" s="2">
        <v>2.0202707317519466E-2</v>
      </c>
    </row>
    <row r="246" spans="1:18" x14ac:dyDescent="0.3">
      <c r="A246" s="7">
        <v>329</v>
      </c>
      <c r="B246" s="7">
        <v>259</v>
      </c>
      <c r="C246" s="7">
        <v>0</v>
      </c>
      <c r="D246" s="7">
        <v>0</v>
      </c>
      <c r="E246" s="20" t="str">
        <f t="shared" si="3"/>
        <v>00</v>
      </c>
      <c r="F246" s="21">
        <v>0.34350250479939098</v>
      </c>
      <c r="G246" s="4">
        <v>0.32700000000000001</v>
      </c>
      <c r="H246" s="4">
        <v>0.27292110874200398</v>
      </c>
      <c r="I246" s="4">
        <v>0.11700000000000001</v>
      </c>
      <c r="J246" s="4">
        <v>9.9000000000000005E-2</v>
      </c>
      <c r="K246" s="5">
        <v>100</v>
      </c>
      <c r="L246" s="5">
        <v>100</v>
      </c>
      <c r="M246" s="5">
        <v>100</v>
      </c>
      <c r="N246" s="5">
        <v>100</v>
      </c>
      <c r="O246" s="2">
        <v>0.39600994933740918</v>
      </c>
      <c r="P246" s="2">
        <v>0.31872029116276224</v>
      </c>
      <c r="Q246" s="2">
        <v>0.12443007837817703</v>
      </c>
      <c r="R246" s="2">
        <v>0.10425002137379911</v>
      </c>
    </row>
    <row r="247" spans="1:18" x14ac:dyDescent="0.3">
      <c r="A247" s="7">
        <v>425</v>
      </c>
      <c r="B247" s="7">
        <v>273</v>
      </c>
      <c r="C247" s="7">
        <v>0</v>
      </c>
      <c r="D247" s="7">
        <v>0</v>
      </c>
      <c r="E247" s="20" t="str">
        <f t="shared" si="3"/>
        <v>00</v>
      </c>
      <c r="F247" s="21">
        <v>0.34368366433401798</v>
      </c>
      <c r="G247" s="4">
        <v>0.253</v>
      </c>
      <c r="H247" s="4">
        <v>0.22553191489361701</v>
      </c>
      <c r="I247" s="4">
        <v>1.7999999999999999E-2</v>
      </c>
      <c r="J247" s="4">
        <v>3.5999999999999997E-2</v>
      </c>
      <c r="K247" s="5">
        <v>100</v>
      </c>
      <c r="L247" s="5">
        <v>100</v>
      </c>
      <c r="M247" s="5">
        <v>100</v>
      </c>
      <c r="N247" s="5">
        <v>100</v>
      </c>
      <c r="O247" s="2">
        <v>0.29169009384931976</v>
      </c>
      <c r="P247" s="2">
        <v>0.25557882706736362</v>
      </c>
      <c r="Q247" s="2">
        <v>1.816397062767118E-2</v>
      </c>
      <c r="R247" s="2">
        <v>3.666398437159147E-2</v>
      </c>
    </row>
    <row r="248" spans="1:18" x14ac:dyDescent="0.3">
      <c r="A248" s="7">
        <v>919</v>
      </c>
      <c r="B248" s="7">
        <v>294</v>
      </c>
      <c r="C248" s="7">
        <v>0</v>
      </c>
      <c r="D248" s="7">
        <v>0</v>
      </c>
      <c r="E248" s="20" t="str">
        <f t="shared" si="3"/>
        <v>00</v>
      </c>
      <c r="F248" s="21">
        <v>0.34751503432401099</v>
      </c>
      <c r="G248" s="4">
        <v>0.42</v>
      </c>
      <c r="H248" s="4">
        <v>0.32678132678132699</v>
      </c>
      <c r="I248" s="4">
        <v>0.02</v>
      </c>
      <c r="J248" s="4">
        <v>3.5000000000000003E-2</v>
      </c>
      <c r="K248" s="5">
        <v>100</v>
      </c>
      <c r="L248" s="5">
        <v>100</v>
      </c>
      <c r="M248" s="5">
        <v>100</v>
      </c>
      <c r="N248" s="5">
        <v>100</v>
      </c>
      <c r="O248" s="2">
        <v>0.54472717544167193</v>
      </c>
      <c r="P248" s="2">
        <v>0.39568507905452505</v>
      </c>
      <c r="Q248" s="2">
        <v>2.0202707317519466E-2</v>
      </c>
      <c r="R248" s="2">
        <v>3.562717764315116E-2</v>
      </c>
    </row>
    <row r="249" spans="1:18" x14ac:dyDescent="0.3">
      <c r="A249" s="7">
        <v>404</v>
      </c>
      <c r="B249" s="7">
        <v>269</v>
      </c>
      <c r="C249" s="7">
        <v>0</v>
      </c>
      <c r="D249" s="7">
        <v>0</v>
      </c>
      <c r="E249" s="20" t="str">
        <f t="shared" si="3"/>
        <v>00</v>
      </c>
      <c r="F249" s="21">
        <v>0.34814716778958599</v>
      </c>
      <c r="G249" s="4">
        <v>0.33400000000000002</v>
      </c>
      <c r="H249" s="4">
        <v>0.26327433628318597</v>
      </c>
      <c r="I249" s="4">
        <v>0.04</v>
      </c>
      <c r="J249" s="4">
        <v>0.04</v>
      </c>
      <c r="K249" s="5">
        <v>100</v>
      </c>
      <c r="L249" s="5">
        <v>100</v>
      </c>
      <c r="M249" s="5">
        <v>100</v>
      </c>
      <c r="N249" s="5">
        <v>100</v>
      </c>
      <c r="O249" s="2">
        <v>0.40646560844174801</v>
      </c>
      <c r="P249" s="2">
        <v>0.30553968985178753</v>
      </c>
      <c r="Q249" s="2">
        <v>4.0821994520255166E-2</v>
      </c>
      <c r="R249" s="2">
        <v>4.0821994520255166E-2</v>
      </c>
    </row>
    <row r="250" spans="1:18" x14ac:dyDescent="0.3">
      <c r="A250" s="7">
        <v>418</v>
      </c>
      <c r="B250" s="7">
        <v>323</v>
      </c>
      <c r="C250" s="7">
        <v>0</v>
      </c>
      <c r="D250" s="7">
        <v>0</v>
      </c>
      <c r="E250" s="20" t="str">
        <f t="shared" si="3"/>
        <v>00</v>
      </c>
      <c r="F250" s="21">
        <v>0.34842215857372399</v>
      </c>
      <c r="G250" s="4">
        <v>0.22500000000000001</v>
      </c>
      <c r="H250" s="4">
        <v>0.216161616161616</v>
      </c>
      <c r="I250" s="4">
        <v>0.03</v>
      </c>
      <c r="J250" s="4">
        <v>2.5000000000000001E-2</v>
      </c>
      <c r="K250" s="5">
        <v>100</v>
      </c>
      <c r="L250" s="5">
        <v>100</v>
      </c>
      <c r="M250" s="5">
        <v>100</v>
      </c>
      <c r="N250" s="5">
        <v>100</v>
      </c>
      <c r="O250" s="2">
        <v>0.25489224962879004</v>
      </c>
      <c r="P250" s="2">
        <v>0.24355242294541665</v>
      </c>
      <c r="Q250" s="2">
        <v>3.0459207484708574E-2</v>
      </c>
      <c r="R250" s="2">
        <v>2.5317807984289897E-2</v>
      </c>
    </row>
    <row r="251" spans="1:18" x14ac:dyDescent="0.3">
      <c r="A251" s="7">
        <v>88</v>
      </c>
      <c r="B251" s="7">
        <v>268</v>
      </c>
      <c r="C251" s="7">
        <v>0</v>
      </c>
      <c r="D251" s="7">
        <v>0</v>
      </c>
      <c r="E251" s="20" t="str">
        <f t="shared" si="3"/>
        <v>00</v>
      </c>
      <c r="F251" s="21">
        <v>0.34985182172110302</v>
      </c>
      <c r="G251" s="4">
        <v>0.34599999999999997</v>
      </c>
      <c r="H251" s="4">
        <v>0.28251121076233199</v>
      </c>
      <c r="I251" s="4">
        <v>2.9000000000000001E-2</v>
      </c>
      <c r="J251" s="4">
        <v>2.4E-2</v>
      </c>
      <c r="K251" s="5">
        <v>100</v>
      </c>
      <c r="L251" s="5">
        <v>100</v>
      </c>
      <c r="M251" s="5">
        <v>100</v>
      </c>
      <c r="N251" s="5">
        <v>100</v>
      </c>
      <c r="O251" s="2">
        <v>0.4246479275249383</v>
      </c>
      <c r="P251" s="2">
        <v>0.33199795622629202</v>
      </c>
      <c r="Q251" s="2">
        <v>2.9428810690812168E-2</v>
      </c>
      <c r="R251" s="2">
        <v>2.4292692569044587E-2</v>
      </c>
    </row>
    <row r="252" spans="1:18" x14ac:dyDescent="0.3">
      <c r="A252" s="7">
        <v>344</v>
      </c>
      <c r="B252" s="7">
        <v>274</v>
      </c>
      <c r="C252" s="7">
        <v>0</v>
      </c>
      <c r="D252" s="7">
        <v>0</v>
      </c>
      <c r="E252" s="20" t="str">
        <f t="shared" si="3"/>
        <v>00</v>
      </c>
      <c r="F252" s="21">
        <v>0.35029169495586598</v>
      </c>
      <c r="G252" s="4">
        <v>0.32</v>
      </c>
      <c r="H252" s="4">
        <v>0.26315789473684198</v>
      </c>
      <c r="I252" s="4">
        <v>2.3E-2</v>
      </c>
      <c r="J252" s="4">
        <v>2.5999999999999999E-2</v>
      </c>
      <c r="K252" s="5">
        <v>100</v>
      </c>
      <c r="L252" s="5">
        <v>100</v>
      </c>
      <c r="M252" s="5">
        <v>100</v>
      </c>
      <c r="N252" s="5">
        <v>100</v>
      </c>
      <c r="O252" s="2">
        <v>0.38566248081198479</v>
      </c>
      <c r="P252" s="2">
        <v>0.30538164955118174</v>
      </c>
      <c r="Q252" s="2">
        <v>2.3268626939354331E-2</v>
      </c>
      <c r="R252" s="2">
        <v>2.6343975339601977E-2</v>
      </c>
    </row>
    <row r="253" spans="1:18" x14ac:dyDescent="0.3">
      <c r="A253" s="7">
        <v>318</v>
      </c>
      <c r="B253" s="7">
        <v>270</v>
      </c>
      <c r="C253" s="7">
        <v>0</v>
      </c>
      <c r="D253" s="7">
        <v>0</v>
      </c>
      <c r="E253" s="20" t="str">
        <f t="shared" si="3"/>
        <v>00</v>
      </c>
      <c r="F253" s="21">
        <v>0.351706722552795</v>
      </c>
      <c r="G253" s="4">
        <v>0.3</v>
      </c>
      <c r="H253" s="4">
        <v>0.27777777777777801</v>
      </c>
      <c r="I253" s="4">
        <v>2.7E-2</v>
      </c>
      <c r="J253" s="4">
        <v>0.02</v>
      </c>
      <c r="K253" s="5">
        <v>100</v>
      </c>
      <c r="L253" s="5">
        <v>100</v>
      </c>
      <c r="M253" s="5">
        <v>100</v>
      </c>
      <c r="N253" s="5">
        <v>100</v>
      </c>
      <c r="O253" s="2">
        <v>0.35667494393873245</v>
      </c>
      <c r="P253" s="2">
        <v>0.32542240043462828</v>
      </c>
      <c r="Q253" s="2">
        <v>2.7371196796132015E-2</v>
      </c>
      <c r="R253" s="2">
        <v>2.0202707317519466E-2</v>
      </c>
    </row>
    <row r="254" spans="1:18" x14ac:dyDescent="0.3">
      <c r="A254" s="7">
        <v>829</v>
      </c>
      <c r="B254" s="7">
        <v>278</v>
      </c>
      <c r="C254" s="7">
        <v>0</v>
      </c>
      <c r="D254" s="7">
        <v>0</v>
      </c>
      <c r="E254" s="20" t="str">
        <f t="shared" si="3"/>
        <v>00</v>
      </c>
      <c r="F254" s="21">
        <v>0.35692631116009399</v>
      </c>
      <c r="G254" s="4">
        <v>0.15</v>
      </c>
      <c r="H254" s="4">
        <v>0.155555555555556</v>
      </c>
      <c r="I254" s="4">
        <v>0.03</v>
      </c>
      <c r="J254" s="4">
        <v>2.4E-2</v>
      </c>
      <c r="K254" s="5">
        <v>100</v>
      </c>
      <c r="L254" s="5">
        <v>100</v>
      </c>
      <c r="M254" s="5">
        <v>100</v>
      </c>
      <c r="N254" s="5">
        <v>100</v>
      </c>
      <c r="O254" s="2">
        <v>0.16251892949777494</v>
      </c>
      <c r="P254" s="2">
        <v>0.16907633004393452</v>
      </c>
      <c r="Q254" s="2">
        <v>3.0459207484708574E-2</v>
      </c>
      <c r="R254" s="2">
        <v>2.4292692569044587E-2</v>
      </c>
    </row>
    <row r="255" spans="1:18" x14ac:dyDescent="0.3">
      <c r="A255" s="7">
        <v>939</v>
      </c>
      <c r="B255" s="7">
        <v>281</v>
      </c>
      <c r="C255" s="7">
        <v>0</v>
      </c>
      <c r="D255" s="7">
        <v>0</v>
      </c>
      <c r="E255" s="20" t="str">
        <f t="shared" si="3"/>
        <v>00</v>
      </c>
      <c r="F255" s="21">
        <v>0.36210124867376797</v>
      </c>
      <c r="G255" s="4">
        <v>0.44</v>
      </c>
      <c r="H255" s="4">
        <v>0.35498839907192598</v>
      </c>
      <c r="I255" s="4">
        <v>0.91400000000000003</v>
      </c>
      <c r="J255" s="4">
        <v>0.90300000000000002</v>
      </c>
      <c r="K255" s="5">
        <v>100</v>
      </c>
      <c r="L255" s="5">
        <v>100</v>
      </c>
      <c r="M255" s="5">
        <v>0</v>
      </c>
      <c r="N255" s="5">
        <v>0</v>
      </c>
      <c r="O255" s="2">
        <v>0.57981849525294205</v>
      </c>
      <c r="P255" s="2">
        <v>0.43848697641311113</v>
      </c>
      <c r="Q255" s="2">
        <v>2.4534079827286299</v>
      </c>
      <c r="R255" s="2">
        <v>2.3330443004787544</v>
      </c>
    </row>
    <row r="256" spans="1:18" x14ac:dyDescent="0.3">
      <c r="A256" s="7">
        <v>473</v>
      </c>
      <c r="B256" s="7">
        <v>256</v>
      </c>
      <c r="C256" s="7">
        <v>0</v>
      </c>
      <c r="D256" s="7">
        <v>0</v>
      </c>
      <c r="E256" s="20" t="str">
        <f t="shared" si="3"/>
        <v>00</v>
      </c>
      <c r="F256" s="21">
        <v>0.36804397942447897</v>
      </c>
      <c r="G256" s="4">
        <v>0.33200000000000002</v>
      </c>
      <c r="H256" s="4">
        <v>0.30472103004291801</v>
      </c>
      <c r="I256" s="4">
        <v>2.1999999999999999E-2</v>
      </c>
      <c r="J256" s="4">
        <v>2.9000000000000001E-2</v>
      </c>
      <c r="K256" s="5">
        <v>100</v>
      </c>
      <c r="L256" s="5">
        <v>100</v>
      </c>
      <c r="M256" s="5">
        <v>100</v>
      </c>
      <c r="N256" s="5">
        <v>100</v>
      </c>
      <c r="O256" s="2">
        <v>0.40346710544549141</v>
      </c>
      <c r="P256" s="2">
        <v>0.36344211833331574</v>
      </c>
      <c r="Q256" s="2">
        <v>2.2245608947319737E-2</v>
      </c>
      <c r="R256" s="2">
        <v>2.9428810690812168E-2</v>
      </c>
    </row>
    <row r="257" spans="1:18" x14ac:dyDescent="0.3">
      <c r="A257" s="7">
        <v>881</v>
      </c>
      <c r="B257" s="7">
        <v>266</v>
      </c>
      <c r="C257" s="7">
        <v>0</v>
      </c>
      <c r="D257" s="7">
        <v>0</v>
      </c>
      <c r="E257" s="20" t="str">
        <f t="shared" si="3"/>
        <v>00</v>
      </c>
      <c r="F257" s="21">
        <v>0.37188838701509802</v>
      </c>
      <c r="G257" s="4">
        <v>0.35799999999999998</v>
      </c>
      <c r="H257" s="4">
        <v>0.34166666666666701</v>
      </c>
      <c r="I257" s="4">
        <v>3.6999999999999998E-2</v>
      </c>
      <c r="J257" s="4">
        <v>2.3E-2</v>
      </c>
      <c r="K257" s="5">
        <v>100</v>
      </c>
      <c r="L257" s="5">
        <v>100</v>
      </c>
      <c r="M257" s="5">
        <v>100</v>
      </c>
      <c r="N257" s="5">
        <v>100</v>
      </c>
      <c r="O257" s="2">
        <v>0.44316697529217586</v>
      </c>
      <c r="P257" s="2">
        <v>0.41804389031502504</v>
      </c>
      <c r="Q257" s="2">
        <v>3.7701867184011528E-2</v>
      </c>
      <c r="R257" s="2">
        <v>2.3268626939354331E-2</v>
      </c>
    </row>
    <row r="258" spans="1:18" x14ac:dyDescent="0.3">
      <c r="A258" s="7">
        <v>62</v>
      </c>
      <c r="B258" s="7">
        <v>288</v>
      </c>
      <c r="C258" s="7">
        <v>0</v>
      </c>
      <c r="D258" s="7">
        <v>0</v>
      </c>
      <c r="E258" s="20" t="str">
        <f t="shared" ref="E258:E321" si="4">_xlfn.CONCAT(C258,D258)</f>
        <v>00</v>
      </c>
      <c r="F258" s="21">
        <v>0.37267858610723198</v>
      </c>
      <c r="G258" s="4">
        <v>0.30199999999999999</v>
      </c>
      <c r="H258" s="4">
        <v>0.22687224669603501</v>
      </c>
      <c r="I258" s="4">
        <v>0.98199999999999998</v>
      </c>
      <c r="J258" s="4">
        <v>0.97099999999999997</v>
      </c>
      <c r="K258" s="5">
        <v>100</v>
      </c>
      <c r="L258" s="5">
        <v>100</v>
      </c>
      <c r="M258" s="5">
        <v>0</v>
      </c>
      <c r="N258" s="5">
        <v>0</v>
      </c>
      <c r="O258" s="2">
        <v>0.35953617621976464</v>
      </c>
      <c r="P258" s="2">
        <v>0.25731097457548185</v>
      </c>
      <c r="Q258" s="2">
        <v>4.0173835210859714</v>
      </c>
      <c r="R258" s="2">
        <v>3.5404594489956622</v>
      </c>
    </row>
    <row r="259" spans="1:18" x14ac:dyDescent="0.3">
      <c r="A259" s="7">
        <v>708</v>
      </c>
      <c r="B259" s="7">
        <v>257</v>
      </c>
      <c r="C259" s="7">
        <v>0</v>
      </c>
      <c r="D259" s="7">
        <v>0</v>
      </c>
      <c r="E259" s="20" t="str">
        <f t="shared" si="4"/>
        <v>00</v>
      </c>
      <c r="F259" s="21">
        <v>0.37412831275448999</v>
      </c>
      <c r="G259" s="4">
        <v>0.629</v>
      </c>
      <c r="H259" s="4">
        <v>0.485411140583554</v>
      </c>
      <c r="I259" s="4">
        <v>1.4999999999999999E-2</v>
      </c>
      <c r="J259" s="4">
        <v>3.2000000000000001E-2</v>
      </c>
      <c r="K259" s="5">
        <v>0</v>
      </c>
      <c r="L259" s="5">
        <v>100</v>
      </c>
      <c r="M259" s="5">
        <v>100</v>
      </c>
      <c r="N259" s="5">
        <v>100</v>
      </c>
      <c r="O259" s="2">
        <v>0.99155321637470195</v>
      </c>
      <c r="P259" s="2">
        <v>0.66438702838468178</v>
      </c>
      <c r="Q259" s="2">
        <v>1.5113637810048184E-2</v>
      </c>
      <c r="R259" s="2">
        <v>3.2523191705560062E-2</v>
      </c>
    </row>
    <row r="260" spans="1:18" x14ac:dyDescent="0.3">
      <c r="A260" s="7">
        <v>924</v>
      </c>
      <c r="B260" s="7">
        <v>265</v>
      </c>
      <c r="C260" s="7">
        <v>0</v>
      </c>
      <c r="D260" s="7">
        <v>0</v>
      </c>
      <c r="E260" s="20" t="str">
        <f t="shared" si="4"/>
        <v>00</v>
      </c>
      <c r="F260" s="21">
        <v>0.37775397275634398</v>
      </c>
      <c r="G260" s="4">
        <v>0.26800000000000002</v>
      </c>
      <c r="H260" s="4">
        <v>0.202672605790646</v>
      </c>
      <c r="I260" s="4">
        <v>6.2E-2</v>
      </c>
      <c r="J260" s="4">
        <v>6.7000000000000004E-2</v>
      </c>
      <c r="K260" s="5">
        <v>100</v>
      </c>
      <c r="L260" s="5">
        <v>100</v>
      </c>
      <c r="M260" s="5">
        <v>100</v>
      </c>
      <c r="N260" s="5">
        <v>100</v>
      </c>
      <c r="O260" s="2">
        <v>0.3119747650208255</v>
      </c>
      <c r="P260" s="2">
        <v>0.2264899013415542</v>
      </c>
      <c r="Q260" s="2">
        <v>6.4005329975912434E-2</v>
      </c>
      <c r="R260" s="2">
        <v>6.9350078134793172E-2</v>
      </c>
    </row>
    <row r="261" spans="1:18" x14ac:dyDescent="0.3">
      <c r="A261" s="7">
        <v>601</v>
      </c>
      <c r="B261" s="7">
        <v>275</v>
      </c>
      <c r="C261" s="7">
        <v>0</v>
      </c>
      <c r="D261" s="7">
        <v>0</v>
      </c>
      <c r="E261" s="20" t="str">
        <f t="shared" si="4"/>
        <v>00</v>
      </c>
      <c r="F261" s="21">
        <v>0.37787962653087898</v>
      </c>
      <c r="G261" s="4">
        <v>0.36599999999999999</v>
      </c>
      <c r="H261" s="4">
        <v>0.33404255319148901</v>
      </c>
      <c r="I261" s="4">
        <v>2.5999999999999999E-2</v>
      </c>
      <c r="J261" s="4">
        <v>2.5999999999999999E-2</v>
      </c>
      <c r="K261" s="5">
        <v>100</v>
      </c>
      <c r="L261" s="5">
        <v>100</v>
      </c>
      <c r="M261" s="5">
        <v>100</v>
      </c>
      <c r="N261" s="5">
        <v>100</v>
      </c>
      <c r="O261" s="2">
        <v>0.45570632454491111</v>
      </c>
      <c r="P261" s="2">
        <v>0.40652950416395051</v>
      </c>
      <c r="Q261" s="2">
        <v>2.6343975339601977E-2</v>
      </c>
      <c r="R261" s="2">
        <v>2.6343975339601977E-2</v>
      </c>
    </row>
    <row r="262" spans="1:18" x14ac:dyDescent="0.3">
      <c r="A262" s="7">
        <v>294</v>
      </c>
      <c r="B262" s="7">
        <v>248</v>
      </c>
      <c r="C262" s="7">
        <v>0</v>
      </c>
      <c r="D262" s="7">
        <v>0</v>
      </c>
      <c r="E262" s="20" t="str">
        <f t="shared" si="4"/>
        <v>00</v>
      </c>
      <c r="F262" s="21">
        <v>0.378543231008513</v>
      </c>
      <c r="G262" s="4">
        <v>0.40400000000000003</v>
      </c>
      <c r="H262" s="4">
        <v>0.31981981981981999</v>
      </c>
      <c r="I262" s="4">
        <v>4.2000000000000003E-2</v>
      </c>
      <c r="J262" s="4">
        <v>4.1000000000000002E-2</v>
      </c>
      <c r="K262" s="5">
        <v>100</v>
      </c>
      <c r="L262" s="5">
        <v>100</v>
      </c>
      <c r="M262" s="5">
        <v>100</v>
      </c>
      <c r="N262" s="5">
        <v>100</v>
      </c>
      <c r="O262" s="2">
        <v>0.51751461191678738</v>
      </c>
      <c r="P262" s="2">
        <v>0.38539754505735535</v>
      </c>
      <c r="Q262" s="2">
        <v>4.290750101127655E-2</v>
      </c>
      <c r="R262" s="2">
        <v>4.1864204098698871E-2</v>
      </c>
    </row>
    <row r="263" spans="1:18" x14ac:dyDescent="0.3">
      <c r="A263" s="7">
        <v>35</v>
      </c>
      <c r="B263" s="7">
        <v>248</v>
      </c>
      <c r="C263" s="7">
        <v>0</v>
      </c>
      <c r="D263" s="7">
        <v>0</v>
      </c>
      <c r="E263" s="20" t="str">
        <f t="shared" si="4"/>
        <v>00</v>
      </c>
      <c r="F263" s="21">
        <v>0.38020258213879399</v>
      </c>
      <c r="G263" s="4">
        <v>0.36899999999999999</v>
      </c>
      <c r="H263" s="4">
        <v>0.29805615550755898</v>
      </c>
      <c r="I263" s="4">
        <v>3.1E-2</v>
      </c>
      <c r="J263" s="4">
        <v>0.04</v>
      </c>
      <c r="K263" s="5">
        <v>100</v>
      </c>
      <c r="L263" s="5">
        <v>100</v>
      </c>
      <c r="M263" s="5">
        <v>100</v>
      </c>
      <c r="N263" s="5">
        <v>100</v>
      </c>
      <c r="O263" s="2">
        <v>0.46044941644092391</v>
      </c>
      <c r="P263" s="2">
        <v>0.3539018717564959</v>
      </c>
      <c r="Q263" s="2">
        <v>3.1490667091370848E-2</v>
      </c>
      <c r="R263" s="2">
        <v>4.0821994520255166E-2</v>
      </c>
    </row>
    <row r="264" spans="1:18" x14ac:dyDescent="0.3">
      <c r="A264" s="7">
        <v>678</v>
      </c>
      <c r="B264" s="7">
        <v>276</v>
      </c>
      <c r="C264" s="7">
        <v>0</v>
      </c>
      <c r="D264" s="7">
        <v>0</v>
      </c>
      <c r="E264" s="20" t="str">
        <f t="shared" si="4"/>
        <v>00</v>
      </c>
      <c r="F264" s="21">
        <v>0.38254239553858699</v>
      </c>
      <c r="G264" s="4">
        <v>0.28899999999999998</v>
      </c>
      <c r="H264" s="4">
        <v>0.25531914893617003</v>
      </c>
      <c r="I264" s="4">
        <v>1.7999999999999999E-2</v>
      </c>
      <c r="J264" s="4">
        <v>2.3E-2</v>
      </c>
      <c r="K264" s="5">
        <v>100</v>
      </c>
      <c r="L264" s="5">
        <v>100</v>
      </c>
      <c r="M264" s="5">
        <v>100</v>
      </c>
      <c r="N264" s="5">
        <v>100</v>
      </c>
      <c r="O264" s="2">
        <v>0.34108284917889609</v>
      </c>
      <c r="P264" s="2">
        <v>0.29479954022064464</v>
      </c>
      <c r="Q264" s="2">
        <v>1.816397062767118E-2</v>
      </c>
      <c r="R264" s="2">
        <v>2.3268626939354331E-2</v>
      </c>
    </row>
    <row r="265" spans="1:18" x14ac:dyDescent="0.3">
      <c r="A265" s="7">
        <v>610</v>
      </c>
      <c r="B265" s="7">
        <v>264</v>
      </c>
      <c r="C265" s="7">
        <v>0</v>
      </c>
      <c r="D265" s="7">
        <v>0</v>
      </c>
      <c r="E265" s="20" t="str">
        <f t="shared" si="4"/>
        <v>00</v>
      </c>
      <c r="F265" s="21">
        <v>0.38304825767193601</v>
      </c>
      <c r="G265" s="4">
        <v>0.35099999999999998</v>
      </c>
      <c r="H265" s="4">
        <v>0.32150776053215102</v>
      </c>
      <c r="I265" s="4">
        <v>2.7E-2</v>
      </c>
      <c r="J265" s="4">
        <v>0.03</v>
      </c>
      <c r="K265" s="5">
        <v>100</v>
      </c>
      <c r="L265" s="5">
        <v>100</v>
      </c>
      <c r="M265" s="5">
        <v>100</v>
      </c>
      <c r="N265" s="5">
        <v>100</v>
      </c>
      <c r="O265" s="2">
        <v>0.43232256227804705</v>
      </c>
      <c r="P265" s="2">
        <v>0.38788223755029794</v>
      </c>
      <c r="Q265" s="2">
        <v>2.7371196796132015E-2</v>
      </c>
      <c r="R265" s="2">
        <v>3.0459207484708574E-2</v>
      </c>
    </row>
    <row r="266" spans="1:18" x14ac:dyDescent="0.3">
      <c r="A266" s="7">
        <v>954</v>
      </c>
      <c r="B266" s="7">
        <v>264</v>
      </c>
      <c r="C266" s="7">
        <v>0</v>
      </c>
      <c r="D266" s="7">
        <v>0</v>
      </c>
      <c r="E266" s="20" t="str">
        <f t="shared" si="4"/>
        <v>00</v>
      </c>
      <c r="F266" s="21">
        <v>0.384450784151881</v>
      </c>
      <c r="G266" s="4">
        <v>0.30299999999999999</v>
      </c>
      <c r="H266" s="4">
        <v>0.27708333333333302</v>
      </c>
      <c r="I266" s="4">
        <v>2.3E-2</v>
      </c>
      <c r="J266" s="4">
        <v>2.3E-2</v>
      </c>
      <c r="K266" s="5">
        <v>100</v>
      </c>
      <c r="L266" s="5">
        <v>100</v>
      </c>
      <c r="M266" s="5">
        <v>100</v>
      </c>
      <c r="N266" s="5">
        <v>100</v>
      </c>
      <c r="O266" s="2">
        <v>0.36096986822161309</v>
      </c>
      <c r="P266" s="2">
        <v>0.32446132395507699</v>
      </c>
      <c r="Q266" s="2">
        <v>2.3268626939354331E-2</v>
      </c>
      <c r="R266" s="2">
        <v>2.3268626939354331E-2</v>
      </c>
    </row>
    <row r="267" spans="1:18" x14ac:dyDescent="0.3">
      <c r="A267" s="7">
        <v>320</v>
      </c>
      <c r="B267" s="7">
        <v>266</v>
      </c>
      <c r="C267" s="7">
        <v>0</v>
      </c>
      <c r="D267" s="7">
        <v>0</v>
      </c>
      <c r="E267" s="20" t="str">
        <f t="shared" si="4"/>
        <v>00</v>
      </c>
      <c r="F267" s="21">
        <v>0.38691940436646799</v>
      </c>
      <c r="G267" s="4">
        <v>0.33500000000000002</v>
      </c>
      <c r="H267" s="4">
        <v>0.29299363057324801</v>
      </c>
      <c r="I267" s="4">
        <v>4.1000000000000002E-2</v>
      </c>
      <c r="J267" s="4">
        <v>2.1999999999999999E-2</v>
      </c>
      <c r="K267" s="5">
        <v>100</v>
      </c>
      <c r="L267" s="5">
        <v>100</v>
      </c>
      <c r="M267" s="5">
        <v>100</v>
      </c>
      <c r="N267" s="5">
        <v>100</v>
      </c>
      <c r="O267" s="2">
        <v>0.40796823832628287</v>
      </c>
      <c r="P267" s="2">
        <v>0.34671560403597335</v>
      </c>
      <c r="Q267" s="2">
        <v>4.1864204098698871E-2</v>
      </c>
      <c r="R267" s="2">
        <v>2.2245608947319737E-2</v>
      </c>
    </row>
    <row r="268" spans="1:18" x14ac:dyDescent="0.3">
      <c r="A268" s="7">
        <v>764</v>
      </c>
      <c r="B268" s="7">
        <v>251</v>
      </c>
      <c r="C268" s="7">
        <v>0</v>
      </c>
      <c r="D268" s="7">
        <v>0</v>
      </c>
      <c r="E268" s="20" t="str">
        <f t="shared" si="4"/>
        <v>00</v>
      </c>
      <c r="F268" s="21">
        <v>0.38911210962023401</v>
      </c>
      <c r="G268" s="4">
        <v>0.32500000000000001</v>
      </c>
      <c r="H268" s="4">
        <v>0.29916317991631802</v>
      </c>
      <c r="I268" s="4">
        <v>0.38</v>
      </c>
      <c r="J268" s="4">
        <v>0.36199999999999999</v>
      </c>
      <c r="K268" s="5">
        <v>100</v>
      </c>
      <c r="L268" s="5">
        <v>100</v>
      </c>
      <c r="M268" s="5">
        <v>100</v>
      </c>
      <c r="N268" s="5">
        <v>100</v>
      </c>
      <c r="O268" s="2">
        <v>0.39304258810960718</v>
      </c>
      <c r="P268" s="2">
        <v>0.35548020066638958</v>
      </c>
      <c r="Q268" s="2">
        <v>0.4780358009429998</v>
      </c>
      <c r="R268" s="2">
        <v>0.44941699563734716</v>
      </c>
    </row>
    <row r="269" spans="1:18" x14ac:dyDescent="0.3">
      <c r="A269" s="7">
        <v>12</v>
      </c>
      <c r="B269" s="7">
        <v>255</v>
      </c>
      <c r="C269" s="7">
        <v>0</v>
      </c>
      <c r="D269" s="7">
        <v>0</v>
      </c>
      <c r="E269" s="20" t="str">
        <f t="shared" si="4"/>
        <v>00</v>
      </c>
      <c r="F269" s="21">
        <v>0.39169251768770902</v>
      </c>
      <c r="G269" s="4">
        <v>0.52900000000000003</v>
      </c>
      <c r="H269" s="4">
        <v>0.35924932975871299</v>
      </c>
      <c r="I269" s="4">
        <v>3.3000000000000002E-2</v>
      </c>
      <c r="J269" s="4">
        <v>4.9000000000000002E-2</v>
      </c>
      <c r="K269" s="5">
        <v>0</v>
      </c>
      <c r="L269" s="5">
        <v>100</v>
      </c>
      <c r="M269" s="5">
        <v>100</v>
      </c>
      <c r="N269" s="5">
        <v>100</v>
      </c>
      <c r="O269" s="2">
        <v>0.75289718496571933</v>
      </c>
      <c r="P269" s="2">
        <v>0.44511486771230457</v>
      </c>
      <c r="Q269" s="2">
        <v>3.3556783528842754E-2</v>
      </c>
      <c r="R269" s="2">
        <v>5.024121643674679E-2</v>
      </c>
    </row>
    <row r="270" spans="1:18" x14ac:dyDescent="0.3">
      <c r="A270" s="7">
        <v>492</v>
      </c>
      <c r="B270" s="7">
        <v>244</v>
      </c>
      <c r="C270" s="7">
        <v>0</v>
      </c>
      <c r="D270" s="7">
        <v>0</v>
      </c>
      <c r="E270" s="20" t="str">
        <f t="shared" si="4"/>
        <v>00</v>
      </c>
      <c r="F270" s="21">
        <v>0.39472121102521202</v>
      </c>
      <c r="G270" s="4">
        <v>0.24199999999999999</v>
      </c>
      <c r="H270" s="4">
        <v>0.18629550321199101</v>
      </c>
      <c r="I270" s="4">
        <v>0.02</v>
      </c>
      <c r="J270" s="4">
        <v>0.02</v>
      </c>
      <c r="K270" s="5">
        <v>100</v>
      </c>
      <c r="L270" s="5">
        <v>100</v>
      </c>
      <c r="M270" s="5">
        <v>100</v>
      </c>
      <c r="N270" s="5">
        <v>100</v>
      </c>
      <c r="O270" s="2">
        <v>0.2770718933397654</v>
      </c>
      <c r="P270" s="2">
        <v>0.2061580049484654</v>
      </c>
      <c r="Q270" s="2">
        <v>2.0202707317519466E-2</v>
      </c>
      <c r="R270" s="2">
        <v>2.0202707317519466E-2</v>
      </c>
    </row>
    <row r="271" spans="1:18" x14ac:dyDescent="0.3">
      <c r="A271" s="7">
        <v>680</v>
      </c>
      <c r="B271" s="7">
        <v>256</v>
      </c>
      <c r="C271" s="7">
        <v>0</v>
      </c>
      <c r="D271" s="7">
        <v>0</v>
      </c>
      <c r="E271" s="20" t="str">
        <f t="shared" si="4"/>
        <v>00</v>
      </c>
      <c r="F271" s="21">
        <v>0.40283007352288602</v>
      </c>
      <c r="G271" s="4">
        <v>0.35099999999999998</v>
      </c>
      <c r="H271" s="4">
        <v>0.33686440677966101</v>
      </c>
      <c r="I271" s="4">
        <v>0.03</v>
      </c>
      <c r="J271" s="4">
        <v>3.5000000000000003E-2</v>
      </c>
      <c r="K271" s="5">
        <v>100</v>
      </c>
      <c r="L271" s="5">
        <v>100</v>
      </c>
      <c r="M271" s="5">
        <v>100</v>
      </c>
      <c r="N271" s="5">
        <v>100</v>
      </c>
      <c r="O271" s="2">
        <v>0.43232256227804705</v>
      </c>
      <c r="P271" s="2">
        <v>0.41077579504540213</v>
      </c>
      <c r="Q271" s="2">
        <v>3.0459207484708574E-2</v>
      </c>
      <c r="R271" s="2">
        <v>3.562717764315116E-2</v>
      </c>
    </row>
    <row r="272" spans="1:18" x14ac:dyDescent="0.3">
      <c r="A272" s="7">
        <v>198</v>
      </c>
      <c r="B272" s="7">
        <v>226</v>
      </c>
      <c r="C272" s="7">
        <v>0</v>
      </c>
      <c r="D272" s="7">
        <v>0</v>
      </c>
      <c r="E272" s="20" t="str">
        <f t="shared" si="4"/>
        <v>00</v>
      </c>
      <c r="F272" s="21">
        <v>0.40327038431920198</v>
      </c>
      <c r="G272" s="4">
        <v>0.45800000000000002</v>
      </c>
      <c r="H272" s="4">
        <v>0.31695331695331702</v>
      </c>
      <c r="I272" s="4">
        <v>3.5000000000000003E-2</v>
      </c>
      <c r="J272" s="4">
        <v>3.1E-2</v>
      </c>
      <c r="K272" s="5">
        <v>100</v>
      </c>
      <c r="L272" s="5">
        <v>100</v>
      </c>
      <c r="M272" s="5">
        <v>100</v>
      </c>
      <c r="N272" s="5">
        <v>100</v>
      </c>
      <c r="O272" s="2">
        <v>0.61248927754249083</v>
      </c>
      <c r="P272" s="2">
        <v>0.38119207175195796</v>
      </c>
      <c r="Q272" s="2">
        <v>3.562717764315116E-2</v>
      </c>
      <c r="R272" s="2">
        <v>3.1490667091370848E-2</v>
      </c>
    </row>
    <row r="273" spans="1:18" x14ac:dyDescent="0.3">
      <c r="A273" s="7">
        <v>631</v>
      </c>
      <c r="B273" s="7">
        <v>247</v>
      </c>
      <c r="C273" s="7">
        <v>0</v>
      </c>
      <c r="D273" s="7">
        <v>0</v>
      </c>
      <c r="E273" s="20" t="str">
        <f t="shared" si="4"/>
        <v>00</v>
      </c>
      <c r="F273" s="21">
        <v>0.41077454594016699</v>
      </c>
      <c r="G273" s="4">
        <v>0.20100000000000001</v>
      </c>
      <c r="H273" s="4">
        <v>0.17741935483870999</v>
      </c>
      <c r="I273" s="4">
        <v>0.03</v>
      </c>
      <c r="J273" s="4">
        <v>3.2000000000000001E-2</v>
      </c>
      <c r="K273" s="5">
        <v>100</v>
      </c>
      <c r="L273" s="5">
        <v>100</v>
      </c>
      <c r="M273" s="5">
        <v>100</v>
      </c>
      <c r="N273" s="5">
        <v>100</v>
      </c>
      <c r="O273" s="2">
        <v>0.22439433321586247</v>
      </c>
      <c r="P273" s="2">
        <v>0.19530875232076614</v>
      </c>
      <c r="Q273" s="2">
        <v>3.0459207484708574E-2</v>
      </c>
      <c r="R273" s="2">
        <v>3.2523191705560062E-2</v>
      </c>
    </row>
    <row r="274" spans="1:18" x14ac:dyDescent="0.3">
      <c r="A274" s="7">
        <v>208</v>
      </c>
      <c r="B274" s="7">
        <v>234</v>
      </c>
      <c r="C274" s="7">
        <v>0</v>
      </c>
      <c r="D274" s="7">
        <v>0</v>
      </c>
      <c r="E274" s="20" t="str">
        <f t="shared" si="4"/>
        <v>00</v>
      </c>
      <c r="F274" s="21">
        <v>0.41079891289396597</v>
      </c>
      <c r="G274" s="4">
        <v>0.28100000000000003</v>
      </c>
      <c r="H274" s="4">
        <v>0.22292993630573199</v>
      </c>
      <c r="I274" s="4">
        <v>2.7E-2</v>
      </c>
      <c r="J274" s="4">
        <v>2.3E-2</v>
      </c>
      <c r="K274" s="5">
        <v>100</v>
      </c>
      <c r="L274" s="5">
        <v>100</v>
      </c>
      <c r="M274" s="5">
        <v>100</v>
      </c>
      <c r="N274" s="5">
        <v>100</v>
      </c>
      <c r="O274" s="2">
        <v>0.32989392126109041</v>
      </c>
      <c r="P274" s="2">
        <v>0.25222476061505089</v>
      </c>
      <c r="Q274" s="2">
        <v>2.7371196796132015E-2</v>
      </c>
      <c r="R274" s="2">
        <v>2.3268626939354331E-2</v>
      </c>
    </row>
    <row r="275" spans="1:18" x14ac:dyDescent="0.3">
      <c r="A275" s="7">
        <v>160</v>
      </c>
      <c r="B275" s="7">
        <v>245</v>
      </c>
      <c r="C275" s="7">
        <v>0</v>
      </c>
      <c r="D275" s="7">
        <v>0</v>
      </c>
      <c r="E275" s="20" t="str">
        <f t="shared" si="4"/>
        <v>00</v>
      </c>
      <c r="F275" s="21">
        <v>0.41207362232996197</v>
      </c>
      <c r="G275" s="4">
        <v>0.45800000000000002</v>
      </c>
      <c r="H275" s="4">
        <v>0.39082969432314402</v>
      </c>
      <c r="I275" s="4">
        <v>2.7E-2</v>
      </c>
      <c r="J275" s="4">
        <v>3.5000000000000003E-2</v>
      </c>
      <c r="K275" s="5">
        <v>100</v>
      </c>
      <c r="L275" s="5">
        <v>100</v>
      </c>
      <c r="M275" s="5">
        <v>100</v>
      </c>
      <c r="N275" s="5">
        <v>100</v>
      </c>
      <c r="O275" s="2">
        <v>0.61248927754249083</v>
      </c>
      <c r="P275" s="2">
        <v>0.49565740229281907</v>
      </c>
      <c r="Q275" s="2">
        <v>2.7371196796132015E-2</v>
      </c>
      <c r="R275" s="2">
        <v>3.562717764315116E-2</v>
      </c>
    </row>
    <row r="276" spans="1:18" x14ac:dyDescent="0.3">
      <c r="A276" s="7">
        <v>894</v>
      </c>
      <c r="B276" s="7">
        <v>242</v>
      </c>
      <c r="C276" s="7">
        <v>0</v>
      </c>
      <c r="D276" s="7">
        <v>0</v>
      </c>
      <c r="E276" s="20" t="str">
        <f t="shared" si="4"/>
        <v>00</v>
      </c>
      <c r="F276" s="21">
        <v>0.41310987767930402</v>
      </c>
      <c r="G276" s="4">
        <v>0.39400000000000002</v>
      </c>
      <c r="H276" s="4">
        <v>0.331905781584582</v>
      </c>
      <c r="I276" s="4">
        <v>2.8000000000000001E-2</v>
      </c>
      <c r="J276" s="4">
        <v>0.03</v>
      </c>
      <c r="K276" s="5">
        <v>100</v>
      </c>
      <c r="L276" s="5">
        <v>100</v>
      </c>
      <c r="M276" s="5">
        <v>100</v>
      </c>
      <c r="N276" s="5">
        <v>100</v>
      </c>
      <c r="O276" s="2">
        <v>0.50087529291282262</v>
      </c>
      <c r="P276" s="2">
        <v>0.40332606985941438</v>
      </c>
      <c r="Q276" s="2">
        <v>2.8399474521698002E-2</v>
      </c>
      <c r="R276" s="2">
        <v>3.0459207484708574E-2</v>
      </c>
    </row>
    <row r="277" spans="1:18" x14ac:dyDescent="0.3">
      <c r="A277" s="7">
        <v>947</v>
      </c>
      <c r="B277" s="7">
        <v>241</v>
      </c>
      <c r="C277" s="7">
        <v>0</v>
      </c>
      <c r="D277" s="7">
        <v>0</v>
      </c>
      <c r="E277" s="20" t="str">
        <f t="shared" si="4"/>
        <v>00</v>
      </c>
      <c r="F277" s="21">
        <v>0.41596368630903902</v>
      </c>
      <c r="G277" s="4">
        <v>0.42099999999999999</v>
      </c>
      <c r="H277" s="4">
        <v>0.37908496732026098</v>
      </c>
      <c r="I277" s="4">
        <v>3.2000000000000001E-2</v>
      </c>
      <c r="J277" s="4">
        <v>3.5000000000000003E-2</v>
      </c>
      <c r="K277" s="5">
        <v>100</v>
      </c>
      <c r="L277" s="5">
        <v>100</v>
      </c>
      <c r="M277" s="5">
        <v>100</v>
      </c>
      <c r="N277" s="5">
        <v>100</v>
      </c>
      <c r="O277" s="2">
        <v>0.54645280140914188</v>
      </c>
      <c r="P277" s="2">
        <v>0.47656102979189391</v>
      </c>
      <c r="Q277" s="2">
        <v>3.2523191705560062E-2</v>
      </c>
      <c r="R277" s="2">
        <v>3.562717764315116E-2</v>
      </c>
    </row>
    <row r="278" spans="1:18" x14ac:dyDescent="0.3">
      <c r="A278" s="7">
        <v>965</v>
      </c>
      <c r="B278" s="7">
        <v>269</v>
      </c>
      <c r="C278" s="7">
        <v>0</v>
      </c>
      <c r="D278" s="7">
        <v>0</v>
      </c>
      <c r="E278" s="20" t="str">
        <f t="shared" si="4"/>
        <v>00</v>
      </c>
      <c r="F278" s="21">
        <v>0.42064791033746401</v>
      </c>
      <c r="G278" s="4">
        <v>0.505</v>
      </c>
      <c r="H278" s="4">
        <v>0.43115124153498902</v>
      </c>
      <c r="I278" s="4">
        <v>3.2000000000000001E-2</v>
      </c>
      <c r="J278" s="4">
        <v>2.9000000000000001E-2</v>
      </c>
      <c r="K278" s="5">
        <v>0</v>
      </c>
      <c r="L278" s="5">
        <v>100</v>
      </c>
      <c r="M278" s="5">
        <v>100</v>
      </c>
      <c r="N278" s="5">
        <v>100</v>
      </c>
      <c r="O278" s="2">
        <v>0.70319751641344674</v>
      </c>
      <c r="P278" s="2">
        <v>0.56414068253371275</v>
      </c>
      <c r="Q278" s="2">
        <v>3.2523191705560062E-2</v>
      </c>
      <c r="R278" s="2">
        <v>2.9428810690812168E-2</v>
      </c>
    </row>
    <row r="279" spans="1:18" x14ac:dyDescent="0.3">
      <c r="A279" s="7">
        <v>309</v>
      </c>
      <c r="B279" s="7">
        <v>253</v>
      </c>
      <c r="C279" s="7">
        <v>0</v>
      </c>
      <c r="D279" s="7">
        <v>0</v>
      </c>
      <c r="E279" s="20" t="str">
        <f t="shared" si="4"/>
        <v>00</v>
      </c>
      <c r="F279" s="21">
        <v>0.42192056544926398</v>
      </c>
      <c r="G279" s="4">
        <v>0.29099999999999998</v>
      </c>
      <c r="H279" s="4">
        <v>0.22</v>
      </c>
      <c r="I279" s="4">
        <v>0.02</v>
      </c>
      <c r="J279" s="4">
        <v>3.1E-2</v>
      </c>
      <c r="K279" s="5">
        <v>100</v>
      </c>
      <c r="L279" s="5">
        <v>100</v>
      </c>
      <c r="M279" s="5">
        <v>100</v>
      </c>
      <c r="N279" s="5">
        <v>100</v>
      </c>
      <c r="O279" s="2">
        <v>0.34389975245000942</v>
      </c>
      <c r="P279" s="2">
        <v>0.24846135929849961</v>
      </c>
      <c r="Q279" s="2">
        <v>2.0202707317519466E-2</v>
      </c>
      <c r="R279" s="2">
        <v>3.1490667091370848E-2</v>
      </c>
    </row>
    <row r="280" spans="1:18" x14ac:dyDescent="0.3">
      <c r="A280" s="7">
        <v>297</v>
      </c>
      <c r="B280" s="7">
        <v>254</v>
      </c>
      <c r="C280" s="7">
        <v>0</v>
      </c>
      <c r="D280" s="7">
        <v>0</v>
      </c>
      <c r="E280" s="20" t="str">
        <f t="shared" si="4"/>
        <v>00</v>
      </c>
      <c r="F280" s="21">
        <v>0.4246917355475</v>
      </c>
      <c r="G280" s="4">
        <v>0.42899999999999999</v>
      </c>
      <c r="H280" s="4">
        <v>0.328193832599119</v>
      </c>
      <c r="I280" s="4">
        <v>3.4000000000000002E-2</v>
      </c>
      <c r="J280" s="4">
        <v>3.2000000000000001E-2</v>
      </c>
      <c r="K280" s="5">
        <v>100</v>
      </c>
      <c r="L280" s="5">
        <v>100</v>
      </c>
      <c r="M280" s="5">
        <v>100</v>
      </c>
      <c r="N280" s="5">
        <v>100</v>
      </c>
      <c r="O280" s="2">
        <v>0.56036606932612687</v>
      </c>
      <c r="P280" s="2">
        <v>0.39778542143393636</v>
      </c>
      <c r="Q280" s="2">
        <v>3.459144476961909E-2</v>
      </c>
      <c r="R280" s="2">
        <v>3.2523191705560062E-2</v>
      </c>
    </row>
    <row r="281" spans="1:18" x14ac:dyDescent="0.3">
      <c r="A281" s="7">
        <v>364</v>
      </c>
      <c r="B281" s="7">
        <v>240</v>
      </c>
      <c r="C281" s="7">
        <v>0</v>
      </c>
      <c r="D281" s="7">
        <v>0</v>
      </c>
      <c r="E281" s="20" t="str">
        <f t="shared" si="4"/>
        <v>00</v>
      </c>
      <c r="F281" s="21">
        <v>0.425445812141446</v>
      </c>
      <c r="G281" s="4">
        <v>0.24399999999999999</v>
      </c>
      <c r="H281" s="4">
        <v>0.221052631578947</v>
      </c>
      <c r="I281" s="4">
        <v>3.2000000000000001E-2</v>
      </c>
      <c r="J281" s="4">
        <v>3.5000000000000003E-2</v>
      </c>
      <c r="K281" s="5">
        <v>100</v>
      </c>
      <c r="L281" s="5">
        <v>100</v>
      </c>
      <c r="M281" s="5">
        <v>100</v>
      </c>
      <c r="N281" s="5">
        <v>100</v>
      </c>
      <c r="O281" s="2">
        <v>0.27971390280260405</v>
      </c>
      <c r="P281" s="2">
        <v>0.24981179839637055</v>
      </c>
      <c r="Q281" s="2">
        <v>3.2523191705560062E-2</v>
      </c>
      <c r="R281" s="2">
        <v>3.562717764315116E-2</v>
      </c>
    </row>
    <row r="282" spans="1:18" x14ac:dyDescent="0.3">
      <c r="A282" s="7">
        <v>759</v>
      </c>
      <c r="B282" s="7">
        <v>226</v>
      </c>
      <c r="C282" s="7">
        <v>0</v>
      </c>
      <c r="D282" s="7">
        <v>0</v>
      </c>
      <c r="E282" s="20" t="str">
        <f t="shared" si="4"/>
        <v>00</v>
      </c>
      <c r="F282" s="21">
        <v>0.42582183949566599</v>
      </c>
      <c r="G282" s="4">
        <v>0.58799999999999997</v>
      </c>
      <c r="H282" s="4">
        <v>0.48186528497409298</v>
      </c>
      <c r="I282" s="4">
        <v>4.8000000000000001E-2</v>
      </c>
      <c r="J282" s="4">
        <v>3.7999999999999999E-2</v>
      </c>
      <c r="K282" s="5">
        <v>0</v>
      </c>
      <c r="L282" s="5">
        <v>100</v>
      </c>
      <c r="M282" s="5">
        <v>100</v>
      </c>
      <c r="N282" s="5">
        <v>100</v>
      </c>
      <c r="O282" s="2">
        <v>0.8867319296326106</v>
      </c>
      <c r="P282" s="2">
        <v>0.65752000291679358</v>
      </c>
      <c r="Q282" s="2">
        <v>4.9190244190771781E-2</v>
      </c>
      <c r="R282" s="2">
        <v>3.8740828316430595E-2</v>
      </c>
    </row>
    <row r="283" spans="1:18" x14ac:dyDescent="0.3">
      <c r="A283" s="7">
        <v>94</v>
      </c>
      <c r="B283" s="7">
        <v>239</v>
      </c>
      <c r="C283" s="7">
        <v>0</v>
      </c>
      <c r="D283" s="7">
        <v>0</v>
      </c>
      <c r="E283" s="20" t="str">
        <f t="shared" si="4"/>
        <v>00</v>
      </c>
      <c r="F283" s="21">
        <v>0.42662260285152398</v>
      </c>
      <c r="G283" s="4">
        <v>0.27</v>
      </c>
      <c r="H283" s="4">
        <v>0.25465838509316802</v>
      </c>
      <c r="I283" s="4">
        <v>0.04</v>
      </c>
      <c r="J283" s="4">
        <v>0.03</v>
      </c>
      <c r="K283" s="5">
        <v>100</v>
      </c>
      <c r="L283" s="5">
        <v>100</v>
      </c>
      <c r="M283" s="5">
        <v>100</v>
      </c>
      <c r="N283" s="5">
        <v>100</v>
      </c>
      <c r="O283" s="2">
        <v>0.31471074483970024</v>
      </c>
      <c r="P283" s="2">
        <v>0.29391262220241748</v>
      </c>
      <c r="Q283" s="2">
        <v>4.0821994520255166E-2</v>
      </c>
      <c r="R283" s="2">
        <v>3.0459207484708574E-2</v>
      </c>
    </row>
    <row r="284" spans="1:18" x14ac:dyDescent="0.3">
      <c r="A284" s="7">
        <v>126</v>
      </c>
      <c r="B284" s="7">
        <v>220</v>
      </c>
      <c r="C284" s="7">
        <v>0</v>
      </c>
      <c r="D284" s="7">
        <v>0</v>
      </c>
      <c r="E284" s="20" t="str">
        <f t="shared" si="4"/>
        <v>00</v>
      </c>
      <c r="F284" s="21">
        <v>0.42767740218517603</v>
      </c>
      <c r="G284" s="4">
        <v>0.626</v>
      </c>
      <c r="H284" s="4">
        <v>0.482573726541555</v>
      </c>
      <c r="I284" s="4">
        <v>0.02</v>
      </c>
      <c r="J284" s="4">
        <v>4.2000000000000003E-2</v>
      </c>
      <c r="K284" s="5">
        <v>0</v>
      </c>
      <c r="L284" s="5">
        <v>100</v>
      </c>
      <c r="M284" s="5">
        <v>100</v>
      </c>
      <c r="N284" s="5">
        <v>100</v>
      </c>
      <c r="O284" s="2">
        <v>0.98349948156760514</v>
      </c>
      <c r="P284" s="2">
        <v>0.65888823073893021</v>
      </c>
      <c r="Q284" s="2">
        <v>2.0202707317519466E-2</v>
      </c>
      <c r="R284" s="2">
        <v>4.290750101127655E-2</v>
      </c>
    </row>
    <row r="285" spans="1:18" x14ac:dyDescent="0.3">
      <c r="A285" s="7">
        <v>945</v>
      </c>
      <c r="B285" s="7">
        <v>238</v>
      </c>
      <c r="C285" s="7">
        <v>0</v>
      </c>
      <c r="D285" s="7">
        <v>0</v>
      </c>
      <c r="E285" s="20" t="str">
        <f t="shared" si="4"/>
        <v>00</v>
      </c>
      <c r="F285" s="21">
        <v>0.42883955968089799</v>
      </c>
      <c r="G285" s="4">
        <v>0.60399999999999998</v>
      </c>
      <c r="H285" s="4">
        <v>0.50247524752475203</v>
      </c>
      <c r="I285" s="4">
        <v>2.8000000000000001E-2</v>
      </c>
      <c r="J285" s="4">
        <v>4.9000000000000002E-2</v>
      </c>
      <c r="K285" s="5">
        <v>0</v>
      </c>
      <c r="L285" s="5">
        <v>0</v>
      </c>
      <c r="M285" s="5">
        <v>100</v>
      </c>
      <c r="N285" s="5">
        <v>100</v>
      </c>
      <c r="O285" s="2">
        <v>0.92634106772765645</v>
      </c>
      <c r="P285" s="2">
        <v>0.69810996990207341</v>
      </c>
      <c r="Q285" s="2">
        <v>2.8399474521698002E-2</v>
      </c>
      <c r="R285" s="2">
        <v>5.024121643674679E-2</v>
      </c>
    </row>
    <row r="286" spans="1:18" x14ac:dyDescent="0.3">
      <c r="A286" s="7">
        <v>215</v>
      </c>
      <c r="B286" s="7">
        <v>204</v>
      </c>
      <c r="C286" s="7">
        <v>0</v>
      </c>
      <c r="D286" s="7">
        <v>0</v>
      </c>
      <c r="E286" s="20" t="str">
        <f t="shared" si="4"/>
        <v>00</v>
      </c>
      <c r="F286" s="21">
        <v>0.43178906880350698</v>
      </c>
      <c r="G286" s="4">
        <v>0.379</v>
      </c>
      <c r="H286" s="4">
        <v>0.30853391684901499</v>
      </c>
      <c r="I286" s="4">
        <v>0.66700000000000004</v>
      </c>
      <c r="J286" s="4">
        <v>0.67500000000000004</v>
      </c>
      <c r="K286" s="5">
        <v>100</v>
      </c>
      <c r="L286" s="5">
        <v>100</v>
      </c>
      <c r="M286" s="5">
        <v>0</v>
      </c>
      <c r="N286" s="5">
        <v>0</v>
      </c>
      <c r="O286" s="2">
        <v>0.47642419704865829</v>
      </c>
      <c r="P286" s="2">
        <v>0.36894117730729209</v>
      </c>
      <c r="Q286" s="2">
        <v>1.0996127890016933</v>
      </c>
      <c r="R286" s="2">
        <v>1.1239300966523997</v>
      </c>
    </row>
    <row r="287" spans="1:18" x14ac:dyDescent="0.3">
      <c r="A287" s="7">
        <v>58</v>
      </c>
      <c r="B287" s="7">
        <v>227</v>
      </c>
      <c r="C287" s="7">
        <v>0</v>
      </c>
      <c r="D287" s="7">
        <v>0</v>
      </c>
      <c r="E287" s="20" t="str">
        <f t="shared" si="4"/>
        <v>00</v>
      </c>
      <c r="F287" s="21">
        <v>0.433301074276777</v>
      </c>
      <c r="G287" s="4">
        <v>0.36899999999999999</v>
      </c>
      <c r="H287" s="4">
        <v>0.31929046563192898</v>
      </c>
      <c r="I287" s="4">
        <v>3.1E-2</v>
      </c>
      <c r="J287" s="4">
        <v>3.1E-2</v>
      </c>
      <c r="K287" s="5">
        <v>100</v>
      </c>
      <c r="L287" s="5">
        <v>100</v>
      </c>
      <c r="M287" s="5">
        <v>100</v>
      </c>
      <c r="N287" s="5">
        <v>100</v>
      </c>
      <c r="O287" s="2">
        <v>0.46044941644092391</v>
      </c>
      <c r="P287" s="2">
        <v>0.38461959191548112</v>
      </c>
      <c r="Q287" s="2">
        <v>3.1490667091370848E-2</v>
      </c>
      <c r="R287" s="2">
        <v>3.1490667091370848E-2</v>
      </c>
    </row>
    <row r="288" spans="1:18" x14ac:dyDescent="0.3">
      <c r="A288" s="7">
        <v>131</v>
      </c>
      <c r="B288" s="7">
        <v>231</v>
      </c>
      <c r="C288" s="7">
        <v>0</v>
      </c>
      <c r="D288" s="7">
        <v>0</v>
      </c>
      <c r="E288" s="20" t="str">
        <f t="shared" si="4"/>
        <v>00</v>
      </c>
      <c r="F288" s="21">
        <v>0.433920144071896</v>
      </c>
      <c r="G288" s="4">
        <v>0.38400000000000001</v>
      </c>
      <c r="H288" s="4">
        <v>0.30946882217090099</v>
      </c>
      <c r="I288" s="4">
        <v>5.5E-2</v>
      </c>
      <c r="J288" s="4">
        <v>4.4999999999999998E-2</v>
      </c>
      <c r="K288" s="5">
        <v>100</v>
      </c>
      <c r="L288" s="5">
        <v>100</v>
      </c>
      <c r="M288" s="5">
        <v>100</v>
      </c>
      <c r="N288" s="5">
        <v>100</v>
      </c>
      <c r="O288" s="2">
        <v>0.48450831544861728</v>
      </c>
      <c r="P288" s="2">
        <v>0.37029415461180387</v>
      </c>
      <c r="Q288" s="2">
        <v>5.6570351488394351E-2</v>
      </c>
      <c r="R288" s="2">
        <v>4.6043938501406846E-2</v>
      </c>
    </row>
    <row r="289" spans="1:18" x14ac:dyDescent="0.3">
      <c r="A289" s="7">
        <v>181</v>
      </c>
      <c r="B289" s="7">
        <v>249</v>
      </c>
      <c r="C289" s="7">
        <v>0</v>
      </c>
      <c r="D289" s="7">
        <v>0</v>
      </c>
      <c r="E289" s="20" t="str">
        <f t="shared" si="4"/>
        <v>00</v>
      </c>
      <c r="F289" s="21">
        <v>0.43814794544640501</v>
      </c>
      <c r="G289" s="4">
        <v>0.50800000000000001</v>
      </c>
      <c r="H289" s="4">
        <v>0.35038363171355502</v>
      </c>
      <c r="I289" s="4">
        <v>4.9000000000000002E-2</v>
      </c>
      <c r="J289" s="4">
        <v>3.4000000000000002E-2</v>
      </c>
      <c r="K289" s="5">
        <v>0</v>
      </c>
      <c r="L289" s="5">
        <v>100</v>
      </c>
      <c r="M289" s="5">
        <v>100</v>
      </c>
      <c r="N289" s="5">
        <v>100</v>
      </c>
      <c r="O289" s="2">
        <v>0.70927656248982895</v>
      </c>
      <c r="P289" s="2">
        <v>0.43137329296682925</v>
      </c>
      <c r="Q289" s="2">
        <v>5.024121643674679E-2</v>
      </c>
      <c r="R289" s="2">
        <v>3.459144476961909E-2</v>
      </c>
    </row>
    <row r="290" spans="1:18" x14ac:dyDescent="0.3">
      <c r="A290" s="7">
        <v>380</v>
      </c>
      <c r="B290" s="7">
        <v>230</v>
      </c>
      <c r="C290" s="7">
        <v>0</v>
      </c>
      <c r="D290" s="7">
        <v>0</v>
      </c>
      <c r="E290" s="20" t="str">
        <f t="shared" si="4"/>
        <v>00</v>
      </c>
      <c r="F290" s="21">
        <v>0.43913206174730401</v>
      </c>
      <c r="G290" s="4">
        <v>0.29799999999999999</v>
      </c>
      <c r="H290" s="4">
        <v>0.207674943566591</v>
      </c>
      <c r="I290" s="4">
        <v>3.2000000000000001E-2</v>
      </c>
      <c r="J290" s="4">
        <v>4.5999999999999999E-2</v>
      </c>
      <c r="K290" s="5">
        <v>100</v>
      </c>
      <c r="L290" s="5">
        <v>100</v>
      </c>
      <c r="M290" s="5">
        <v>100</v>
      </c>
      <c r="N290" s="5">
        <v>100</v>
      </c>
      <c r="O290" s="2">
        <v>0.353821874956326</v>
      </c>
      <c r="P290" s="2">
        <v>0.23278354657926928</v>
      </c>
      <c r="Q290" s="2">
        <v>3.2523191705560062E-2</v>
      </c>
      <c r="R290" s="2">
        <v>4.7091607533850569E-2</v>
      </c>
    </row>
    <row r="291" spans="1:18" x14ac:dyDescent="0.3">
      <c r="A291" s="7">
        <v>857</v>
      </c>
      <c r="B291" s="7">
        <v>221</v>
      </c>
      <c r="C291" s="7">
        <v>0</v>
      </c>
      <c r="D291" s="7">
        <v>0</v>
      </c>
      <c r="E291" s="20" t="str">
        <f t="shared" si="4"/>
        <v>00</v>
      </c>
      <c r="F291" s="21">
        <v>0.44140849857732301</v>
      </c>
      <c r="G291" s="4">
        <v>0.218</v>
      </c>
      <c r="H291" s="4">
        <v>0.21030927835051499</v>
      </c>
      <c r="I291" s="4">
        <v>3.5999999999999997E-2</v>
      </c>
      <c r="J291" s="4">
        <v>3.3000000000000002E-2</v>
      </c>
      <c r="K291" s="5">
        <v>100</v>
      </c>
      <c r="L291" s="5">
        <v>100</v>
      </c>
      <c r="M291" s="5">
        <v>100</v>
      </c>
      <c r="N291" s="5">
        <v>100</v>
      </c>
      <c r="O291" s="2">
        <v>0.24590053843682594</v>
      </c>
      <c r="P291" s="2">
        <v>0.23611390175683655</v>
      </c>
      <c r="Q291" s="2">
        <v>3.666398437159147E-2</v>
      </c>
      <c r="R291" s="2">
        <v>3.3556783528842754E-2</v>
      </c>
    </row>
    <row r="292" spans="1:18" x14ac:dyDescent="0.3">
      <c r="A292" s="7">
        <v>931</v>
      </c>
      <c r="B292" s="7">
        <v>227</v>
      </c>
      <c r="C292" s="7">
        <v>0</v>
      </c>
      <c r="D292" s="7">
        <v>0</v>
      </c>
      <c r="E292" s="20" t="str">
        <f t="shared" si="4"/>
        <v>00</v>
      </c>
      <c r="F292" s="21">
        <v>0.44507982635950599</v>
      </c>
      <c r="G292" s="4">
        <v>0.47099999999999997</v>
      </c>
      <c r="H292" s="4">
        <v>0.30402010050251299</v>
      </c>
      <c r="I292" s="4">
        <v>8.2000000000000003E-2</v>
      </c>
      <c r="J292" s="4">
        <v>0.1</v>
      </c>
      <c r="K292" s="5">
        <v>100</v>
      </c>
      <c r="L292" s="5">
        <v>100</v>
      </c>
      <c r="M292" s="5">
        <v>100</v>
      </c>
      <c r="N292" s="5">
        <v>100</v>
      </c>
      <c r="O292" s="2">
        <v>0.63676684712383758</v>
      </c>
      <c r="P292" s="2">
        <v>0.36243449909709974</v>
      </c>
      <c r="Q292" s="2">
        <v>8.5557888361646545E-2</v>
      </c>
      <c r="R292" s="2">
        <v>0.10536051565782628</v>
      </c>
    </row>
    <row r="293" spans="1:18" x14ac:dyDescent="0.3">
      <c r="A293" s="7">
        <v>466</v>
      </c>
      <c r="B293" s="7">
        <v>215</v>
      </c>
      <c r="C293" s="7">
        <v>0</v>
      </c>
      <c r="D293" s="7">
        <v>0</v>
      </c>
      <c r="E293" s="20" t="str">
        <f t="shared" si="4"/>
        <v>00</v>
      </c>
      <c r="F293" s="21">
        <v>0.44737343132413099</v>
      </c>
      <c r="G293" s="4">
        <v>0.315</v>
      </c>
      <c r="H293" s="4">
        <v>0.27548806941431703</v>
      </c>
      <c r="I293" s="4">
        <v>0.51300000000000001</v>
      </c>
      <c r="J293" s="4">
        <v>0.51100000000000001</v>
      </c>
      <c r="K293" s="5">
        <v>100</v>
      </c>
      <c r="L293" s="5">
        <v>100</v>
      </c>
      <c r="M293" s="5">
        <v>0</v>
      </c>
      <c r="N293" s="5">
        <v>0</v>
      </c>
      <c r="O293" s="2">
        <v>0.37833644071991168</v>
      </c>
      <c r="P293" s="2">
        <v>0.32225705001994853</v>
      </c>
      <c r="Q293" s="2">
        <v>0.71949115589954726</v>
      </c>
      <c r="R293" s="2">
        <v>0.71539278950726504</v>
      </c>
    </row>
    <row r="294" spans="1:18" x14ac:dyDescent="0.3">
      <c r="A294" s="7">
        <v>148</v>
      </c>
      <c r="B294" s="7">
        <v>223</v>
      </c>
      <c r="C294" s="7">
        <v>0</v>
      </c>
      <c r="D294" s="7">
        <v>0</v>
      </c>
      <c r="E294" s="20" t="str">
        <f t="shared" si="4"/>
        <v>00</v>
      </c>
      <c r="F294" s="21">
        <v>0.44978048786772101</v>
      </c>
      <c r="G294" s="4">
        <v>0.49299999999999999</v>
      </c>
      <c r="H294" s="4">
        <v>0.46929824561403499</v>
      </c>
      <c r="I294" s="4">
        <v>4.7E-2</v>
      </c>
      <c r="J294" s="4">
        <v>5.0999999999999997E-2</v>
      </c>
      <c r="K294" s="5">
        <v>100</v>
      </c>
      <c r="L294" s="5">
        <v>100</v>
      </c>
      <c r="M294" s="5">
        <v>100</v>
      </c>
      <c r="N294" s="5">
        <v>100</v>
      </c>
      <c r="O294" s="2">
        <v>0.67924427539095389</v>
      </c>
      <c r="P294" s="2">
        <v>0.6335550833576995</v>
      </c>
      <c r="Q294" s="2">
        <v>4.8140375327934984E-2</v>
      </c>
      <c r="R294" s="2">
        <v>5.2346480372209236E-2</v>
      </c>
    </row>
    <row r="295" spans="1:18" x14ac:dyDescent="0.3">
      <c r="A295" s="7">
        <v>144</v>
      </c>
      <c r="B295" s="7">
        <v>237</v>
      </c>
      <c r="C295" s="7">
        <v>0</v>
      </c>
      <c r="D295" s="7">
        <v>0</v>
      </c>
      <c r="E295" s="20" t="str">
        <f t="shared" si="4"/>
        <v>00</v>
      </c>
      <c r="F295" s="21">
        <v>0.45649295062901302</v>
      </c>
      <c r="G295" s="4">
        <v>0.20100000000000001</v>
      </c>
      <c r="H295" s="4">
        <v>0.17886178861788599</v>
      </c>
      <c r="I295" s="4">
        <v>0.02</v>
      </c>
      <c r="J295" s="4">
        <v>2.8000000000000001E-2</v>
      </c>
      <c r="K295" s="5">
        <v>100</v>
      </c>
      <c r="L295" s="5">
        <v>100</v>
      </c>
      <c r="M295" s="5">
        <v>100</v>
      </c>
      <c r="N295" s="5">
        <v>100</v>
      </c>
      <c r="O295" s="2">
        <v>0.22439433321586247</v>
      </c>
      <c r="P295" s="2">
        <v>0.19706383853115789</v>
      </c>
      <c r="Q295" s="2">
        <v>2.0202707317519466E-2</v>
      </c>
      <c r="R295" s="2">
        <v>2.8399474521698002E-2</v>
      </c>
    </row>
    <row r="296" spans="1:18" x14ac:dyDescent="0.3">
      <c r="A296" s="7">
        <v>103</v>
      </c>
      <c r="B296" s="7">
        <v>230</v>
      </c>
      <c r="C296" s="7">
        <v>0</v>
      </c>
      <c r="D296" s="7">
        <v>0</v>
      </c>
      <c r="E296" s="20" t="str">
        <f t="shared" si="4"/>
        <v>00</v>
      </c>
      <c r="F296" s="21">
        <v>0.45714659038050898</v>
      </c>
      <c r="G296" s="4">
        <v>0.27200000000000002</v>
      </c>
      <c r="H296" s="4">
        <v>0.20787746170678301</v>
      </c>
      <c r="I296" s="4">
        <v>0.66700000000000004</v>
      </c>
      <c r="J296" s="4">
        <v>0.63300000000000001</v>
      </c>
      <c r="K296" s="5">
        <v>100</v>
      </c>
      <c r="L296" s="5">
        <v>100</v>
      </c>
      <c r="M296" s="5">
        <v>0</v>
      </c>
      <c r="N296" s="5">
        <v>0</v>
      </c>
      <c r="O296" s="2">
        <v>0.3174542307854511</v>
      </c>
      <c r="P296" s="2">
        <v>0.23303917906843319</v>
      </c>
      <c r="Q296" s="2">
        <v>1.0996127890016933</v>
      </c>
      <c r="R296" s="2">
        <v>1.0023934309275668</v>
      </c>
    </row>
    <row r="297" spans="1:18" x14ac:dyDescent="0.3">
      <c r="A297" s="7">
        <v>803</v>
      </c>
      <c r="B297" s="7">
        <v>232</v>
      </c>
      <c r="C297" s="7">
        <v>0</v>
      </c>
      <c r="D297" s="7">
        <v>0</v>
      </c>
      <c r="E297" s="20" t="str">
        <f t="shared" si="4"/>
        <v>00</v>
      </c>
      <c r="F297" s="21">
        <v>0.45852055535076303</v>
      </c>
      <c r="G297" s="4">
        <v>0.34</v>
      </c>
      <c r="H297" s="4">
        <v>0.30851063829787201</v>
      </c>
      <c r="I297" s="4">
        <v>2.9000000000000001E-2</v>
      </c>
      <c r="J297" s="4">
        <v>2.5999999999999999E-2</v>
      </c>
      <c r="K297" s="5">
        <v>100</v>
      </c>
      <c r="L297" s="5">
        <v>100</v>
      </c>
      <c r="M297" s="5">
        <v>100</v>
      </c>
      <c r="N297" s="5">
        <v>100</v>
      </c>
      <c r="O297" s="2">
        <v>0.41551544396166595</v>
      </c>
      <c r="P297" s="2">
        <v>0.3689075123743662</v>
      </c>
      <c r="Q297" s="2">
        <v>2.9428810690812168E-2</v>
      </c>
      <c r="R297" s="2">
        <v>2.6343975339601977E-2</v>
      </c>
    </row>
    <row r="298" spans="1:18" x14ac:dyDescent="0.3">
      <c r="A298" s="7">
        <v>796</v>
      </c>
      <c r="B298" s="7">
        <v>205</v>
      </c>
      <c r="C298" s="7">
        <v>0</v>
      </c>
      <c r="D298" s="7">
        <v>0</v>
      </c>
      <c r="E298" s="20" t="str">
        <f t="shared" si="4"/>
        <v>00</v>
      </c>
      <c r="F298" s="21">
        <v>0.46471595253006798</v>
      </c>
      <c r="G298" s="4">
        <v>0.23499999999999999</v>
      </c>
      <c r="H298" s="4">
        <v>0.148837209302326</v>
      </c>
      <c r="I298" s="4">
        <v>3.1E-2</v>
      </c>
      <c r="J298" s="4">
        <v>4.1000000000000002E-2</v>
      </c>
      <c r="K298" s="5">
        <v>100</v>
      </c>
      <c r="L298" s="5">
        <v>100</v>
      </c>
      <c r="M298" s="5">
        <v>100</v>
      </c>
      <c r="N298" s="5">
        <v>100</v>
      </c>
      <c r="O298" s="2">
        <v>0.26787944515560119</v>
      </c>
      <c r="P298" s="2">
        <v>0.16115187528624239</v>
      </c>
      <c r="Q298" s="2">
        <v>3.1490667091370848E-2</v>
      </c>
      <c r="R298" s="2">
        <v>4.1864204098698871E-2</v>
      </c>
    </row>
    <row r="299" spans="1:18" x14ac:dyDescent="0.3">
      <c r="A299" s="7">
        <v>156</v>
      </c>
      <c r="B299" s="7">
        <v>238</v>
      </c>
      <c r="C299" s="7">
        <v>0</v>
      </c>
      <c r="D299" s="7">
        <v>0</v>
      </c>
      <c r="E299" s="20" t="str">
        <f t="shared" si="4"/>
        <v>00</v>
      </c>
      <c r="F299" s="21">
        <v>0.46491393083390598</v>
      </c>
      <c r="G299" s="4">
        <v>0.58499999999999996</v>
      </c>
      <c r="H299" s="4">
        <v>0.47073791348600502</v>
      </c>
      <c r="I299" s="4">
        <v>5.7000000000000002E-2</v>
      </c>
      <c r="J299" s="4">
        <v>0.04</v>
      </c>
      <c r="K299" s="5">
        <v>0</v>
      </c>
      <c r="L299" s="5">
        <v>100</v>
      </c>
      <c r="M299" s="5">
        <v>100</v>
      </c>
      <c r="N299" s="5">
        <v>100</v>
      </c>
      <c r="O299" s="2">
        <v>0.87947675875143871</v>
      </c>
      <c r="P299" s="2">
        <v>0.63627153216794319</v>
      </c>
      <c r="Q299" s="2">
        <v>5.8688996348679613E-2</v>
      </c>
      <c r="R299" s="2">
        <v>4.0821994520255166E-2</v>
      </c>
    </row>
    <row r="300" spans="1:18" x14ac:dyDescent="0.3">
      <c r="A300" s="7">
        <v>167</v>
      </c>
      <c r="B300" s="7">
        <v>222</v>
      </c>
      <c r="C300" s="7">
        <v>0</v>
      </c>
      <c r="D300" s="7">
        <v>0</v>
      </c>
      <c r="E300" s="20" t="str">
        <f t="shared" si="4"/>
        <v>00</v>
      </c>
      <c r="F300" s="21">
        <v>0.46596385301513898</v>
      </c>
      <c r="G300" s="4">
        <v>0.46800000000000003</v>
      </c>
      <c r="H300" s="4">
        <v>0.40765765765765799</v>
      </c>
      <c r="I300" s="4">
        <v>4.7E-2</v>
      </c>
      <c r="J300" s="4">
        <v>4.3999999999999997E-2</v>
      </c>
      <c r="K300" s="5">
        <v>100</v>
      </c>
      <c r="L300" s="5">
        <v>100</v>
      </c>
      <c r="M300" s="5">
        <v>100</v>
      </c>
      <c r="N300" s="5">
        <v>100</v>
      </c>
      <c r="O300" s="2">
        <v>0.63111178964049264</v>
      </c>
      <c r="P300" s="2">
        <v>0.52367053025446086</v>
      </c>
      <c r="Q300" s="2">
        <v>4.8140375327934984E-2</v>
      </c>
      <c r="R300" s="2">
        <v>4.4997365930735805E-2</v>
      </c>
    </row>
    <row r="301" spans="1:18" x14ac:dyDescent="0.3">
      <c r="A301" s="7">
        <v>825</v>
      </c>
      <c r="B301" s="7">
        <v>315</v>
      </c>
      <c r="C301" s="7">
        <v>0</v>
      </c>
      <c r="D301" s="7">
        <v>0</v>
      </c>
      <c r="E301" s="20" t="str">
        <f t="shared" si="4"/>
        <v>00</v>
      </c>
      <c r="F301" s="21">
        <v>0.47072807869407202</v>
      </c>
      <c r="G301" s="4">
        <v>0.19500000000000001</v>
      </c>
      <c r="H301" s="4">
        <v>0.18218623481781401</v>
      </c>
      <c r="I301" s="4">
        <v>2.7E-2</v>
      </c>
      <c r="J301" s="4">
        <v>2.5000000000000001E-2</v>
      </c>
      <c r="K301" s="5">
        <v>100</v>
      </c>
      <c r="L301" s="5">
        <v>100</v>
      </c>
      <c r="M301" s="5">
        <v>100</v>
      </c>
      <c r="N301" s="5">
        <v>100</v>
      </c>
      <c r="O301" s="2">
        <v>0.21691300156357377</v>
      </c>
      <c r="P301" s="2">
        <v>0.20112063922677278</v>
      </c>
      <c r="Q301" s="2">
        <v>2.7371196796132015E-2</v>
      </c>
      <c r="R301" s="2">
        <v>2.5317807984289897E-2</v>
      </c>
    </row>
    <row r="302" spans="1:18" x14ac:dyDescent="0.3">
      <c r="A302" s="7">
        <v>615</v>
      </c>
      <c r="B302" s="7">
        <v>210</v>
      </c>
      <c r="C302" s="7">
        <v>0</v>
      </c>
      <c r="D302" s="7">
        <v>0</v>
      </c>
      <c r="E302" s="20" t="str">
        <f t="shared" si="4"/>
        <v>00</v>
      </c>
      <c r="F302" s="21">
        <v>0.47369437495453898</v>
      </c>
      <c r="G302" s="4">
        <v>0.40400000000000003</v>
      </c>
      <c r="H302" s="4">
        <v>0.30463576158940397</v>
      </c>
      <c r="I302" s="4">
        <v>3.6999999999999998E-2</v>
      </c>
      <c r="J302" s="4">
        <v>3.5999999999999997E-2</v>
      </c>
      <c r="K302" s="5">
        <v>100</v>
      </c>
      <c r="L302" s="5">
        <v>100</v>
      </c>
      <c r="M302" s="5">
        <v>100</v>
      </c>
      <c r="N302" s="5">
        <v>100</v>
      </c>
      <c r="O302" s="2">
        <v>0.51751461191678738</v>
      </c>
      <c r="P302" s="2">
        <v>0.36331948665740094</v>
      </c>
      <c r="Q302" s="2">
        <v>3.7701867184011528E-2</v>
      </c>
      <c r="R302" s="2">
        <v>3.666398437159147E-2</v>
      </c>
    </row>
    <row r="303" spans="1:18" x14ac:dyDescent="0.3">
      <c r="A303" s="7">
        <v>867</v>
      </c>
      <c r="B303" s="7">
        <v>223</v>
      </c>
      <c r="C303" s="7">
        <v>0</v>
      </c>
      <c r="D303" s="7">
        <v>0</v>
      </c>
      <c r="E303" s="20" t="str">
        <f t="shared" si="4"/>
        <v>00</v>
      </c>
      <c r="F303" s="21">
        <v>0.47532612966450399</v>
      </c>
      <c r="G303" s="4">
        <v>0.34499999999999997</v>
      </c>
      <c r="H303" s="4">
        <v>0.30947368421052601</v>
      </c>
      <c r="I303" s="4">
        <v>0.04</v>
      </c>
      <c r="J303" s="4">
        <v>4.8000000000000001E-2</v>
      </c>
      <c r="K303" s="5">
        <v>100</v>
      </c>
      <c r="L303" s="5">
        <v>100</v>
      </c>
      <c r="M303" s="5">
        <v>100</v>
      </c>
      <c r="N303" s="5">
        <v>100</v>
      </c>
      <c r="O303" s="2">
        <v>0.42312004334688508</v>
      </c>
      <c r="P303" s="2">
        <v>0.37030119565049702</v>
      </c>
      <c r="Q303" s="2">
        <v>4.0821994520255166E-2</v>
      </c>
      <c r="R303" s="2">
        <v>4.9190244190771781E-2</v>
      </c>
    </row>
    <row r="304" spans="1:18" x14ac:dyDescent="0.3">
      <c r="A304" s="7">
        <v>776</v>
      </c>
      <c r="B304" s="7">
        <v>215</v>
      </c>
      <c r="C304" s="7">
        <v>0</v>
      </c>
      <c r="D304" s="7">
        <v>0</v>
      </c>
      <c r="E304" s="20" t="str">
        <f t="shared" si="4"/>
        <v>00</v>
      </c>
      <c r="F304" s="21">
        <v>0.47564195113435598</v>
      </c>
      <c r="G304" s="4">
        <v>0.371</v>
      </c>
      <c r="H304" s="4">
        <v>0.35531914893617</v>
      </c>
      <c r="I304" s="4">
        <v>3.9E-2</v>
      </c>
      <c r="J304" s="4">
        <v>0.05</v>
      </c>
      <c r="K304" s="5">
        <v>100</v>
      </c>
      <c r="L304" s="5">
        <v>100</v>
      </c>
      <c r="M304" s="5">
        <v>100</v>
      </c>
      <c r="N304" s="5">
        <v>100</v>
      </c>
      <c r="O304" s="2">
        <v>0.46362402228169652</v>
      </c>
      <c r="P304" s="2">
        <v>0.43899988919473482</v>
      </c>
      <c r="Q304" s="2">
        <v>3.9780870011844598E-2</v>
      </c>
      <c r="R304" s="2">
        <v>5.1293294387550578E-2</v>
      </c>
    </row>
    <row r="305" spans="1:18" x14ac:dyDescent="0.3">
      <c r="A305" s="7">
        <v>467</v>
      </c>
      <c r="B305" s="7">
        <v>218</v>
      </c>
      <c r="C305" s="7">
        <v>0</v>
      </c>
      <c r="D305" s="7">
        <v>0</v>
      </c>
      <c r="E305" s="20" t="str">
        <f t="shared" si="4"/>
        <v>00</v>
      </c>
      <c r="F305" s="21">
        <v>0.48062587010818603</v>
      </c>
      <c r="G305" s="4">
        <v>0.378</v>
      </c>
      <c r="H305" s="4">
        <v>0.31777777777777799</v>
      </c>
      <c r="I305" s="4">
        <v>3.7999999999999999E-2</v>
      </c>
      <c r="J305" s="4">
        <v>3.7999999999999999E-2</v>
      </c>
      <c r="K305" s="5">
        <v>100</v>
      </c>
      <c r="L305" s="5">
        <v>100</v>
      </c>
      <c r="M305" s="5">
        <v>100</v>
      </c>
      <c r="N305" s="5">
        <v>100</v>
      </c>
      <c r="O305" s="2">
        <v>0.4748151862429576</v>
      </c>
      <c r="P305" s="2">
        <v>0.38239983517716852</v>
      </c>
      <c r="Q305" s="2">
        <v>3.8740828316430595E-2</v>
      </c>
      <c r="R305" s="2">
        <v>3.8740828316430595E-2</v>
      </c>
    </row>
    <row r="306" spans="1:18" x14ac:dyDescent="0.3">
      <c r="A306" s="7">
        <v>513</v>
      </c>
      <c r="B306" s="7">
        <v>210</v>
      </c>
      <c r="C306" s="7">
        <v>0</v>
      </c>
      <c r="D306" s="7">
        <v>0</v>
      </c>
      <c r="E306" s="20" t="str">
        <f t="shared" si="4"/>
        <v>00</v>
      </c>
      <c r="F306" s="21">
        <v>0.48325233973000797</v>
      </c>
      <c r="G306" s="4">
        <v>0.378</v>
      </c>
      <c r="H306" s="4">
        <v>0.240875912408759</v>
      </c>
      <c r="I306" s="4">
        <v>4.1000000000000002E-2</v>
      </c>
      <c r="J306" s="4">
        <v>4.9000000000000002E-2</v>
      </c>
      <c r="K306" s="5">
        <v>100</v>
      </c>
      <c r="L306" s="5">
        <v>100</v>
      </c>
      <c r="M306" s="5">
        <v>100</v>
      </c>
      <c r="N306" s="5">
        <v>100</v>
      </c>
      <c r="O306" s="2">
        <v>0.4748151862429576</v>
      </c>
      <c r="P306" s="2">
        <v>0.27559002668675203</v>
      </c>
      <c r="Q306" s="2">
        <v>4.1864204098698871E-2</v>
      </c>
      <c r="R306" s="2">
        <v>5.024121643674679E-2</v>
      </c>
    </row>
    <row r="307" spans="1:18" x14ac:dyDescent="0.3">
      <c r="A307" s="7">
        <v>459</v>
      </c>
      <c r="B307" s="7">
        <v>203</v>
      </c>
      <c r="C307" s="7">
        <v>0</v>
      </c>
      <c r="D307" s="7">
        <v>0</v>
      </c>
      <c r="E307" s="20" t="str">
        <f t="shared" si="4"/>
        <v>00</v>
      </c>
      <c r="F307" s="21">
        <v>0.48610232921226798</v>
      </c>
      <c r="G307" s="4">
        <v>0.42299999999999999</v>
      </c>
      <c r="H307" s="4">
        <v>0.363420427553444</v>
      </c>
      <c r="I307" s="4">
        <v>4.8000000000000001E-2</v>
      </c>
      <c r="J307" s="4">
        <v>3.6999999999999998E-2</v>
      </c>
      <c r="K307" s="5">
        <v>100</v>
      </c>
      <c r="L307" s="5">
        <v>100</v>
      </c>
      <c r="M307" s="5">
        <v>100</v>
      </c>
      <c r="N307" s="5">
        <v>100</v>
      </c>
      <c r="O307" s="2">
        <v>0.54991301247403757</v>
      </c>
      <c r="P307" s="2">
        <v>0.45164585317152456</v>
      </c>
      <c r="Q307" s="2">
        <v>4.9190244190771781E-2</v>
      </c>
      <c r="R307" s="2">
        <v>3.7701867184011528E-2</v>
      </c>
    </row>
    <row r="308" spans="1:18" x14ac:dyDescent="0.3">
      <c r="A308" s="7">
        <v>106</v>
      </c>
      <c r="B308" s="7">
        <v>211</v>
      </c>
      <c r="C308" s="7">
        <v>0</v>
      </c>
      <c r="D308" s="7">
        <v>0</v>
      </c>
      <c r="E308" s="20" t="str">
        <f t="shared" si="4"/>
        <v>00</v>
      </c>
      <c r="F308" s="21">
        <v>0.49700366632360199</v>
      </c>
      <c r="G308" s="4">
        <v>0.27800000000000002</v>
      </c>
      <c r="H308" s="4">
        <v>0.22198731501057101</v>
      </c>
      <c r="I308" s="4">
        <v>4.5999999999999999E-2</v>
      </c>
      <c r="J308" s="4">
        <v>3.3000000000000002E-2</v>
      </c>
      <c r="K308" s="5">
        <v>100</v>
      </c>
      <c r="L308" s="5">
        <v>100</v>
      </c>
      <c r="M308" s="5">
        <v>100</v>
      </c>
      <c r="N308" s="5">
        <v>100</v>
      </c>
      <c r="O308" s="2">
        <v>0.32573014008931084</v>
      </c>
      <c r="P308" s="2">
        <v>0.25101245032300229</v>
      </c>
      <c r="Q308" s="2">
        <v>4.7091607533850569E-2</v>
      </c>
      <c r="R308" s="2">
        <v>3.3556783528842754E-2</v>
      </c>
    </row>
    <row r="309" spans="1:18" x14ac:dyDescent="0.3">
      <c r="A309" s="7">
        <v>855</v>
      </c>
      <c r="B309" s="7">
        <v>193</v>
      </c>
      <c r="C309" s="7">
        <v>0</v>
      </c>
      <c r="D309" s="7">
        <v>0</v>
      </c>
      <c r="E309" s="20" t="str">
        <f t="shared" si="4"/>
        <v>00</v>
      </c>
      <c r="F309" s="21">
        <v>0.498336585178902</v>
      </c>
      <c r="G309" s="4">
        <v>0.38300000000000001</v>
      </c>
      <c r="H309" s="4">
        <v>0.33333333333333298</v>
      </c>
      <c r="I309" s="4">
        <v>3.5999999999999997E-2</v>
      </c>
      <c r="J309" s="4">
        <v>3.2000000000000001E-2</v>
      </c>
      <c r="K309" s="5">
        <v>100</v>
      </c>
      <c r="L309" s="5">
        <v>100</v>
      </c>
      <c r="M309" s="5">
        <v>100</v>
      </c>
      <c r="N309" s="5">
        <v>100</v>
      </c>
      <c r="O309" s="2">
        <v>0.48288625507674926</v>
      </c>
      <c r="P309" s="2">
        <v>0.40546510810816394</v>
      </c>
      <c r="Q309" s="2">
        <v>3.666398437159147E-2</v>
      </c>
      <c r="R309" s="2">
        <v>3.2523191705560062E-2</v>
      </c>
    </row>
    <row r="310" spans="1:18" x14ac:dyDescent="0.3">
      <c r="A310" s="7">
        <v>496</v>
      </c>
      <c r="B310" s="7">
        <v>216</v>
      </c>
      <c r="C310" s="7">
        <v>0</v>
      </c>
      <c r="D310" s="7">
        <v>0</v>
      </c>
      <c r="E310" s="20" t="str">
        <f t="shared" si="4"/>
        <v>00</v>
      </c>
      <c r="F310" s="21">
        <v>0.499041558287183</v>
      </c>
      <c r="G310" s="4">
        <v>0.32</v>
      </c>
      <c r="H310" s="4">
        <v>0.27777777777777801</v>
      </c>
      <c r="I310" s="4">
        <v>3.4000000000000002E-2</v>
      </c>
      <c r="J310" s="4">
        <v>4.8000000000000001E-2</v>
      </c>
      <c r="K310" s="5">
        <v>100</v>
      </c>
      <c r="L310" s="5">
        <v>100</v>
      </c>
      <c r="M310" s="5">
        <v>100</v>
      </c>
      <c r="N310" s="5">
        <v>100</v>
      </c>
      <c r="O310" s="2">
        <v>0.38566248081198479</v>
      </c>
      <c r="P310" s="2">
        <v>0.32542240043462828</v>
      </c>
      <c r="Q310" s="2">
        <v>3.459144476961909E-2</v>
      </c>
      <c r="R310" s="2">
        <v>4.9190244190771781E-2</v>
      </c>
    </row>
    <row r="311" spans="1:18" x14ac:dyDescent="0.3">
      <c r="A311" s="7">
        <v>196</v>
      </c>
      <c r="B311" s="7">
        <v>204</v>
      </c>
      <c r="C311" s="7">
        <v>0</v>
      </c>
      <c r="D311" s="7">
        <v>0</v>
      </c>
      <c r="E311" s="20" t="str">
        <f t="shared" si="4"/>
        <v>00</v>
      </c>
      <c r="F311" s="21">
        <v>0.49952884387204499</v>
      </c>
      <c r="G311" s="4">
        <v>0.47</v>
      </c>
      <c r="H311" s="4">
        <v>0.36585365853658502</v>
      </c>
      <c r="I311" s="4">
        <v>6.6000000000000003E-2</v>
      </c>
      <c r="J311" s="4">
        <v>0.10199999999999999</v>
      </c>
      <c r="K311" s="5">
        <v>100</v>
      </c>
      <c r="L311" s="5">
        <v>100</v>
      </c>
      <c r="M311" s="5">
        <v>100</v>
      </c>
      <c r="N311" s="5">
        <v>100</v>
      </c>
      <c r="O311" s="2">
        <v>0.6348782724359695</v>
      </c>
      <c r="P311" s="2">
        <v>0.4554755286828252</v>
      </c>
      <c r="Q311" s="2">
        <v>6.827884075329449E-2</v>
      </c>
      <c r="R311" s="2">
        <v>0.10758521067993743</v>
      </c>
    </row>
    <row r="312" spans="1:18" x14ac:dyDescent="0.3">
      <c r="A312" s="7">
        <v>49</v>
      </c>
      <c r="B312" s="7">
        <v>226</v>
      </c>
      <c r="C312" s="7">
        <v>0</v>
      </c>
      <c r="D312" s="7">
        <v>0</v>
      </c>
      <c r="E312" s="20" t="str">
        <f t="shared" si="4"/>
        <v>00</v>
      </c>
      <c r="F312" s="21">
        <v>0.49958297616323</v>
      </c>
      <c r="G312" s="4">
        <v>0.19900000000000001</v>
      </c>
      <c r="H312" s="4">
        <v>0.171548117154812</v>
      </c>
      <c r="I312" s="4">
        <v>3.6999999999999998E-2</v>
      </c>
      <c r="J312" s="4">
        <v>4.4999999999999998E-2</v>
      </c>
      <c r="K312" s="5">
        <v>100</v>
      </c>
      <c r="L312" s="5">
        <v>100</v>
      </c>
      <c r="M312" s="5">
        <v>100</v>
      </c>
      <c r="N312" s="5">
        <v>100</v>
      </c>
      <c r="O312" s="2">
        <v>0.22189433191377791</v>
      </c>
      <c r="P312" s="2">
        <v>0.18819652123697578</v>
      </c>
      <c r="Q312" s="2">
        <v>3.7701867184011528E-2</v>
      </c>
      <c r="R312" s="2">
        <v>4.6043938501406846E-2</v>
      </c>
    </row>
    <row r="313" spans="1:18" x14ac:dyDescent="0.3">
      <c r="A313" s="7">
        <v>743</v>
      </c>
      <c r="B313" s="7">
        <v>199</v>
      </c>
      <c r="C313" s="7">
        <v>0</v>
      </c>
      <c r="D313" s="7">
        <v>0</v>
      </c>
      <c r="E313" s="20" t="str">
        <f t="shared" si="4"/>
        <v>00</v>
      </c>
      <c r="F313" s="21">
        <v>0.499694529529917</v>
      </c>
      <c r="G313" s="4">
        <v>0.55600000000000005</v>
      </c>
      <c r="H313" s="4">
        <v>0.445520581113801</v>
      </c>
      <c r="I313" s="4">
        <v>3.6999999999999998E-2</v>
      </c>
      <c r="J313" s="4">
        <v>0.04</v>
      </c>
      <c r="K313" s="5">
        <v>0</v>
      </c>
      <c r="L313" s="5">
        <v>100</v>
      </c>
      <c r="M313" s="5">
        <v>100</v>
      </c>
      <c r="N313" s="5">
        <v>100</v>
      </c>
      <c r="O313" s="2">
        <v>0.81193071654991245</v>
      </c>
      <c r="P313" s="2">
        <v>0.58972558940679232</v>
      </c>
      <c r="Q313" s="2">
        <v>3.7701867184011528E-2</v>
      </c>
      <c r="R313" s="2">
        <v>4.0821994520255166E-2</v>
      </c>
    </row>
    <row r="314" spans="1:18" x14ac:dyDescent="0.3">
      <c r="A314" s="7">
        <v>113</v>
      </c>
      <c r="B314" s="7">
        <v>209</v>
      </c>
      <c r="C314" s="7">
        <v>0</v>
      </c>
      <c r="D314" s="7">
        <v>0</v>
      </c>
      <c r="E314" s="20" t="str">
        <f t="shared" si="4"/>
        <v>00</v>
      </c>
      <c r="F314" s="21">
        <v>0.50455211184809601</v>
      </c>
      <c r="G314" s="4">
        <v>0.32200000000000001</v>
      </c>
      <c r="H314" s="4">
        <v>0.290870488322718</v>
      </c>
      <c r="I314" s="4">
        <v>4.5999999999999999E-2</v>
      </c>
      <c r="J314" s="4">
        <v>4.2999999999999997E-2</v>
      </c>
      <c r="K314" s="5">
        <v>100</v>
      </c>
      <c r="L314" s="5">
        <v>100</v>
      </c>
      <c r="M314" s="5">
        <v>100</v>
      </c>
      <c r="N314" s="5">
        <v>100</v>
      </c>
      <c r="O314" s="2">
        <v>0.3886079910417416</v>
      </c>
      <c r="P314" s="2">
        <v>0.34371710103971786</v>
      </c>
      <c r="Q314" s="2">
        <v>4.7091607533850569E-2</v>
      </c>
      <c r="R314" s="2">
        <v>4.3951887529182831E-2</v>
      </c>
    </row>
    <row r="315" spans="1:18" x14ac:dyDescent="0.3">
      <c r="A315" s="7">
        <v>801</v>
      </c>
      <c r="B315" s="7">
        <v>171</v>
      </c>
      <c r="C315" s="7">
        <v>0</v>
      </c>
      <c r="D315" s="7">
        <v>0</v>
      </c>
      <c r="E315" s="20" t="str">
        <f t="shared" si="4"/>
        <v>00</v>
      </c>
      <c r="F315" s="21">
        <v>0.50516871801442098</v>
      </c>
      <c r="G315" s="4">
        <v>0.16900000000000001</v>
      </c>
      <c r="H315" s="4">
        <v>0.15885947046843199</v>
      </c>
      <c r="I315" s="4">
        <v>4.2999999999999997E-2</v>
      </c>
      <c r="J315" s="4">
        <v>2.8000000000000001E-2</v>
      </c>
      <c r="K315" s="5">
        <v>100</v>
      </c>
      <c r="L315" s="5">
        <v>100</v>
      </c>
      <c r="M315" s="5">
        <v>100</v>
      </c>
      <c r="N315" s="5">
        <v>100</v>
      </c>
      <c r="O315" s="2">
        <v>0.18512548412668892</v>
      </c>
      <c r="P315" s="2">
        <v>0.17299653483348804</v>
      </c>
      <c r="Q315" s="2">
        <v>4.3951887529182831E-2</v>
      </c>
      <c r="R315" s="2">
        <v>2.8399474521698002E-2</v>
      </c>
    </row>
    <row r="316" spans="1:18" x14ac:dyDescent="0.3">
      <c r="A316" s="7">
        <v>421</v>
      </c>
      <c r="B316" s="7">
        <v>231</v>
      </c>
      <c r="C316" s="7">
        <v>0</v>
      </c>
      <c r="D316" s="7">
        <v>0</v>
      </c>
      <c r="E316" s="20" t="str">
        <f t="shared" si="4"/>
        <v>00</v>
      </c>
      <c r="F316" s="21">
        <v>0.505921212994347</v>
      </c>
      <c r="G316" s="4">
        <v>0.246</v>
      </c>
      <c r="H316" s="4">
        <v>0.21966527196652699</v>
      </c>
      <c r="I316" s="4">
        <v>3.4000000000000002E-2</v>
      </c>
      <c r="J316" s="4">
        <v>3.7999999999999999E-2</v>
      </c>
      <c r="K316" s="5">
        <v>100</v>
      </c>
      <c r="L316" s="5">
        <v>100</v>
      </c>
      <c r="M316" s="5">
        <v>100</v>
      </c>
      <c r="N316" s="5">
        <v>100</v>
      </c>
      <c r="O316" s="2">
        <v>0.28236291097418098</v>
      </c>
      <c r="P316" s="2">
        <v>0.24803231284764013</v>
      </c>
      <c r="Q316" s="2">
        <v>3.459144476961909E-2</v>
      </c>
      <c r="R316" s="2">
        <v>3.8740828316430595E-2</v>
      </c>
    </row>
    <row r="317" spans="1:18" x14ac:dyDescent="0.3">
      <c r="A317" s="7">
        <v>609</v>
      </c>
      <c r="B317" s="7">
        <v>204</v>
      </c>
      <c r="C317" s="7">
        <v>0</v>
      </c>
      <c r="D317" s="7">
        <v>0</v>
      </c>
      <c r="E317" s="20" t="str">
        <f t="shared" si="4"/>
        <v>00</v>
      </c>
      <c r="F317" s="21">
        <v>0.50698006548591401</v>
      </c>
      <c r="G317" s="4">
        <v>0.44900000000000001</v>
      </c>
      <c r="H317" s="4">
        <v>0.41189427312775301</v>
      </c>
      <c r="I317" s="4">
        <v>0.03</v>
      </c>
      <c r="J317" s="4">
        <v>0.04</v>
      </c>
      <c r="K317" s="5">
        <v>100</v>
      </c>
      <c r="L317" s="5">
        <v>100</v>
      </c>
      <c r="M317" s="5">
        <v>100</v>
      </c>
      <c r="N317" s="5">
        <v>100</v>
      </c>
      <c r="O317" s="2">
        <v>0.59602046982922263</v>
      </c>
      <c r="P317" s="2">
        <v>0.53084853964109802</v>
      </c>
      <c r="Q317" s="2">
        <v>3.0459207484708574E-2</v>
      </c>
      <c r="R317" s="2">
        <v>4.0821994520255166E-2</v>
      </c>
    </row>
    <row r="318" spans="1:18" x14ac:dyDescent="0.3">
      <c r="A318" s="7">
        <v>868</v>
      </c>
      <c r="B318" s="7">
        <v>212</v>
      </c>
      <c r="C318" s="7">
        <v>0</v>
      </c>
      <c r="D318" s="7">
        <v>0</v>
      </c>
      <c r="E318" s="20" t="str">
        <f t="shared" si="4"/>
        <v>00</v>
      </c>
      <c r="F318" s="21">
        <v>0.50795496482476599</v>
      </c>
      <c r="G318" s="4">
        <v>0.45500000000000002</v>
      </c>
      <c r="H318" s="4">
        <v>0.37019230769230799</v>
      </c>
      <c r="I318" s="4">
        <v>2.7E-2</v>
      </c>
      <c r="J318" s="4">
        <v>4.2999999999999997E-2</v>
      </c>
      <c r="K318" s="5">
        <v>100</v>
      </c>
      <c r="L318" s="5">
        <v>100</v>
      </c>
      <c r="M318" s="5">
        <v>100</v>
      </c>
      <c r="N318" s="5">
        <v>100</v>
      </c>
      <c r="O318" s="2">
        <v>0.60696948431889308</v>
      </c>
      <c r="P318" s="2">
        <v>0.46234075650016682</v>
      </c>
      <c r="Q318" s="2">
        <v>2.7371196796132015E-2</v>
      </c>
      <c r="R318" s="2">
        <v>4.3951887529182831E-2</v>
      </c>
    </row>
    <row r="319" spans="1:18" x14ac:dyDescent="0.3">
      <c r="A319" s="7">
        <v>974</v>
      </c>
      <c r="B319" s="7">
        <v>212</v>
      </c>
      <c r="C319" s="7">
        <v>0</v>
      </c>
      <c r="D319" s="7">
        <v>0</v>
      </c>
      <c r="E319" s="20" t="str">
        <f t="shared" si="4"/>
        <v>00</v>
      </c>
      <c r="F319" s="21">
        <v>0.508234202656767</v>
      </c>
      <c r="G319" s="4">
        <v>0.45</v>
      </c>
      <c r="H319" s="4">
        <v>0.36057692307692302</v>
      </c>
      <c r="I319" s="4">
        <v>8.8999999999999996E-2</v>
      </c>
      <c r="J319" s="4">
        <v>8.6999999999999994E-2</v>
      </c>
      <c r="K319" s="5">
        <v>100</v>
      </c>
      <c r="L319" s="5">
        <v>100</v>
      </c>
      <c r="M319" s="5">
        <v>100</v>
      </c>
      <c r="N319" s="5">
        <v>100</v>
      </c>
      <c r="O319" s="2">
        <v>0.59783700075562041</v>
      </c>
      <c r="P319" s="2">
        <v>0.44718895147956411</v>
      </c>
      <c r="Q319" s="2">
        <v>9.3212381722178703E-2</v>
      </c>
      <c r="R319" s="2">
        <v>9.1019398387168549E-2</v>
      </c>
    </row>
    <row r="320" spans="1:18" x14ac:dyDescent="0.3">
      <c r="A320" s="7">
        <v>448</v>
      </c>
      <c r="B320" s="7">
        <v>203</v>
      </c>
      <c r="C320" s="7">
        <v>0</v>
      </c>
      <c r="D320" s="7">
        <v>0</v>
      </c>
      <c r="E320" s="20" t="str">
        <f t="shared" si="4"/>
        <v>00</v>
      </c>
      <c r="F320" s="21">
        <v>0.51364019002253503</v>
      </c>
      <c r="G320" s="4">
        <v>0.30499999999999999</v>
      </c>
      <c r="H320" s="4">
        <v>0.26260504201680701</v>
      </c>
      <c r="I320" s="4">
        <v>2.5000000000000001E-2</v>
      </c>
      <c r="J320" s="4">
        <v>3.1E-2</v>
      </c>
      <c r="K320" s="5">
        <v>100</v>
      </c>
      <c r="L320" s="5">
        <v>100</v>
      </c>
      <c r="M320" s="5">
        <v>100</v>
      </c>
      <c r="N320" s="5">
        <v>100</v>
      </c>
      <c r="O320" s="2">
        <v>0.36384343341734482</v>
      </c>
      <c r="P320" s="2">
        <v>0.30463163076555461</v>
      </c>
      <c r="Q320" s="2">
        <v>2.5317807984289897E-2</v>
      </c>
      <c r="R320" s="2">
        <v>3.1490667091370848E-2</v>
      </c>
    </row>
    <row r="321" spans="1:18" x14ac:dyDescent="0.3">
      <c r="A321" s="7">
        <v>783</v>
      </c>
      <c r="B321" s="7">
        <v>228</v>
      </c>
      <c r="C321" s="7">
        <v>0</v>
      </c>
      <c r="D321" s="7">
        <v>0</v>
      </c>
      <c r="E321" s="20" t="str">
        <f t="shared" si="4"/>
        <v>00</v>
      </c>
      <c r="F321" s="21">
        <v>0.51501605344192902</v>
      </c>
      <c r="G321" s="4">
        <v>0.45</v>
      </c>
      <c r="H321" s="4">
        <v>0.390519187358916</v>
      </c>
      <c r="I321" s="4">
        <v>4.9000000000000002E-2</v>
      </c>
      <c r="J321" s="4">
        <v>3.4000000000000002E-2</v>
      </c>
      <c r="K321" s="5">
        <v>100</v>
      </c>
      <c r="L321" s="5">
        <v>100</v>
      </c>
      <c r="M321" s="5">
        <v>100</v>
      </c>
      <c r="N321" s="5">
        <v>100</v>
      </c>
      <c r="O321" s="2">
        <v>0.59783700075562041</v>
      </c>
      <c r="P321" s="2">
        <v>0.49514781104676009</v>
      </c>
      <c r="Q321" s="2">
        <v>5.024121643674679E-2</v>
      </c>
      <c r="R321" s="2">
        <v>3.459144476961909E-2</v>
      </c>
    </row>
    <row r="322" spans="1:18" x14ac:dyDescent="0.3">
      <c r="A322" s="7">
        <v>641</v>
      </c>
      <c r="B322" s="7">
        <v>183</v>
      </c>
      <c r="C322" s="7">
        <v>0</v>
      </c>
      <c r="D322" s="7">
        <v>0</v>
      </c>
      <c r="E322" s="20" t="str">
        <f t="shared" ref="E322:E385" si="5">_xlfn.CONCAT(C322,D322)</f>
        <v>00</v>
      </c>
      <c r="F322" s="21">
        <v>0.51589477271974904</v>
      </c>
      <c r="G322" s="4">
        <v>0.41199999999999998</v>
      </c>
      <c r="H322" s="4">
        <v>0.30238095238095197</v>
      </c>
      <c r="I322" s="4">
        <v>3.9E-2</v>
      </c>
      <c r="J322" s="4">
        <v>4.5999999999999999E-2</v>
      </c>
      <c r="K322" s="5">
        <v>100</v>
      </c>
      <c r="L322" s="5">
        <v>100</v>
      </c>
      <c r="M322" s="5">
        <v>100</v>
      </c>
      <c r="N322" s="5">
        <v>100</v>
      </c>
      <c r="O322" s="2">
        <v>0.53102833108351</v>
      </c>
      <c r="P322" s="2">
        <v>0.36008210226034609</v>
      </c>
      <c r="Q322" s="2">
        <v>3.9780870011844598E-2</v>
      </c>
      <c r="R322" s="2">
        <v>4.7091607533850569E-2</v>
      </c>
    </row>
    <row r="323" spans="1:18" x14ac:dyDescent="0.3">
      <c r="A323" s="7">
        <v>75</v>
      </c>
      <c r="B323" s="7">
        <v>195</v>
      </c>
      <c r="C323" s="7">
        <v>0</v>
      </c>
      <c r="D323" s="7">
        <v>0</v>
      </c>
      <c r="E323" s="20" t="str">
        <f t="shared" si="5"/>
        <v>00</v>
      </c>
      <c r="F323" s="21">
        <v>0.51621098997704795</v>
      </c>
      <c r="G323" s="4">
        <v>0.24</v>
      </c>
      <c r="H323" s="4">
        <v>0.21926229508196701</v>
      </c>
      <c r="I323" s="4">
        <v>0.96499999999999997</v>
      </c>
      <c r="J323" s="4">
        <v>0.96</v>
      </c>
      <c r="K323" s="5">
        <v>100</v>
      </c>
      <c r="L323" s="5">
        <v>100</v>
      </c>
      <c r="M323" s="5">
        <v>0</v>
      </c>
      <c r="N323" s="5">
        <v>0</v>
      </c>
      <c r="O323" s="2">
        <v>0.2744368457017603</v>
      </c>
      <c r="P323" s="2">
        <v>0.24751603072644598</v>
      </c>
      <c r="Q323" s="2">
        <v>3.3524072174927224</v>
      </c>
      <c r="R323" s="2">
        <v>3.2188758248681997</v>
      </c>
    </row>
    <row r="324" spans="1:18" x14ac:dyDescent="0.3">
      <c r="A324" s="7">
        <v>244</v>
      </c>
      <c r="B324" s="7">
        <v>196</v>
      </c>
      <c r="C324" s="7">
        <v>0</v>
      </c>
      <c r="D324" s="7">
        <v>0</v>
      </c>
      <c r="E324" s="20" t="str">
        <f t="shared" si="5"/>
        <v>00</v>
      </c>
      <c r="F324" s="21">
        <v>0.52091428591927202</v>
      </c>
      <c r="G324" s="4">
        <v>0.40899999999999997</v>
      </c>
      <c r="H324" s="4">
        <v>0.29539951573849899</v>
      </c>
      <c r="I324" s="4">
        <v>4.5999999999999999E-2</v>
      </c>
      <c r="J324" s="4">
        <v>5.0999999999999997E-2</v>
      </c>
      <c r="K324" s="5">
        <v>100</v>
      </c>
      <c r="L324" s="5">
        <v>100</v>
      </c>
      <c r="M324" s="5">
        <v>100</v>
      </c>
      <c r="N324" s="5">
        <v>100</v>
      </c>
      <c r="O324" s="2">
        <v>0.52593926157603887</v>
      </c>
      <c r="P324" s="2">
        <v>0.3501243257895405</v>
      </c>
      <c r="Q324" s="2">
        <v>4.7091607533850569E-2</v>
      </c>
      <c r="R324" s="2">
        <v>5.2346480372209236E-2</v>
      </c>
    </row>
    <row r="325" spans="1:18" x14ac:dyDescent="0.3">
      <c r="A325" s="7">
        <v>997</v>
      </c>
      <c r="B325" s="7">
        <v>212</v>
      </c>
      <c r="C325" s="7">
        <v>0</v>
      </c>
      <c r="D325" s="7">
        <v>0</v>
      </c>
      <c r="E325" s="20" t="str">
        <f t="shared" si="5"/>
        <v>00</v>
      </c>
      <c r="F325" s="21">
        <v>0.521062939292806</v>
      </c>
      <c r="G325" s="4">
        <v>0.32100000000000001</v>
      </c>
      <c r="H325" s="4">
        <v>0.253164556962025</v>
      </c>
      <c r="I325" s="4">
        <v>5.3999999999999999E-2</v>
      </c>
      <c r="J325" s="4">
        <v>4.8000000000000001E-2</v>
      </c>
      <c r="K325" s="5">
        <v>100</v>
      </c>
      <c r="L325" s="5">
        <v>100</v>
      </c>
      <c r="M325" s="5">
        <v>100</v>
      </c>
      <c r="N325" s="5">
        <v>100</v>
      </c>
      <c r="O325" s="2">
        <v>0.38713415142344088</v>
      </c>
      <c r="P325" s="2">
        <v>0.29191040856130163</v>
      </c>
      <c r="Q325" s="2">
        <v>5.5512709930258829E-2</v>
      </c>
      <c r="R325" s="2">
        <v>4.9190244190771781E-2</v>
      </c>
    </row>
    <row r="326" spans="1:18" x14ac:dyDescent="0.3">
      <c r="A326" s="7">
        <v>108</v>
      </c>
      <c r="B326" s="7">
        <v>204</v>
      </c>
      <c r="C326" s="7">
        <v>0</v>
      </c>
      <c r="D326" s="7">
        <v>0</v>
      </c>
      <c r="E326" s="20" t="str">
        <f t="shared" si="5"/>
        <v>00</v>
      </c>
      <c r="F326" s="21">
        <v>0.52222350284943497</v>
      </c>
      <c r="G326" s="4">
        <v>0.23400000000000001</v>
      </c>
      <c r="H326" s="4">
        <v>0.214723926380368</v>
      </c>
      <c r="I326" s="4">
        <v>3.9E-2</v>
      </c>
      <c r="J326" s="4">
        <v>4.4999999999999998E-2</v>
      </c>
      <c r="K326" s="5">
        <v>100</v>
      </c>
      <c r="L326" s="5">
        <v>100</v>
      </c>
      <c r="M326" s="5">
        <v>100</v>
      </c>
      <c r="N326" s="5">
        <v>100</v>
      </c>
      <c r="O326" s="2">
        <v>0.26657310924154576</v>
      </c>
      <c r="P326" s="2">
        <v>0.24171993688714499</v>
      </c>
      <c r="Q326" s="2">
        <v>3.9780870011844598E-2</v>
      </c>
      <c r="R326" s="2">
        <v>4.6043938501406846E-2</v>
      </c>
    </row>
    <row r="327" spans="1:18" x14ac:dyDescent="0.3">
      <c r="A327" s="7">
        <v>749</v>
      </c>
      <c r="B327" s="7">
        <v>213</v>
      </c>
      <c r="C327" s="7">
        <v>0</v>
      </c>
      <c r="D327" s="7">
        <v>0</v>
      </c>
      <c r="E327" s="20" t="str">
        <f t="shared" si="5"/>
        <v>00</v>
      </c>
      <c r="F327" s="21">
        <v>0.52356766369686603</v>
      </c>
      <c r="G327" s="4">
        <v>0.443</v>
      </c>
      <c r="H327" s="4">
        <v>0.420479302832244</v>
      </c>
      <c r="I327" s="4">
        <v>4.4999999999999998E-2</v>
      </c>
      <c r="J327" s="4">
        <v>4.9000000000000002E-2</v>
      </c>
      <c r="K327" s="5">
        <v>100</v>
      </c>
      <c r="L327" s="5">
        <v>100</v>
      </c>
      <c r="M327" s="5">
        <v>100</v>
      </c>
      <c r="N327" s="5">
        <v>100</v>
      </c>
      <c r="O327" s="2">
        <v>0.58519003905485312</v>
      </c>
      <c r="P327" s="2">
        <v>0.54555390127884607</v>
      </c>
      <c r="Q327" s="2">
        <v>4.6043938501406846E-2</v>
      </c>
      <c r="R327" s="2">
        <v>5.024121643674679E-2</v>
      </c>
    </row>
    <row r="328" spans="1:18" x14ac:dyDescent="0.3">
      <c r="A328" s="7">
        <v>693</v>
      </c>
      <c r="B328" s="7">
        <v>213</v>
      </c>
      <c r="C328" s="7">
        <v>0</v>
      </c>
      <c r="D328" s="7">
        <v>0</v>
      </c>
      <c r="E328" s="20" t="str">
        <f t="shared" si="5"/>
        <v>00</v>
      </c>
      <c r="F328" s="21">
        <v>0.524046234067435</v>
      </c>
      <c r="G328" s="4">
        <v>0.38700000000000001</v>
      </c>
      <c r="H328" s="4">
        <v>0.30821917808219201</v>
      </c>
      <c r="I328" s="4">
        <v>5.5E-2</v>
      </c>
      <c r="J328" s="4">
        <v>5.2999999999999999E-2</v>
      </c>
      <c r="K328" s="5">
        <v>100</v>
      </c>
      <c r="L328" s="5">
        <v>100</v>
      </c>
      <c r="M328" s="5">
        <v>100</v>
      </c>
      <c r="N328" s="5">
        <v>100</v>
      </c>
      <c r="O328" s="2">
        <v>0.48939034304592566</v>
      </c>
      <c r="P328" s="2">
        <v>0.36848610486707734</v>
      </c>
      <c r="Q328" s="2">
        <v>5.6570351488394351E-2</v>
      </c>
      <c r="R328" s="2">
        <v>5.4456185796058855E-2</v>
      </c>
    </row>
    <row r="329" spans="1:18" x14ac:dyDescent="0.3">
      <c r="A329" s="7">
        <v>725</v>
      </c>
      <c r="B329" s="7">
        <v>190</v>
      </c>
      <c r="C329" s="7">
        <v>0</v>
      </c>
      <c r="D329" s="7">
        <v>0</v>
      </c>
      <c r="E329" s="20" t="str">
        <f t="shared" si="5"/>
        <v>00</v>
      </c>
      <c r="F329" s="21">
        <v>0.52817906481318999</v>
      </c>
      <c r="G329" s="4">
        <v>0.24</v>
      </c>
      <c r="H329" s="4">
        <v>0.18550106609808101</v>
      </c>
      <c r="I329" s="4">
        <v>3.5999999999999997E-2</v>
      </c>
      <c r="J329" s="4">
        <v>4.3999999999999997E-2</v>
      </c>
      <c r="K329" s="5">
        <v>100</v>
      </c>
      <c r="L329" s="5">
        <v>100</v>
      </c>
      <c r="M329" s="5">
        <v>100</v>
      </c>
      <c r="N329" s="5">
        <v>100</v>
      </c>
      <c r="O329" s="2">
        <v>0.2744368457017603</v>
      </c>
      <c r="P329" s="2">
        <v>0.2051821598397042</v>
      </c>
      <c r="Q329" s="2">
        <v>3.666398437159147E-2</v>
      </c>
      <c r="R329" s="2">
        <v>4.4997365930735805E-2</v>
      </c>
    </row>
    <row r="330" spans="1:18" x14ac:dyDescent="0.3">
      <c r="A330" s="7">
        <v>79</v>
      </c>
      <c r="B330" s="7">
        <v>210</v>
      </c>
      <c r="C330" s="7">
        <v>0</v>
      </c>
      <c r="D330" s="7">
        <v>0</v>
      </c>
      <c r="E330" s="20" t="str">
        <f t="shared" si="5"/>
        <v>00</v>
      </c>
      <c r="F330" s="21">
        <v>0.528912061885075</v>
      </c>
      <c r="G330" s="4">
        <v>0.35299999999999998</v>
      </c>
      <c r="H330" s="4">
        <v>0.34110169491525399</v>
      </c>
      <c r="I330" s="4">
        <v>3.7999999999999999E-2</v>
      </c>
      <c r="J330" s="4">
        <v>4.1000000000000002E-2</v>
      </c>
      <c r="K330" s="5">
        <v>100</v>
      </c>
      <c r="L330" s="5">
        <v>100</v>
      </c>
      <c r="M330" s="5">
        <v>100</v>
      </c>
      <c r="N330" s="5">
        <v>100</v>
      </c>
      <c r="O330" s="2">
        <v>0.43540898448123644</v>
      </c>
      <c r="P330" s="2">
        <v>0.41718607340632086</v>
      </c>
      <c r="Q330" s="2">
        <v>3.8740828316430595E-2</v>
      </c>
      <c r="R330" s="2">
        <v>4.1864204098698871E-2</v>
      </c>
    </row>
    <row r="331" spans="1:18" x14ac:dyDescent="0.3">
      <c r="A331" s="7">
        <v>91</v>
      </c>
      <c r="B331" s="7">
        <v>200</v>
      </c>
      <c r="C331" s="7">
        <v>0</v>
      </c>
      <c r="D331" s="7">
        <v>0</v>
      </c>
      <c r="E331" s="20" t="str">
        <f t="shared" si="5"/>
        <v>00</v>
      </c>
      <c r="F331" s="21">
        <v>0.53512745754055802</v>
      </c>
      <c r="G331" s="4">
        <v>0.377</v>
      </c>
      <c r="H331" s="4">
        <v>0.31291028446389502</v>
      </c>
      <c r="I331" s="4">
        <v>0.05</v>
      </c>
      <c r="J331" s="4">
        <v>4.1000000000000002E-2</v>
      </c>
      <c r="K331" s="5">
        <v>100</v>
      </c>
      <c r="L331" s="5">
        <v>100</v>
      </c>
      <c r="M331" s="5">
        <v>100</v>
      </c>
      <c r="N331" s="5">
        <v>100</v>
      </c>
      <c r="O331" s="2">
        <v>0.47320876019468389</v>
      </c>
      <c r="P331" s="2">
        <v>0.3752904049859514</v>
      </c>
      <c r="Q331" s="2">
        <v>5.1293294387550578E-2</v>
      </c>
      <c r="R331" s="2">
        <v>4.1864204098698871E-2</v>
      </c>
    </row>
    <row r="332" spans="1:18" x14ac:dyDescent="0.3">
      <c r="A332" s="7">
        <v>389</v>
      </c>
      <c r="B332" s="7">
        <v>214</v>
      </c>
      <c r="C332" s="7">
        <v>0</v>
      </c>
      <c r="D332" s="7">
        <v>0</v>
      </c>
      <c r="E332" s="20" t="str">
        <f t="shared" si="5"/>
        <v>00</v>
      </c>
      <c r="F332" s="21">
        <v>0.53991845140848305</v>
      </c>
      <c r="G332" s="4">
        <v>0.34399999999999997</v>
      </c>
      <c r="H332" s="4">
        <v>0.332631578947368</v>
      </c>
      <c r="I332" s="4">
        <v>3.3000000000000002E-2</v>
      </c>
      <c r="J332" s="4">
        <v>5.1999999999999998E-2</v>
      </c>
      <c r="K332" s="5">
        <v>100</v>
      </c>
      <c r="L332" s="5">
        <v>100</v>
      </c>
      <c r="M332" s="5">
        <v>100</v>
      </c>
      <c r="N332" s="5">
        <v>100</v>
      </c>
      <c r="O332" s="2">
        <v>0.42159449003804794</v>
      </c>
      <c r="P332" s="2">
        <v>0.40441303015735991</v>
      </c>
      <c r="Q332" s="2">
        <v>3.3556783528842754E-2</v>
      </c>
      <c r="R332" s="2">
        <v>5.3400776727115296E-2</v>
      </c>
    </row>
    <row r="333" spans="1:18" x14ac:dyDescent="0.3">
      <c r="A333" s="7">
        <v>705</v>
      </c>
      <c r="B333" s="7">
        <v>195</v>
      </c>
      <c r="C333" s="7">
        <v>0</v>
      </c>
      <c r="D333" s="7">
        <v>0</v>
      </c>
      <c r="E333" s="20" t="str">
        <f t="shared" si="5"/>
        <v>00</v>
      </c>
      <c r="F333" s="21">
        <v>0.54511627439961396</v>
      </c>
      <c r="G333" s="4">
        <v>0.26300000000000001</v>
      </c>
      <c r="H333" s="4">
        <v>0.24236252545824799</v>
      </c>
      <c r="I333" s="4">
        <v>6.0999999999999999E-2</v>
      </c>
      <c r="J333" s="4">
        <v>4.3999999999999997E-2</v>
      </c>
      <c r="K333" s="5">
        <v>100</v>
      </c>
      <c r="L333" s="5">
        <v>100</v>
      </c>
      <c r="M333" s="5">
        <v>100</v>
      </c>
      <c r="N333" s="5">
        <v>100</v>
      </c>
      <c r="O333" s="2">
        <v>0.30516738679280048</v>
      </c>
      <c r="P333" s="2">
        <v>0.2775502735213734</v>
      </c>
      <c r="Q333" s="2">
        <v>6.2939799773874081E-2</v>
      </c>
      <c r="R333" s="2">
        <v>4.4997365930735805E-2</v>
      </c>
    </row>
    <row r="334" spans="1:18" x14ac:dyDescent="0.3">
      <c r="A334" s="7">
        <v>728</v>
      </c>
      <c r="B334" s="7">
        <v>180</v>
      </c>
      <c r="C334" s="7">
        <v>0</v>
      </c>
      <c r="D334" s="7">
        <v>0</v>
      </c>
      <c r="E334" s="20" t="str">
        <f t="shared" si="5"/>
        <v>00</v>
      </c>
      <c r="F334" s="21">
        <v>0.55083079608810404</v>
      </c>
      <c r="G334" s="4">
        <v>0.40899999999999997</v>
      </c>
      <c r="H334" s="4">
        <v>0.31603773584905698</v>
      </c>
      <c r="I334" s="4">
        <v>5.0999999999999997E-2</v>
      </c>
      <c r="J334" s="4">
        <v>4.3999999999999997E-2</v>
      </c>
      <c r="K334" s="5">
        <v>100</v>
      </c>
      <c r="L334" s="5">
        <v>100</v>
      </c>
      <c r="M334" s="5">
        <v>100</v>
      </c>
      <c r="N334" s="5">
        <v>100</v>
      </c>
      <c r="O334" s="2">
        <v>0.52593926157603887</v>
      </c>
      <c r="P334" s="2">
        <v>0.3798525322514385</v>
      </c>
      <c r="Q334" s="2">
        <v>5.2346480372209236E-2</v>
      </c>
      <c r="R334" s="2">
        <v>4.4997365930735805E-2</v>
      </c>
    </row>
    <row r="335" spans="1:18" x14ac:dyDescent="0.3">
      <c r="A335" s="7">
        <v>213</v>
      </c>
      <c r="B335" s="7">
        <v>179</v>
      </c>
      <c r="C335" s="7">
        <v>0</v>
      </c>
      <c r="D335" s="7">
        <v>0</v>
      </c>
      <c r="E335" s="20" t="str">
        <f t="shared" si="5"/>
        <v>00</v>
      </c>
      <c r="F335" s="21">
        <v>0.55274609880839198</v>
      </c>
      <c r="G335" s="4">
        <v>0.33</v>
      </c>
      <c r="H335" s="4">
        <v>0.28051391862955</v>
      </c>
      <c r="I335" s="4">
        <v>4.4999999999999998E-2</v>
      </c>
      <c r="J335" s="4">
        <v>4.5999999999999999E-2</v>
      </c>
      <c r="K335" s="5">
        <v>100</v>
      </c>
      <c r="L335" s="5">
        <v>100</v>
      </c>
      <c r="M335" s="5">
        <v>100</v>
      </c>
      <c r="N335" s="5">
        <v>100</v>
      </c>
      <c r="O335" s="2">
        <v>0.40047756659712541</v>
      </c>
      <c r="P335" s="2">
        <v>0.3292180977056926</v>
      </c>
      <c r="Q335" s="2">
        <v>4.6043938501406846E-2</v>
      </c>
      <c r="R335" s="2">
        <v>4.7091607533850569E-2</v>
      </c>
    </row>
    <row r="336" spans="1:18" x14ac:dyDescent="0.3">
      <c r="A336" s="7">
        <v>140</v>
      </c>
      <c r="B336" s="7">
        <v>190</v>
      </c>
      <c r="C336" s="7">
        <v>0</v>
      </c>
      <c r="D336" s="7">
        <v>0</v>
      </c>
      <c r="E336" s="20" t="str">
        <f t="shared" si="5"/>
        <v>00</v>
      </c>
      <c r="F336" s="21">
        <v>0.55580027012631095</v>
      </c>
      <c r="G336" s="4">
        <v>0.32100000000000001</v>
      </c>
      <c r="H336" s="4">
        <v>0.28691983122362902</v>
      </c>
      <c r="I336" s="4">
        <v>4.7E-2</v>
      </c>
      <c r="J336" s="4">
        <v>6.2E-2</v>
      </c>
      <c r="K336" s="5">
        <v>100</v>
      </c>
      <c r="L336" s="5">
        <v>100</v>
      </c>
      <c r="M336" s="5">
        <v>100</v>
      </c>
      <c r="N336" s="5">
        <v>100</v>
      </c>
      <c r="O336" s="2">
        <v>0.38713415142344088</v>
      </c>
      <c r="P336" s="2">
        <v>0.33816142621205808</v>
      </c>
      <c r="Q336" s="2">
        <v>4.8140375327934984E-2</v>
      </c>
      <c r="R336" s="2">
        <v>6.4005329975912434E-2</v>
      </c>
    </row>
    <row r="337" spans="1:18" x14ac:dyDescent="0.3">
      <c r="A337" s="7">
        <v>983</v>
      </c>
      <c r="B337" s="7">
        <v>195</v>
      </c>
      <c r="C337" s="7">
        <v>0</v>
      </c>
      <c r="D337" s="7">
        <v>0</v>
      </c>
      <c r="E337" s="20" t="str">
        <f t="shared" si="5"/>
        <v>00</v>
      </c>
      <c r="F337" s="21">
        <v>0.55696329759070695</v>
      </c>
      <c r="G337" s="4">
        <v>0.21099999999999999</v>
      </c>
      <c r="H337" s="4">
        <v>0.21881390593047001</v>
      </c>
      <c r="I337" s="4">
        <v>5.6000000000000001E-2</v>
      </c>
      <c r="J337" s="4">
        <v>3.5000000000000003E-2</v>
      </c>
      <c r="K337" s="5">
        <v>100</v>
      </c>
      <c r="L337" s="5">
        <v>100</v>
      </c>
      <c r="M337" s="5">
        <v>100</v>
      </c>
      <c r="N337" s="5">
        <v>100</v>
      </c>
      <c r="O337" s="2">
        <v>0.23698895813626278</v>
      </c>
      <c r="P337" s="2">
        <v>0.24694188086829641</v>
      </c>
      <c r="Q337" s="2">
        <v>5.7629112836636416E-2</v>
      </c>
      <c r="R337" s="2">
        <v>3.562717764315116E-2</v>
      </c>
    </row>
    <row r="338" spans="1:18" x14ac:dyDescent="0.3">
      <c r="A338" s="7">
        <v>100</v>
      </c>
      <c r="B338" s="7">
        <v>201</v>
      </c>
      <c r="C338" s="7">
        <v>0</v>
      </c>
      <c r="D338" s="7">
        <v>0</v>
      </c>
      <c r="E338" s="20" t="str">
        <f t="shared" si="5"/>
        <v>00</v>
      </c>
      <c r="F338" s="21">
        <v>0.55745813214040396</v>
      </c>
      <c r="G338" s="4">
        <v>0.43099999999999999</v>
      </c>
      <c r="H338" s="4">
        <v>0.37608695652173901</v>
      </c>
      <c r="I338" s="4">
        <v>6.9000000000000006E-2</v>
      </c>
      <c r="J338" s="4">
        <v>5.5E-2</v>
      </c>
      <c r="K338" s="5">
        <v>100</v>
      </c>
      <c r="L338" s="5">
        <v>100</v>
      </c>
      <c r="M338" s="5">
        <v>100</v>
      </c>
      <c r="N338" s="5">
        <v>100</v>
      </c>
      <c r="O338" s="2">
        <v>0.56387484485580619</v>
      </c>
      <c r="P338" s="2">
        <v>0.47174427372351946</v>
      </c>
      <c r="Q338" s="2">
        <v>7.1496001705069923E-2</v>
      </c>
      <c r="R338" s="2">
        <v>5.6570351488394351E-2</v>
      </c>
    </row>
    <row r="339" spans="1:18" x14ac:dyDescent="0.3">
      <c r="A339" s="7">
        <v>977</v>
      </c>
      <c r="B339" s="7">
        <v>161</v>
      </c>
      <c r="C339" s="7">
        <v>0</v>
      </c>
      <c r="D339" s="7">
        <v>0</v>
      </c>
      <c r="E339" s="20" t="str">
        <f t="shared" si="5"/>
        <v>00</v>
      </c>
      <c r="F339" s="21">
        <v>0.56275993464336005</v>
      </c>
      <c r="G339" s="4">
        <v>0.21299999999999999</v>
      </c>
      <c r="H339" s="4">
        <v>0.1875</v>
      </c>
      <c r="I339" s="4">
        <v>3.3000000000000002E-2</v>
      </c>
      <c r="J339" s="4">
        <v>5.3999999999999999E-2</v>
      </c>
      <c r="K339" s="5">
        <v>100</v>
      </c>
      <c r="L339" s="5">
        <v>100</v>
      </c>
      <c r="M339" s="5">
        <v>100</v>
      </c>
      <c r="N339" s="5">
        <v>100</v>
      </c>
      <c r="O339" s="2">
        <v>0.23952703056473379</v>
      </c>
      <c r="P339" s="2">
        <v>0.20763936477824449</v>
      </c>
      <c r="Q339" s="2">
        <v>3.3556783528842754E-2</v>
      </c>
      <c r="R339" s="2">
        <v>5.5512709930258829E-2</v>
      </c>
    </row>
    <row r="340" spans="1:18" x14ac:dyDescent="0.3">
      <c r="A340" s="7">
        <v>828</v>
      </c>
      <c r="B340" s="7">
        <v>187</v>
      </c>
      <c r="C340" s="7">
        <v>0</v>
      </c>
      <c r="D340" s="7">
        <v>0</v>
      </c>
      <c r="E340" s="20" t="str">
        <f t="shared" si="5"/>
        <v>00</v>
      </c>
      <c r="F340" s="21">
        <v>0.56769866881168196</v>
      </c>
      <c r="G340" s="4">
        <v>0.29199999999999998</v>
      </c>
      <c r="H340" s="4">
        <v>0.264583333333333</v>
      </c>
      <c r="I340" s="4">
        <v>6.2E-2</v>
      </c>
      <c r="J340" s="4">
        <v>5.5E-2</v>
      </c>
      <c r="K340" s="5">
        <v>100</v>
      </c>
      <c r="L340" s="5">
        <v>100</v>
      </c>
      <c r="M340" s="5">
        <v>100</v>
      </c>
      <c r="N340" s="5">
        <v>100</v>
      </c>
      <c r="O340" s="2">
        <v>0.34531118528841737</v>
      </c>
      <c r="P340" s="2">
        <v>0.30731804696863935</v>
      </c>
      <c r="Q340" s="2">
        <v>6.4005329975912434E-2</v>
      </c>
      <c r="R340" s="2">
        <v>5.6570351488394351E-2</v>
      </c>
    </row>
    <row r="341" spans="1:18" x14ac:dyDescent="0.3">
      <c r="A341" s="7">
        <v>576</v>
      </c>
      <c r="B341" s="7">
        <v>194</v>
      </c>
      <c r="C341" s="7">
        <v>0</v>
      </c>
      <c r="D341" s="7">
        <v>0</v>
      </c>
      <c r="E341" s="20" t="str">
        <f t="shared" si="5"/>
        <v>00</v>
      </c>
      <c r="F341" s="21">
        <v>0.57504128852952896</v>
      </c>
      <c r="G341" s="4">
        <v>0.34799999999999998</v>
      </c>
      <c r="H341" s="4">
        <v>0.238805970149254</v>
      </c>
      <c r="I341" s="4">
        <v>4.2000000000000003E-2</v>
      </c>
      <c r="J341" s="4">
        <v>4.8000000000000001E-2</v>
      </c>
      <c r="K341" s="5">
        <v>100</v>
      </c>
      <c r="L341" s="5">
        <v>100</v>
      </c>
      <c r="M341" s="5">
        <v>100</v>
      </c>
      <c r="N341" s="5">
        <v>100</v>
      </c>
      <c r="O341" s="2">
        <v>0.42771071705548408</v>
      </c>
      <c r="P341" s="2">
        <v>0.27286698666664061</v>
      </c>
      <c r="Q341" s="2">
        <v>4.290750101127655E-2</v>
      </c>
      <c r="R341" s="2">
        <v>4.9190244190771781E-2</v>
      </c>
    </row>
    <row r="342" spans="1:18" x14ac:dyDescent="0.3">
      <c r="A342" s="7">
        <v>410</v>
      </c>
      <c r="B342" s="7">
        <v>212</v>
      </c>
      <c r="C342" s="7">
        <v>0</v>
      </c>
      <c r="D342" s="7">
        <v>0</v>
      </c>
      <c r="E342" s="20" t="str">
        <f t="shared" si="5"/>
        <v>00</v>
      </c>
      <c r="F342" s="21">
        <v>0.57830503280946099</v>
      </c>
      <c r="G342" s="4">
        <v>0.4</v>
      </c>
      <c r="H342" s="4">
        <v>0.35853131749459999</v>
      </c>
      <c r="I342" s="4">
        <v>4.8000000000000001E-2</v>
      </c>
      <c r="J342" s="4">
        <v>0.04</v>
      </c>
      <c r="K342" s="5">
        <v>100</v>
      </c>
      <c r="L342" s="5">
        <v>100</v>
      </c>
      <c r="M342" s="5">
        <v>100</v>
      </c>
      <c r="N342" s="5">
        <v>100</v>
      </c>
      <c r="O342" s="2">
        <v>0.51082562376599072</v>
      </c>
      <c r="P342" s="2">
        <v>0.44399491528353374</v>
      </c>
      <c r="Q342" s="2">
        <v>4.9190244190771781E-2</v>
      </c>
      <c r="R342" s="2">
        <v>4.0821994520255166E-2</v>
      </c>
    </row>
    <row r="343" spans="1:18" x14ac:dyDescent="0.3">
      <c r="A343" s="7">
        <v>219</v>
      </c>
      <c r="B343" s="7">
        <v>157</v>
      </c>
      <c r="C343" s="7">
        <v>0</v>
      </c>
      <c r="D343" s="7">
        <v>0</v>
      </c>
      <c r="E343" s="20" t="str">
        <f t="shared" si="5"/>
        <v>00</v>
      </c>
      <c r="F343" s="21">
        <v>0.58040300274286505</v>
      </c>
      <c r="G343" s="4">
        <v>0.39900000000000002</v>
      </c>
      <c r="H343" s="4">
        <v>0.37100213219616202</v>
      </c>
      <c r="I343" s="4">
        <v>6.7000000000000004E-2</v>
      </c>
      <c r="J343" s="4">
        <v>5.8000000000000003E-2</v>
      </c>
      <c r="K343" s="5">
        <v>100</v>
      </c>
      <c r="L343" s="5">
        <v>100</v>
      </c>
      <c r="M343" s="5">
        <v>100</v>
      </c>
      <c r="N343" s="5">
        <v>100</v>
      </c>
      <c r="O343" s="2">
        <v>0.50916034444692948</v>
      </c>
      <c r="P343" s="2">
        <v>0.46362741210645958</v>
      </c>
      <c r="Q343" s="2">
        <v>6.9350078134793172E-2</v>
      </c>
      <c r="R343" s="2">
        <v>5.9750004405774049E-2</v>
      </c>
    </row>
    <row r="344" spans="1:18" x14ac:dyDescent="0.3">
      <c r="A344" s="7">
        <v>862</v>
      </c>
      <c r="B344" s="7">
        <v>166</v>
      </c>
      <c r="C344" s="7">
        <v>0</v>
      </c>
      <c r="D344" s="7">
        <v>0</v>
      </c>
      <c r="E344" s="20" t="str">
        <f t="shared" si="5"/>
        <v>00</v>
      </c>
      <c r="F344" s="21">
        <v>0.58312196729617605</v>
      </c>
      <c r="G344" s="4">
        <v>0.77700000000000002</v>
      </c>
      <c r="H344" s="4">
        <v>0.55504587155963303</v>
      </c>
      <c r="I344" s="4">
        <v>0.42399999999999999</v>
      </c>
      <c r="J344" s="4">
        <v>0.42699999999999999</v>
      </c>
      <c r="K344" s="5">
        <v>0</v>
      </c>
      <c r="L344" s="5">
        <v>0</v>
      </c>
      <c r="M344" s="5">
        <v>100</v>
      </c>
      <c r="N344" s="5">
        <v>100</v>
      </c>
      <c r="O344" s="2">
        <v>1.5005835075220184</v>
      </c>
      <c r="P344" s="2">
        <v>0.80978408428570614</v>
      </c>
      <c r="Q344" s="2">
        <v>0.55164761828624564</v>
      </c>
      <c r="R344" s="2">
        <v>0.55686956226739759</v>
      </c>
    </row>
    <row r="345" spans="1:18" x14ac:dyDescent="0.3">
      <c r="A345" s="7">
        <v>853</v>
      </c>
      <c r="B345" s="7">
        <v>188</v>
      </c>
      <c r="C345" s="7">
        <v>0</v>
      </c>
      <c r="D345" s="7">
        <v>0</v>
      </c>
      <c r="E345" s="20" t="str">
        <f t="shared" si="5"/>
        <v>00</v>
      </c>
      <c r="F345" s="21">
        <v>0.58538106313668903</v>
      </c>
      <c r="G345" s="4">
        <v>0.26200000000000001</v>
      </c>
      <c r="H345" s="4">
        <v>0.21336206896551699</v>
      </c>
      <c r="I345" s="4">
        <v>5.0999999999999997E-2</v>
      </c>
      <c r="J345" s="4">
        <v>5.5E-2</v>
      </c>
      <c r="K345" s="5">
        <v>100</v>
      </c>
      <c r="L345" s="5">
        <v>100</v>
      </c>
      <c r="M345" s="5">
        <v>100</v>
      </c>
      <c r="N345" s="5">
        <v>100</v>
      </c>
      <c r="O345" s="2">
        <v>0.30381145438166457</v>
      </c>
      <c r="P345" s="2">
        <v>0.23998719864376347</v>
      </c>
      <c r="Q345" s="2">
        <v>5.2346480372209236E-2</v>
      </c>
      <c r="R345" s="2">
        <v>5.6570351488394351E-2</v>
      </c>
    </row>
    <row r="346" spans="1:18" x14ac:dyDescent="0.3">
      <c r="A346" s="7">
        <v>998</v>
      </c>
      <c r="B346" s="7">
        <v>172</v>
      </c>
      <c r="C346" s="7">
        <v>0</v>
      </c>
      <c r="D346" s="7">
        <v>0</v>
      </c>
      <c r="E346" s="20" t="str">
        <f t="shared" si="5"/>
        <v>00</v>
      </c>
      <c r="F346" s="21">
        <v>0.59145494915212404</v>
      </c>
      <c r="G346" s="4">
        <v>0.27300000000000002</v>
      </c>
      <c r="H346" s="4">
        <v>0.234177215189873</v>
      </c>
      <c r="I346" s="4">
        <v>4.3999999999999997E-2</v>
      </c>
      <c r="J346" s="4">
        <v>3.9E-2</v>
      </c>
      <c r="K346" s="5">
        <v>100</v>
      </c>
      <c r="L346" s="5">
        <v>100</v>
      </c>
      <c r="M346" s="5">
        <v>100</v>
      </c>
      <c r="N346" s="5">
        <v>100</v>
      </c>
      <c r="O346" s="2">
        <v>0.31882880144861769</v>
      </c>
      <c r="P346" s="2">
        <v>0.26680448743022517</v>
      </c>
      <c r="Q346" s="2">
        <v>4.4997365930735805E-2</v>
      </c>
      <c r="R346" s="2">
        <v>3.9780870011844598E-2</v>
      </c>
    </row>
    <row r="347" spans="1:18" x14ac:dyDescent="0.3">
      <c r="A347" s="7">
        <v>520</v>
      </c>
      <c r="B347" s="7">
        <v>180</v>
      </c>
      <c r="C347" s="7">
        <v>0</v>
      </c>
      <c r="D347" s="7">
        <v>0</v>
      </c>
      <c r="E347" s="20" t="str">
        <f t="shared" si="5"/>
        <v>00</v>
      </c>
      <c r="F347" s="21">
        <v>0.60047130079616695</v>
      </c>
      <c r="G347" s="4">
        <v>0.30199999999999999</v>
      </c>
      <c r="H347" s="4">
        <v>0.25</v>
      </c>
      <c r="I347" s="4">
        <v>0.06</v>
      </c>
      <c r="J347" s="4">
        <v>6.5000000000000002E-2</v>
      </c>
      <c r="K347" s="5">
        <v>100</v>
      </c>
      <c r="L347" s="5">
        <v>100</v>
      </c>
      <c r="M347" s="5">
        <v>100</v>
      </c>
      <c r="N347" s="5">
        <v>100</v>
      </c>
      <c r="O347" s="2">
        <v>0.35953617621976464</v>
      </c>
      <c r="P347" s="2">
        <v>0.2876820724517809</v>
      </c>
      <c r="Q347" s="2">
        <v>6.1875403718087529E-2</v>
      </c>
      <c r="R347" s="2">
        <v>6.720874969344999E-2</v>
      </c>
    </row>
    <row r="348" spans="1:18" x14ac:dyDescent="0.3">
      <c r="A348" s="7">
        <v>253</v>
      </c>
      <c r="B348" s="7">
        <v>183</v>
      </c>
      <c r="C348" s="7">
        <v>0</v>
      </c>
      <c r="D348" s="7">
        <v>0</v>
      </c>
      <c r="E348" s="20" t="str">
        <f t="shared" si="5"/>
        <v>00</v>
      </c>
      <c r="F348" s="21">
        <v>0.60095952601074798</v>
      </c>
      <c r="G348" s="4">
        <v>0.64800000000000002</v>
      </c>
      <c r="H348" s="4">
        <v>0.60141509433962304</v>
      </c>
      <c r="I348" s="4">
        <v>9.8000000000000004E-2</v>
      </c>
      <c r="J348" s="4">
        <v>6.6000000000000003E-2</v>
      </c>
      <c r="K348" s="5">
        <v>0</v>
      </c>
      <c r="L348" s="5">
        <v>0</v>
      </c>
      <c r="M348" s="5">
        <v>100</v>
      </c>
      <c r="N348" s="5">
        <v>100</v>
      </c>
      <c r="O348" s="2">
        <v>1.04412410338404</v>
      </c>
      <c r="P348" s="2">
        <v>0.91983474030888523</v>
      </c>
      <c r="Q348" s="2">
        <v>0.10314075891951337</v>
      </c>
      <c r="R348" s="2">
        <v>6.827884075329449E-2</v>
      </c>
    </row>
    <row r="349" spans="1:18" x14ac:dyDescent="0.3">
      <c r="A349" s="7">
        <v>345</v>
      </c>
      <c r="B349" s="7">
        <v>165</v>
      </c>
      <c r="C349" s="7">
        <v>0</v>
      </c>
      <c r="D349" s="7">
        <v>0</v>
      </c>
      <c r="E349" s="20" t="str">
        <f t="shared" si="5"/>
        <v>00</v>
      </c>
      <c r="F349" s="21">
        <v>0.60315448030517504</v>
      </c>
      <c r="G349" s="4">
        <v>0.33600000000000002</v>
      </c>
      <c r="H349" s="4">
        <v>0.25418060200668902</v>
      </c>
      <c r="I349" s="4">
        <v>5.3999999999999999E-2</v>
      </c>
      <c r="J349" s="4">
        <v>4.9000000000000002E-2</v>
      </c>
      <c r="K349" s="5">
        <v>100</v>
      </c>
      <c r="L349" s="5">
        <v>100</v>
      </c>
      <c r="M349" s="5">
        <v>100</v>
      </c>
      <c r="N349" s="5">
        <v>100</v>
      </c>
      <c r="O349" s="2">
        <v>0.4094731295057033</v>
      </c>
      <c r="P349" s="2">
        <v>0.29327180193056773</v>
      </c>
      <c r="Q349" s="2">
        <v>5.5512709930258829E-2</v>
      </c>
      <c r="R349" s="2">
        <v>5.024121643674679E-2</v>
      </c>
    </row>
    <row r="350" spans="1:18" x14ac:dyDescent="0.3">
      <c r="A350" s="7">
        <v>583</v>
      </c>
      <c r="B350" s="7">
        <v>172</v>
      </c>
      <c r="C350" s="7">
        <v>0</v>
      </c>
      <c r="D350" s="7">
        <v>0</v>
      </c>
      <c r="E350" s="20" t="str">
        <f t="shared" si="5"/>
        <v>00</v>
      </c>
      <c r="F350" s="21">
        <v>0.60729586878036501</v>
      </c>
      <c r="G350" s="4">
        <v>0.36799999999999999</v>
      </c>
      <c r="H350" s="4">
        <v>0.302752293577982</v>
      </c>
      <c r="I350" s="4">
        <v>6.8000000000000005E-2</v>
      </c>
      <c r="J350" s="4">
        <v>7.3999999999999996E-2</v>
      </c>
      <c r="K350" s="5">
        <v>100</v>
      </c>
      <c r="L350" s="5">
        <v>100</v>
      </c>
      <c r="M350" s="5">
        <v>100</v>
      </c>
      <c r="N350" s="5">
        <v>100</v>
      </c>
      <c r="O350" s="2">
        <v>0.45886588483527962</v>
      </c>
      <c r="P350" s="2">
        <v>0.36061454194281323</v>
      </c>
      <c r="Q350" s="2">
        <v>7.0422464296545931E-2</v>
      </c>
      <c r="R350" s="2">
        <v>7.6881044335957618E-2</v>
      </c>
    </row>
    <row r="351" spans="1:18" x14ac:dyDescent="0.3">
      <c r="A351" s="7">
        <v>893</v>
      </c>
      <c r="B351" s="7">
        <v>161</v>
      </c>
      <c r="C351" s="7">
        <v>0</v>
      </c>
      <c r="D351" s="7">
        <v>0</v>
      </c>
      <c r="E351" s="20" t="str">
        <f t="shared" si="5"/>
        <v>00</v>
      </c>
      <c r="F351" s="21">
        <v>0.60732113097949403</v>
      </c>
      <c r="G351" s="4">
        <v>0.621</v>
      </c>
      <c r="H351" s="4">
        <v>0.50129198966408295</v>
      </c>
      <c r="I351" s="4">
        <v>3.5000000000000003E-2</v>
      </c>
      <c r="J351" s="4">
        <v>6.7000000000000004E-2</v>
      </c>
      <c r="K351" s="5">
        <v>0</v>
      </c>
      <c r="L351" s="5">
        <v>0</v>
      </c>
      <c r="M351" s="5">
        <v>100</v>
      </c>
      <c r="N351" s="5">
        <v>100</v>
      </c>
      <c r="O351" s="2">
        <v>0.97021907389971074</v>
      </c>
      <c r="P351" s="2">
        <v>0.69573450412489679</v>
      </c>
      <c r="Q351" s="2">
        <v>3.562717764315116E-2</v>
      </c>
      <c r="R351" s="2">
        <v>6.9350078134793172E-2</v>
      </c>
    </row>
    <row r="352" spans="1:18" x14ac:dyDescent="0.3">
      <c r="A352" s="7">
        <v>53</v>
      </c>
      <c r="B352" s="7">
        <v>194</v>
      </c>
      <c r="C352" s="7">
        <v>0</v>
      </c>
      <c r="D352" s="7">
        <v>0</v>
      </c>
      <c r="E352" s="20" t="str">
        <f t="shared" si="5"/>
        <v>00</v>
      </c>
      <c r="F352" s="21">
        <v>0.61248354386236203</v>
      </c>
      <c r="G352" s="4">
        <v>0.35899999999999999</v>
      </c>
      <c r="H352" s="4">
        <v>0.32135306553911203</v>
      </c>
      <c r="I352" s="4">
        <v>5.8000000000000003E-2</v>
      </c>
      <c r="J352" s="4">
        <v>0.05</v>
      </c>
      <c r="K352" s="5">
        <v>100</v>
      </c>
      <c r="L352" s="5">
        <v>100</v>
      </c>
      <c r="M352" s="5">
        <v>100</v>
      </c>
      <c r="N352" s="5">
        <v>100</v>
      </c>
      <c r="O352" s="2">
        <v>0.44472582206146699</v>
      </c>
      <c r="P352" s="2">
        <v>0.38765426536191705</v>
      </c>
      <c r="Q352" s="2">
        <v>5.9750004405774049E-2</v>
      </c>
      <c r="R352" s="2">
        <v>5.1293294387550578E-2</v>
      </c>
    </row>
    <row r="353" spans="1:18" x14ac:dyDescent="0.3">
      <c r="A353" s="7">
        <v>112</v>
      </c>
      <c r="B353" s="7">
        <v>190</v>
      </c>
      <c r="C353" s="7">
        <v>0</v>
      </c>
      <c r="D353" s="7">
        <v>0</v>
      </c>
      <c r="E353" s="20" t="str">
        <f t="shared" si="5"/>
        <v>00</v>
      </c>
      <c r="F353" s="21">
        <v>0.61286722572296504</v>
      </c>
      <c r="G353" s="4">
        <v>0.34399999999999997</v>
      </c>
      <c r="H353" s="4">
        <v>0.28097345132743401</v>
      </c>
      <c r="I353" s="4">
        <v>5.2999999999999999E-2</v>
      </c>
      <c r="J353" s="4">
        <v>5.2999999999999999E-2</v>
      </c>
      <c r="K353" s="5">
        <v>100</v>
      </c>
      <c r="L353" s="5">
        <v>100</v>
      </c>
      <c r="M353" s="5">
        <v>100</v>
      </c>
      <c r="N353" s="5">
        <v>100</v>
      </c>
      <c r="O353" s="2">
        <v>0.42159449003804794</v>
      </c>
      <c r="P353" s="2">
        <v>0.32985699750249425</v>
      </c>
      <c r="Q353" s="2">
        <v>5.4456185796058855E-2</v>
      </c>
      <c r="R353" s="2">
        <v>5.4456185796058855E-2</v>
      </c>
    </row>
    <row r="354" spans="1:18" x14ac:dyDescent="0.3">
      <c r="A354" s="7">
        <v>414</v>
      </c>
      <c r="B354" s="7">
        <v>190</v>
      </c>
      <c r="C354" s="7">
        <v>0</v>
      </c>
      <c r="D354" s="7">
        <v>0</v>
      </c>
      <c r="E354" s="20" t="str">
        <f t="shared" si="5"/>
        <v>00</v>
      </c>
      <c r="F354" s="21">
        <v>0.61635344452464003</v>
      </c>
      <c r="G354" s="4">
        <v>0.58299999999999996</v>
      </c>
      <c r="H354" s="4">
        <v>0.38066465256797599</v>
      </c>
      <c r="I354" s="4">
        <v>5.1999999999999998E-2</v>
      </c>
      <c r="J354" s="4">
        <v>5.6000000000000001E-2</v>
      </c>
      <c r="K354" s="5">
        <v>0</v>
      </c>
      <c r="L354" s="5">
        <v>100</v>
      </c>
      <c r="M354" s="5">
        <v>100</v>
      </c>
      <c r="N354" s="5">
        <v>100</v>
      </c>
      <c r="O354" s="2">
        <v>0.87466905718333554</v>
      </c>
      <c r="P354" s="2">
        <v>0.47910839623865498</v>
      </c>
      <c r="Q354" s="2">
        <v>5.3400776727115296E-2</v>
      </c>
      <c r="R354" s="2">
        <v>5.7629112836636416E-2</v>
      </c>
    </row>
    <row r="355" spans="1:18" x14ac:dyDescent="0.3">
      <c r="A355" s="7">
        <v>55</v>
      </c>
      <c r="B355" s="7">
        <v>172</v>
      </c>
      <c r="C355" s="7">
        <v>0</v>
      </c>
      <c r="D355" s="7">
        <v>0</v>
      </c>
      <c r="E355" s="20" t="str">
        <f t="shared" si="5"/>
        <v>00</v>
      </c>
      <c r="F355" s="21">
        <v>0.62148523255565302</v>
      </c>
      <c r="G355" s="4">
        <v>0.40100000000000002</v>
      </c>
      <c r="H355" s="4">
        <v>0.26341463414634098</v>
      </c>
      <c r="I355" s="4">
        <v>4.8000000000000001E-2</v>
      </c>
      <c r="J355" s="4">
        <v>5.0999999999999997E-2</v>
      </c>
      <c r="K355" s="5">
        <v>100</v>
      </c>
      <c r="L355" s="5">
        <v>100</v>
      </c>
      <c r="M355" s="5">
        <v>100</v>
      </c>
      <c r="N355" s="5">
        <v>100</v>
      </c>
      <c r="O355" s="2">
        <v>0.51249368086668778</v>
      </c>
      <c r="P355" s="2">
        <v>0.30573014232348328</v>
      </c>
      <c r="Q355" s="2">
        <v>4.9190244190771781E-2</v>
      </c>
      <c r="R355" s="2">
        <v>5.2346480372209236E-2</v>
      </c>
    </row>
    <row r="356" spans="1:18" x14ac:dyDescent="0.3">
      <c r="A356" s="7">
        <v>701</v>
      </c>
      <c r="B356" s="7">
        <v>447</v>
      </c>
      <c r="C356" s="7">
        <v>0</v>
      </c>
      <c r="D356" s="7">
        <v>0</v>
      </c>
      <c r="E356" s="20" t="str">
        <f t="shared" si="5"/>
        <v>00</v>
      </c>
      <c r="F356" s="21">
        <v>0.62798239755081098</v>
      </c>
      <c r="G356" s="4">
        <v>0.315</v>
      </c>
      <c r="H356" s="4">
        <v>0.26143790849673199</v>
      </c>
      <c r="I356" s="4">
        <v>4.2999999999999997E-2</v>
      </c>
      <c r="J356" s="4">
        <v>4.4999999999999998E-2</v>
      </c>
      <c r="K356" s="5">
        <v>100</v>
      </c>
      <c r="L356" s="5">
        <v>100</v>
      </c>
      <c r="M356" s="5">
        <v>100</v>
      </c>
      <c r="N356" s="5">
        <v>100</v>
      </c>
      <c r="O356" s="2">
        <v>0.37833644071991168</v>
      </c>
      <c r="P356" s="2">
        <v>0.30305010268009486</v>
      </c>
      <c r="Q356" s="2">
        <v>4.3951887529182831E-2</v>
      </c>
      <c r="R356" s="2">
        <v>4.6043938501406846E-2</v>
      </c>
    </row>
    <row r="357" spans="1:18" x14ac:dyDescent="0.3">
      <c r="A357" s="7">
        <v>340</v>
      </c>
      <c r="B357" s="7">
        <v>155</v>
      </c>
      <c r="C357" s="7">
        <v>0</v>
      </c>
      <c r="D357" s="7">
        <v>0</v>
      </c>
      <c r="E357" s="20" t="str">
        <f t="shared" si="5"/>
        <v>00</v>
      </c>
      <c r="F357" s="21">
        <v>0.62857821517211898</v>
      </c>
      <c r="G357" s="4">
        <v>0.189</v>
      </c>
      <c r="H357" s="4">
        <v>0.164609053497942</v>
      </c>
      <c r="I357" s="4">
        <v>3.1E-2</v>
      </c>
      <c r="J357" s="4">
        <v>4.8000000000000001E-2</v>
      </c>
      <c r="K357" s="5">
        <v>100</v>
      </c>
      <c r="L357" s="5">
        <v>100</v>
      </c>
      <c r="M357" s="5">
        <v>100</v>
      </c>
      <c r="N357" s="5">
        <v>100</v>
      </c>
      <c r="O357" s="2">
        <v>0.20948722486672419</v>
      </c>
      <c r="P357" s="2">
        <v>0.17985546429876062</v>
      </c>
      <c r="Q357" s="2">
        <v>3.1490667091370848E-2</v>
      </c>
      <c r="R357" s="2">
        <v>4.9190244190771781E-2</v>
      </c>
    </row>
    <row r="358" spans="1:18" x14ac:dyDescent="0.3">
      <c r="A358" s="7">
        <v>823</v>
      </c>
      <c r="B358" s="7">
        <v>177</v>
      </c>
      <c r="C358" s="7">
        <v>0</v>
      </c>
      <c r="D358" s="7">
        <v>0</v>
      </c>
      <c r="E358" s="20" t="str">
        <f t="shared" si="5"/>
        <v>00</v>
      </c>
      <c r="F358" s="21">
        <v>0.64776502471059205</v>
      </c>
      <c r="G358" s="4">
        <v>0.30399999999999999</v>
      </c>
      <c r="H358" s="4">
        <v>0.230769230769231</v>
      </c>
      <c r="I358" s="4">
        <v>0.04</v>
      </c>
      <c r="J358" s="4">
        <v>4.2000000000000003E-2</v>
      </c>
      <c r="K358" s="5">
        <v>100</v>
      </c>
      <c r="L358" s="5">
        <v>100</v>
      </c>
      <c r="M358" s="5">
        <v>100</v>
      </c>
      <c r="N358" s="5">
        <v>100</v>
      </c>
      <c r="O358" s="2">
        <v>0.36240561864771748</v>
      </c>
      <c r="P358" s="2">
        <v>0.26236426446749145</v>
      </c>
      <c r="Q358" s="2">
        <v>4.0821994520255166E-2</v>
      </c>
      <c r="R358" s="2">
        <v>4.290750101127655E-2</v>
      </c>
    </row>
    <row r="359" spans="1:18" x14ac:dyDescent="0.3">
      <c r="A359" s="7">
        <v>506</v>
      </c>
      <c r="B359" s="7">
        <v>161</v>
      </c>
      <c r="C359" s="7">
        <v>0</v>
      </c>
      <c r="D359" s="7">
        <v>0</v>
      </c>
      <c r="E359" s="20" t="str">
        <f t="shared" si="5"/>
        <v>00</v>
      </c>
      <c r="F359" s="21">
        <v>0.649366680497385</v>
      </c>
      <c r="G359" s="4">
        <v>0.34899999999999998</v>
      </c>
      <c r="H359" s="4">
        <v>0.3</v>
      </c>
      <c r="I359" s="4">
        <v>0.23899999999999999</v>
      </c>
      <c r="J359" s="4">
        <v>0.218</v>
      </c>
      <c r="K359" s="5">
        <v>100</v>
      </c>
      <c r="L359" s="5">
        <v>100</v>
      </c>
      <c r="M359" s="5">
        <v>100</v>
      </c>
      <c r="N359" s="5">
        <v>100</v>
      </c>
      <c r="O359" s="2">
        <v>0.42924563677356775</v>
      </c>
      <c r="P359" s="2">
        <v>0.35667494393873245</v>
      </c>
      <c r="Q359" s="2">
        <v>0.27312192112045119</v>
      </c>
      <c r="R359" s="2">
        <v>0.24590053843682594</v>
      </c>
    </row>
    <row r="360" spans="1:18" x14ac:dyDescent="0.3">
      <c r="A360" s="7">
        <v>114</v>
      </c>
      <c r="B360" s="7">
        <v>166</v>
      </c>
      <c r="C360" s="7">
        <v>0</v>
      </c>
      <c r="D360" s="7">
        <v>0</v>
      </c>
      <c r="E360" s="20" t="str">
        <f t="shared" si="5"/>
        <v>00</v>
      </c>
      <c r="F360" s="21">
        <v>0.65029313959267099</v>
      </c>
      <c r="G360" s="4">
        <v>0.307</v>
      </c>
      <c r="H360" s="4">
        <v>0.27213822894168499</v>
      </c>
      <c r="I360" s="4">
        <v>4.5999999999999999E-2</v>
      </c>
      <c r="J360" s="4">
        <v>5.8999999999999997E-2</v>
      </c>
      <c r="K360" s="5">
        <v>100</v>
      </c>
      <c r="L360" s="5">
        <v>100</v>
      </c>
      <c r="M360" s="5">
        <v>100</v>
      </c>
      <c r="N360" s="5">
        <v>100</v>
      </c>
      <c r="O360" s="2">
        <v>0.36672527979223374</v>
      </c>
      <c r="P360" s="2">
        <v>0.31764412373387274</v>
      </c>
      <c r="Q360" s="2">
        <v>4.7091607533850569E-2</v>
      </c>
      <c r="R360" s="2">
        <v>6.0812139396757357E-2</v>
      </c>
    </row>
    <row r="361" spans="1:18" x14ac:dyDescent="0.3">
      <c r="A361" s="7">
        <v>814</v>
      </c>
      <c r="B361" s="7">
        <v>164</v>
      </c>
      <c r="C361" s="7">
        <v>0</v>
      </c>
      <c r="D361" s="7">
        <v>0</v>
      </c>
      <c r="E361" s="20" t="str">
        <f t="shared" si="5"/>
        <v>00</v>
      </c>
      <c r="F361" s="21">
        <v>0.65070569649684995</v>
      </c>
      <c r="G361" s="4">
        <v>0.23</v>
      </c>
      <c r="H361" s="4">
        <v>0.20386266094420599</v>
      </c>
      <c r="I361" s="4">
        <v>3.3000000000000002E-2</v>
      </c>
      <c r="J361" s="4">
        <v>4.2999999999999997E-2</v>
      </c>
      <c r="K361" s="5">
        <v>100</v>
      </c>
      <c r="L361" s="5">
        <v>100</v>
      </c>
      <c r="M361" s="5">
        <v>100</v>
      </c>
      <c r="N361" s="5">
        <v>100</v>
      </c>
      <c r="O361" s="2">
        <v>0.26136476413440751</v>
      </c>
      <c r="P361" s="2">
        <v>0.22798357151821075</v>
      </c>
      <c r="Q361" s="2">
        <v>3.3556783528842754E-2</v>
      </c>
      <c r="R361" s="2">
        <v>4.3951887529182831E-2</v>
      </c>
    </row>
    <row r="362" spans="1:18" x14ac:dyDescent="0.3">
      <c r="A362" s="7">
        <v>648</v>
      </c>
      <c r="B362" s="7">
        <v>162</v>
      </c>
      <c r="C362" s="7">
        <v>0</v>
      </c>
      <c r="D362" s="7">
        <v>0</v>
      </c>
      <c r="E362" s="20" t="str">
        <f t="shared" si="5"/>
        <v>00</v>
      </c>
      <c r="F362" s="21">
        <v>0.65552631664643402</v>
      </c>
      <c r="G362" s="4">
        <v>0.214</v>
      </c>
      <c r="H362" s="4">
        <v>0.22037422037422</v>
      </c>
      <c r="I362" s="4">
        <v>5.1999999999999998E-2</v>
      </c>
      <c r="J362" s="4">
        <v>7.3999999999999996E-2</v>
      </c>
      <c r="K362" s="5">
        <v>100</v>
      </c>
      <c r="L362" s="5">
        <v>100</v>
      </c>
      <c r="M362" s="5">
        <v>100</v>
      </c>
      <c r="N362" s="5">
        <v>100</v>
      </c>
      <c r="O362" s="2">
        <v>0.24079848655293046</v>
      </c>
      <c r="P362" s="2">
        <v>0.24894124413534996</v>
      </c>
      <c r="Q362" s="2">
        <v>5.3400776727115296E-2</v>
      </c>
      <c r="R362" s="2">
        <v>7.6881044335957618E-2</v>
      </c>
    </row>
    <row r="363" spans="1:18" x14ac:dyDescent="0.3">
      <c r="A363" s="7">
        <v>507</v>
      </c>
      <c r="B363" s="7">
        <v>167</v>
      </c>
      <c r="C363" s="7">
        <v>0</v>
      </c>
      <c r="D363" s="7">
        <v>0</v>
      </c>
      <c r="E363" s="20" t="str">
        <f t="shared" si="5"/>
        <v>00</v>
      </c>
      <c r="F363" s="21">
        <v>0.65584697076638598</v>
      </c>
      <c r="G363" s="4">
        <v>0.39200000000000002</v>
      </c>
      <c r="H363" s="4">
        <v>0.358333333333333</v>
      </c>
      <c r="I363" s="4">
        <v>3.6999999999999998E-2</v>
      </c>
      <c r="J363" s="4">
        <v>5.8999999999999997E-2</v>
      </c>
      <c r="K363" s="5">
        <v>100</v>
      </c>
      <c r="L363" s="5">
        <v>100</v>
      </c>
      <c r="M363" s="5">
        <v>100</v>
      </c>
      <c r="N363" s="5">
        <v>100</v>
      </c>
      <c r="O363" s="2">
        <v>0.49758039701597007</v>
      </c>
      <c r="P363" s="2">
        <v>0.44368632092836152</v>
      </c>
      <c r="Q363" s="2">
        <v>3.7701867184011528E-2</v>
      </c>
      <c r="R363" s="2">
        <v>6.0812139396757357E-2</v>
      </c>
    </row>
    <row r="364" spans="1:18" x14ac:dyDescent="0.3">
      <c r="A364" s="7">
        <v>93</v>
      </c>
      <c r="B364" s="7">
        <v>172</v>
      </c>
      <c r="C364" s="7">
        <v>0</v>
      </c>
      <c r="D364" s="7">
        <v>0</v>
      </c>
      <c r="E364" s="20" t="str">
        <f t="shared" si="5"/>
        <v>00</v>
      </c>
      <c r="F364" s="21">
        <v>0.65660437089733303</v>
      </c>
      <c r="G364" s="4">
        <v>0.68500000000000005</v>
      </c>
      <c r="H364" s="4">
        <v>0.56830601092896205</v>
      </c>
      <c r="I364" s="4">
        <v>4.3999999999999997E-2</v>
      </c>
      <c r="J364" s="4">
        <v>5.2999999999999999E-2</v>
      </c>
      <c r="K364" s="5">
        <v>0</v>
      </c>
      <c r="L364" s="5">
        <v>0</v>
      </c>
      <c r="M364" s="5">
        <v>100</v>
      </c>
      <c r="N364" s="5">
        <v>100</v>
      </c>
      <c r="O364" s="2">
        <v>1.1551826401565042</v>
      </c>
      <c r="P364" s="2">
        <v>0.84003830037440008</v>
      </c>
      <c r="Q364" s="2">
        <v>4.4997365930735805E-2</v>
      </c>
      <c r="R364" s="2">
        <v>5.4456185796058855E-2</v>
      </c>
    </row>
    <row r="365" spans="1:18" x14ac:dyDescent="0.3">
      <c r="A365" s="7">
        <v>900</v>
      </c>
      <c r="B365" s="7">
        <v>162</v>
      </c>
      <c r="C365" s="7">
        <v>0</v>
      </c>
      <c r="D365" s="7">
        <v>0</v>
      </c>
      <c r="E365" s="20" t="str">
        <f t="shared" si="5"/>
        <v>00</v>
      </c>
      <c r="F365" s="21">
        <v>0.66170643438537202</v>
      </c>
      <c r="G365" s="4">
        <v>0.47899999999999998</v>
      </c>
      <c r="H365" s="4">
        <v>0.41202672605790602</v>
      </c>
      <c r="I365" s="4">
        <v>5.8999999999999997E-2</v>
      </c>
      <c r="J365" s="4">
        <v>5.3999999999999999E-2</v>
      </c>
      <c r="K365" s="5">
        <v>100</v>
      </c>
      <c r="L365" s="5">
        <v>100</v>
      </c>
      <c r="M365" s="5">
        <v>100</v>
      </c>
      <c r="N365" s="5">
        <v>100</v>
      </c>
      <c r="O365" s="2">
        <v>0.65200523722877013</v>
      </c>
      <c r="P365" s="2">
        <v>0.53107378459593735</v>
      </c>
      <c r="Q365" s="2">
        <v>6.0812139396757357E-2</v>
      </c>
      <c r="R365" s="2">
        <v>5.5512709930258829E-2</v>
      </c>
    </row>
    <row r="366" spans="1:18" x14ac:dyDescent="0.3">
      <c r="A366" s="7">
        <v>256</v>
      </c>
      <c r="B366" s="7">
        <v>155</v>
      </c>
      <c r="C366" s="7">
        <v>0</v>
      </c>
      <c r="D366" s="7">
        <v>0</v>
      </c>
      <c r="E366" s="20" t="str">
        <f t="shared" si="5"/>
        <v>00</v>
      </c>
      <c r="F366" s="21">
        <v>0.66259968835776695</v>
      </c>
      <c r="G366" s="4">
        <v>0.29899999999999999</v>
      </c>
      <c r="H366" s="4">
        <v>0.25</v>
      </c>
      <c r="I366" s="4">
        <v>5.0999999999999997E-2</v>
      </c>
      <c r="J366" s="4">
        <v>5.8999999999999997E-2</v>
      </c>
      <c r="K366" s="5">
        <v>100</v>
      </c>
      <c r="L366" s="5">
        <v>100</v>
      </c>
      <c r="M366" s="5">
        <v>100</v>
      </c>
      <c r="N366" s="5">
        <v>100</v>
      </c>
      <c r="O366" s="2">
        <v>0.35524739194754684</v>
      </c>
      <c r="P366" s="2">
        <v>0.2876820724517809</v>
      </c>
      <c r="Q366" s="2">
        <v>5.2346480372209236E-2</v>
      </c>
      <c r="R366" s="2">
        <v>6.0812139396757357E-2</v>
      </c>
    </row>
    <row r="367" spans="1:18" x14ac:dyDescent="0.3">
      <c r="A367" s="7">
        <v>810</v>
      </c>
      <c r="B367" s="7">
        <v>277</v>
      </c>
      <c r="C367" s="7">
        <v>0</v>
      </c>
      <c r="D367" s="7">
        <v>0</v>
      </c>
      <c r="E367" s="20" t="str">
        <f t="shared" si="5"/>
        <v>00</v>
      </c>
      <c r="F367" s="21">
        <v>0.663873545029387</v>
      </c>
      <c r="G367" s="4">
        <v>0.55500000000000005</v>
      </c>
      <c r="H367" s="4">
        <v>0.49195402298850599</v>
      </c>
      <c r="I367" s="4">
        <v>5.1999999999999998E-2</v>
      </c>
      <c r="J367" s="4">
        <v>5.1999999999999998E-2</v>
      </c>
      <c r="K367" s="5">
        <v>0</v>
      </c>
      <c r="L367" s="5">
        <v>100</v>
      </c>
      <c r="M367" s="5">
        <v>100</v>
      </c>
      <c r="N367" s="5">
        <v>100</v>
      </c>
      <c r="O367" s="2">
        <v>0.809680996815897</v>
      </c>
      <c r="P367" s="2">
        <v>0.67718332957093175</v>
      </c>
      <c r="Q367" s="2">
        <v>5.3400776727115296E-2</v>
      </c>
      <c r="R367" s="2">
        <v>5.3400776727115296E-2</v>
      </c>
    </row>
    <row r="368" spans="1:18" x14ac:dyDescent="0.3">
      <c r="A368" s="7">
        <v>512</v>
      </c>
      <c r="B368" s="7">
        <v>160</v>
      </c>
      <c r="C368" s="7">
        <v>0</v>
      </c>
      <c r="D368" s="7">
        <v>0</v>
      </c>
      <c r="E368" s="20" t="str">
        <f t="shared" si="5"/>
        <v>00</v>
      </c>
      <c r="F368" s="21">
        <v>0.66646788029423398</v>
      </c>
      <c r="G368" s="4">
        <v>0.48699999999999999</v>
      </c>
      <c r="H368" s="4">
        <v>0.42694063926940601</v>
      </c>
      <c r="I368" s="4">
        <v>5.5E-2</v>
      </c>
      <c r="J368" s="4">
        <v>6.0999999999999999E-2</v>
      </c>
      <c r="K368" s="5">
        <v>100</v>
      </c>
      <c r="L368" s="5">
        <v>100</v>
      </c>
      <c r="M368" s="5">
        <v>100</v>
      </c>
      <c r="N368" s="5">
        <v>100</v>
      </c>
      <c r="O368" s="2">
        <v>0.66747943381136754</v>
      </c>
      <c r="P368" s="2">
        <v>0.55676597124466143</v>
      </c>
      <c r="Q368" s="2">
        <v>5.6570351488394351E-2</v>
      </c>
      <c r="R368" s="2">
        <v>6.2939799773874081E-2</v>
      </c>
    </row>
    <row r="369" spans="1:18" x14ac:dyDescent="0.3">
      <c r="A369" s="7">
        <v>29</v>
      </c>
      <c r="B369" s="7">
        <v>166</v>
      </c>
      <c r="C369" s="7">
        <v>0</v>
      </c>
      <c r="D369" s="7">
        <v>0</v>
      </c>
      <c r="E369" s="20" t="str">
        <f t="shared" si="5"/>
        <v>00</v>
      </c>
      <c r="F369" s="21">
        <v>0.67003362857818305</v>
      </c>
      <c r="G369" s="4">
        <v>0.35199999999999998</v>
      </c>
      <c r="H369" s="4">
        <v>0.27947598253275102</v>
      </c>
      <c r="I369" s="4">
        <v>5.6000000000000001E-2</v>
      </c>
      <c r="J369" s="4">
        <v>6.6000000000000003E-2</v>
      </c>
      <c r="K369" s="5">
        <v>100</v>
      </c>
      <c r="L369" s="5">
        <v>100</v>
      </c>
      <c r="M369" s="5">
        <v>100</v>
      </c>
      <c r="N369" s="5">
        <v>100</v>
      </c>
      <c r="O369" s="2">
        <v>0.43386458262986233</v>
      </c>
      <c r="P369" s="2">
        <v>0.327776529653659</v>
      </c>
      <c r="Q369" s="2">
        <v>5.7629112836636416E-2</v>
      </c>
      <c r="R369" s="2">
        <v>6.827884075329449E-2</v>
      </c>
    </row>
    <row r="370" spans="1:18" x14ac:dyDescent="0.3">
      <c r="A370" s="7">
        <v>812</v>
      </c>
      <c r="B370" s="7">
        <v>146</v>
      </c>
      <c r="C370" s="7">
        <v>0</v>
      </c>
      <c r="D370" s="7">
        <v>0</v>
      </c>
      <c r="E370" s="20" t="str">
        <f t="shared" si="5"/>
        <v>00</v>
      </c>
      <c r="F370" s="21">
        <v>0.67188772069033897</v>
      </c>
      <c r="G370" s="4">
        <v>0.32900000000000001</v>
      </c>
      <c r="H370" s="4">
        <v>0.30303030303030298</v>
      </c>
      <c r="I370" s="4">
        <v>6.0999999999999999E-2</v>
      </c>
      <c r="J370" s="4">
        <v>5.6000000000000001E-2</v>
      </c>
      <c r="K370" s="5">
        <v>100</v>
      </c>
      <c r="L370" s="5">
        <v>100</v>
      </c>
      <c r="M370" s="5">
        <v>100</v>
      </c>
      <c r="N370" s="5">
        <v>100</v>
      </c>
      <c r="O370" s="2">
        <v>0.39898614201045518</v>
      </c>
      <c r="P370" s="2">
        <v>0.3610133455373305</v>
      </c>
      <c r="Q370" s="2">
        <v>6.2939799773874081E-2</v>
      </c>
      <c r="R370" s="2">
        <v>5.7629112836636416E-2</v>
      </c>
    </row>
    <row r="371" spans="1:18" x14ac:dyDescent="0.3">
      <c r="A371" s="7">
        <v>373</v>
      </c>
      <c r="B371" s="7">
        <v>157</v>
      </c>
      <c r="C371" s="7">
        <v>0</v>
      </c>
      <c r="D371" s="7">
        <v>0</v>
      </c>
      <c r="E371" s="20" t="str">
        <f t="shared" si="5"/>
        <v>00</v>
      </c>
      <c r="F371" s="21">
        <v>0.67334932117923196</v>
      </c>
      <c r="G371" s="4">
        <v>0.28599999999999998</v>
      </c>
      <c r="H371" s="4">
        <v>0.274028629856851</v>
      </c>
      <c r="I371" s="4">
        <v>5.0999999999999997E-2</v>
      </c>
      <c r="J371" s="4">
        <v>0.03</v>
      </c>
      <c r="K371" s="5">
        <v>100</v>
      </c>
      <c r="L371" s="5">
        <v>100</v>
      </c>
      <c r="M371" s="5">
        <v>100</v>
      </c>
      <c r="N371" s="5">
        <v>100</v>
      </c>
      <c r="O371" s="2">
        <v>0.33687231664255274</v>
      </c>
      <c r="P371" s="2">
        <v>0.32024469999945671</v>
      </c>
      <c r="Q371" s="2">
        <v>5.2346480372209236E-2</v>
      </c>
      <c r="R371" s="2">
        <v>3.0459207484708574E-2</v>
      </c>
    </row>
    <row r="372" spans="1:18" x14ac:dyDescent="0.3">
      <c r="A372" s="7">
        <v>717</v>
      </c>
      <c r="B372" s="7">
        <v>164</v>
      </c>
      <c r="C372" s="7">
        <v>0</v>
      </c>
      <c r="D372" s="7">
        <v>0</v>
      </c>
      <c r="E372" s="20" t="str">
        <f t="shared" si="5"/>
        <v>00</v>
      </c>
      <c r="F372" s="21">
        <v>0.67379535850607597</v>
      </c>
      <c r="G372" s="4">
        <v>0.27</v>
      </c>
      <c r="H372" s="4">
        <v>0.243298969072165</v>
      </c>
      <c r="I372" s="4">
        <v>0.05</v>
      </c>
      <c r="J372" s="4">
        <v>7.0000000000000007E-2</v>
      </c>
      <c r="K372" s="5">
        <v>100</v>
      </c>
      <c r="L372" s="5">
        <v>100</v>
      </c>
      <c r="M372" s="5">
        <v>100</v>
      </c>
      <c r="N372" s="5">
        <v>100</v>
      </c>
      <c r="O372" s="2">
        <v>0.31471074483970024</v>
      </c>
      <c r="P372" s="2">
        <v>0.27878704288291295</v>
      </c>
      <c r="Q372" s="2">
        <v>5.1293294387550578E-2</v>
      </c>
      <c r="R372" s="2">
        <v>7.2570692834835498E-2</v>
      </c>
    </row>
    <row r="373" spans="1:18" x14ac:dyDescent="0.3">
      <c r="A373" s="7">
        <v>247</v>
      </c>
      <c r="B373" s="7">
        <v>124</v>
      </c>
      <c r="C373" s="7">
        <v>0</v>
      </c>
      <c r="D373" s="7">
        <v>0</v>
      </c>
      <c r="E373" s="20" t="str">
        <f t="shared" si="5"/>
        <v>00</v>
      </c>
      <c r="F373" s="21">
        <v>0.68733552734362702</v>
      </c>
      <c r="G373" s="4">
        <v>0.41499999999999998</v>
      </c>
      <c r="H373" s="4">
        <v>0.33491686460807601</v>
      </c>
      <c r="I373" s="4">
        <v>6.3E-2</v>
      </c>
      <c r="J373" s="4">
        <v>7.9000000000000001E-2</v>
      </c>
      <c r="K373" s="5">
        <v>100</v>
      </c>
      <c r="L373" s="5">
        <v>100</v>
      </c>
      <c r="M373" s="5">
        <v>100</v>
      </c>
      <c r="N373" s="5">
        <v>100</v>
      </c>
      <c r="O373" s="2">
        <v>0.53614343175028067</v>
      </c>
      <c r="P373" s="2">
        <v>0.40784323051313182</v>
      </c>
      <c r="Q373" s="2">
        <v>6.5071996743714805E-2</v>
      </c>
      <c r="R373" s="2">
        <v>8.2295242726830156E-2</v>
      </c>
    </row>
    <row r="374" spans="1:18" x14ac:dyDescent="0.3">
      <c r="A374" s="7">
        <v>382</v>
      </c>
      <c r="B374" s="7">
        <v>412</v>
      </c>
      <c r="C374" s="7">
        <v>0</v>
      </c>
      <c r="D374" s="7">
        <v>0</v>
      </c>
      <c r="E374" s="20" t="str">
        <f t="shared" si="5"/>
        <v>00</v>
      </c>
      <c r="F374" s="21">
        <v>0.68935472792373198</v>
      </c>
      <c r="G374" s="4">
        <v>0.34</v>
      </c>
      <c r="H374" s="4">
        <v>0.291139240506329</v>
      </c>
      <c r="I374" s="4">
        <v>4.9000000000000002E-2</v>
      </c>
      <c r="J374" s="4">
        <v>4.7E-2</v>
      </c>
      <c r="K374" s="5">
        <v>100</v>
      </c>
      <c r="L374" s="5">
        <v>100</v>
      </c>
      <c r="M374" s="5">
        <v>100</v>
      </c>
      <c r="N374" s="5">
        <v>100</v>
      </c>
      <c r="O374" s="2">
        <v>0.41551544396166595</v>
      </c>
      <c r="P374" s="2">
        <v>0.34409616173187207</v>
      </c>
      <c r="Q374" s="2">
        <v>5.024121643674679E-2</v>
      </c>
      <c r="R374" s="2">
        <v>4.8140375327934984E-2</v>
      </c>
    </row>
    <row r="375" spans="1:18" x14ac:dyDescent="0.3">
      <c r="A375" s="7">
        <v>5</v>
      </c>
      <c r="B375" s="7">
        <v>139</v>
      </c>
      <c r="C375" s="7">
        <v>0</v>
      </c>
      <c r="D375" s="7">
        <v>0</v>
      </c>
      <c r="E375" s="20" t="str">
        <f t="shared" si="5"/>
        <v>00</v>
      </c>
      <c r="F375" s="21">
        <v>0.69309813897168604</v>
      </c>
      <c r="G375" s="4">
        <v>0.29499999999999998</v>
      </c>
      <c r="H375" s="4">
        <v>0.25427350427350398</v>
      </c>
      <c r="I375" s="4">
        <v>4.2999999999999997E-2</v>
      </c>
      <c r="J375" s="4">
        <v>4.9000000000000002E-2</v>
      </c>
      <c r="K375" s="5">
        <v>100</v>
      </c>
      <c r="L375" s="5">
        <v>100</v>
      </c>
      <c r="M375" s="5">
        <v>100</v>
      </c>
      <c r="N375" s="5">
        <v>100</v>
      </c>
      <c r="O375" s="2">
        <v>0.34955747616986832</v>
      </c>
      <c r="P375" s="2">
        <v>0.29339637371521926</v>
      </c>
      <c r="Q375" s="2">
        <v>4.3951887529182831E-2</v>
      </c>
      <c r="R375" s="2">
        <v>5.024121643674679E-2</v>
      </c>
    </row>
    <row r="376" spans="1:18" x14ac:dyDescent="0.3">
      <c r="A376" s="7">
        <v>517</v>
      </c>
      <c r="B376" s="7">
        <v>207</v>
      </c>
      <c r="C376" s="7">
        <v>0</v>
      </c>
      <c r="D376" s="7">
        <v>0</v>
      </c>
      <c r="E376" s="20" t="str">
        <f t="shared" si="5"/>
        <v>00</v>
      </c>
      <c r="F376" s="21">
        <v>0.69577913376072598</v>
      </c>
      <c r="G376" s="4">
        <v>0.36099999999999999</v>
      </c>
      <c r="H376" s="4">
        <v>0.29385964912280699</v>
      </c>
      <c r="I376" s="4">
        <v>4.2999999999999997E-2</v>
      </c>
      <c r="J376" s="4">
        <v>5.2999999999999999E-2</v>
      </c>
      <c r="K376" s="5">
        <v>100</v>
      </c>
      <c r="L376" s="5">
        <v>100</v>
      </c>
      <c r="M376" s="5">
        <v>100</v>
      </c>
      <c r="N376" s="5">
        <v>100</v>
      </c>
      <c r="O376" s="2">
        <v>0.44785082460460224</v>
      </c>
      <c r="P376" s="2">
        <v>0.34794126396997765</v>
      </c>
      <c r="Q376" s="2">
        <v>4.3951887529182831E-2</v>
      </c>
      <c r="R376" s="2">
        <v>5.4456185796058855E-2</v>
      </c>
    </row>
    <row r="377" spans="1:18" x14ac:dyDescent="0.3">
      <c r="A377" s="7">
        <v>584</v>
      </c>
      <c r="B377" s="7">
        <v>135</v>
      </c>
      <c r="C377" s="7">
        <v>0</v>
      </c>
      <c r="D377" s="7">
        <v>0</v>
      </c>
      <c r="E377" s="20" t="str">
        <f t="shared" si="5"/>
        <v>00</v>
      </c>
      <c r="F377" s="21">
        <v>0.70190143362944402</v>
      </c>
      <c r="G377" s="4">
        <v>0.32500000000000001</v>
      </c>
      <c r="H377" s="4">
        <v>0.224215246636771</v>
      </c>
      <c r="I377" s="4">
        <v>0.14499999999999999</v>
      </c>
      <c r="J377" s="4">
        <v>0.16500000000000001</v>
      </c>
      <c r="K377" s="5">
        <v>100</v>
      </c>
      <c r="L377" s="5">
        <v>100</v>
      </c>
      <c r="M377" s="5">
        <v>100</v>
      </c>
      <c r="N377" s="5">
        <v>100</v>
      </c>
      <c r="O377" s="2">
        <v>0.39304258810960718</v>
      </c>
      <c r="P377" s="2">
        <v>0.2538801769623395</v>
      </c>
      <c r="Q377" s="2">
        <v>0.15665381004537685</v>
      </c>
      <c r="R377" s="2">
        <v>0.18032355413128162</v>
      </c>
    </row>
    <row r="378" spans="1:18" x14ac:dyDescent="0.3">
      <c r="A378" s="7">
        <v>915</v>
      </c>
      <c r="B378" s="7">
        <v>144</v>
      </c>
      <c r="C378" s="7">
        <v>0</v>
      </c>
      <c r="D378" s="7">
        <v>0</v>
      </c>
      <c r="E378" s="20" t="str">
        <f t="shared" si="5"/>
        <v>00</v>
      </c>
      <c r="F378" s="21">
        <v>0.70220543626172105</v>
      </c>
      <c r="G378" s="4">
        <v>0.39800000000000002</v>
      </c>
      <c r="H378" s="4">
        <v>0.36585365853658502</v>
      </c>
      <c r="I378" s="4">
        <v>7.0000000000000007E-2</v>
      </c>
      <c r="J378" s="4">
        <v>5.8999999999999997E-2</v>
      </c>
      <c r="K378" s="5">
        <v>100</v>
      </c>
      <c r="L378" s="5">
        <v>100</v>
      </c>
      <c r="M378" s="5">
        <v>100</v>
      </c>
      <c r="N378" s="5">
        <v>100</v>
      </c>
      <c r="O378" s="2">
        <v>0.50749783367331602</v>
      </c>
      <c r="P378" s="2">
        <v>0.4554755286828252</v>
      </c>
      <c r="Q378" s="2">
        <v>7.2570692834835498E-2</v>
      </c>
      <c r="R378" s="2">
        <v>6.0812139396757357E-2</v>
      </c>
    </row>
    <row r="379" spans="1:18" x14ac:dyDescent="0.3">
      <c r="A379" s="7">
        <v>317</v>
      </c>
      <c r="B379" s="7">
        <v>156</v>
      </c>
      <c r="C379" s="7">
        <v>0</v>
      </c>
      <c r="D379" s="7">
        <v>0</v>
      </c>
      <c r="E379" s="20" t="str">
        <f t="shared" si="5"/>
        <v>00</v>
      </c>
      <c r="F379" s="21">
        <v>0.70251171315713801</v>
      </c>
      <c r="G379" s="4">
        <v>0.38800000000000001</v>
      </c>
      <c r="H379" s="4">
        <v>0.33924611973392499</v>
      </c>
      <c r="I379" s="4">
        <v>5.8999999999999997E-2</v>
      </c>
      <c r="J379" s="4">
        <v>5.8999999999999997E-2</v>
      </c>
      <c r="K379" s="5">
        <v>100</v>
      </c>
      <c r="L379" s="5">
        <v>100</v>
      </c>
      <c r="M379" s="5">
        <v>100</v>
      </c>
      <c r="N379" s="5">
        <v>100</v>
      </c>
      <c r="O379" s="2">
        <v>0.49102299646981101</v>
      </c>
      <c r="P379" s="2">
        <v>0.41437385299727436</v>
      </c>
      <c r="Q379" s="2">
        <v>6.0812139396757357E-2</v>
      </c>
      <c r="R379" s="2">
        <v>6.0812139396757357E-2</v>
      </c>
    </row>
    <row r="380" spans="1:18" x14ac:dyDescent="0.3">
      <c r="A380" s="7">
        <v>794</v>
      </c>
      <c r="B380" s="7">
        <v>138</v>
      </c>
      <c r="C380" s="7">
        <v>0</v>
      </c>
      <c r="D380" s="7">
        <v>0</v>
      </c>
      <c r="E380" s="20" t="str">
        <f t="shared" si="5"/>
        <v>00</v>
      </c>
      <c r="F380" s="21">
        <v>0.70339001556292302</v>
      </c>
      <c r="G380" s="4">
        <v>0.35899999999999999</v>
      </c>
      <c r="H380" s="4">
        <v>0.248803827751196</v>
      </c>
      <c r="I380" s="4">
        <v>4.2000000000000003E-2</v>
      </c>
      <c r="J380" s="4">
        <v>4.9000000000000002E-2</v>
      </c>
      <c r="K380" s="5">
        <v>100</v>
      </c>
      <c r="L380" s="5">
        <v>100</v>
      </c>
      <c r="M380" s="5">
        <v>100</v>
      </c>
      <c r="N380" s="5">
        <v>100</v>
      </c>
      <c r="O380" s="2">
        <v>0.44472582206146699</v>
      </c>
      <c r="P380" s="2">
        <v>0.28608844661650273</v>
      </c>
      <c r="Q380" s="2">
        <v>4.290750101127655E-2</v>
      </c>
      <c r="R380" s="2">
        <v>5.024121643674679E-2</v>
      </c>
    </row>
    <row r="381" spans="1:18" x14ac:dyDescent="0.3">
      <c r="A381" s="7">
        <v>586</v>
      </c>
      <c r="B381" s="7">
        <v>149</v>
      </c>
      <c r="C381" s="7">
        <v>0</v>
      </c>
      <c r="D381" s="7">
        <v>0</v>
      </c>
      <c r="E381" s="20" t="str">
        <f t="shared" si="5"/>
        <v>00</v>
      </c>
      <c r="F381" s="21">
        <v>0.70372264080022695</v>
      </c>
      <c r="G381" s="4">
        <v>0.61199999999999999</v>
      </c>
      <c r="H381" s="4">
        <v>0.50381679389313005</v>
      </c>
      <c r="I381" s="4">
        <v>4.1000000000000002E-2</v>
      </c>
      <c r="J381" s="4">
        <v>6.0999999999999999E-2</v>
      </c>
      <c r="K381" s="5">
        <v>0</v>
      </c>
      <c r="L381" s="5">
        <v>0</v>
      </c>
      <c r="M381" s="5">
        <v>100</v>
      </c>
      <c r="N381" s="5">
        <v>100</v>
      </c>
      <c r="O381" s="2">
        <v>0.94674993935886353</v>
      </c>
      <c r="P381" s="2">
        <v>0.70081005330551505</v>
      </c>
      <c r="Q381" s="2">
        <v>4.1864204098698871E-2</v>
      </c>
      <c r="R381" s="2">
        <v>6.2939799773874081E-2</v>
      </c>
    </row>
    <row r="382" spans="1:18" x14ac:dyDescent="0.3">
      <c r="A382" s="7">
        <v>616</v>
      </c>
      <c r="B382" s="7">
        <v>153</v>
      </c>
      <c r="C382" s="7">
        <v>0</v>
      </c>
      <c r="D382" s="7">
        <v>0</v>
      </c>
      <c r="E382" s="20" t="str">
        <f t="shared" si="5"/>
        <v>00</v>
      </c>
      <c r="F382" s="21">
        <v>0.70490366218415201</v>
      </c>
      <c r="G382" s="4">
        <v>0.71299999999999997</v>
      </c>
      <c r="H382" s="4">
        <v>0.57324840764331197</v>
      </c>
      <c r="I382" s="4">
        <v>2.3E-2</v>
      </c>
      <c r="J382" s="4">
        <v>3.9E-2</v>
      </c>
      <c r="K382" s="5">
        <v>0</v>
      </c>
      <c r="L382" s="5">
        <v>0</v>
      </c>
      <c r="M382" s="5">
        <v>100</v>
      </c>
      <c r="N382" s="5">
        <v>100</v>
      </c>
      <c r="O382" s="2">
        <v>1.2482730632225159</v>
      </c>
      <c r="P382" s="2">
        <v>0.85155318595734175</v>
      </c>
      <c r="Q382" s="2">
        <v>2.3268626939354331E-2</v>
      </c>
      <c r="R382" s="2">
        <v>3.9780870011844598E-2</v>
      </c>
    </row>
    <row r="383" spans="1:18" x14ac:dyDescent="0.3">
      <c r="A383" s="7">
        <v>553</v>
      </c>
      <c r="B383" s="7">
        <v>148</v>
      </c>
      <c r="C383" s="7">
        <v>0</v>
      </c>
      <c r="D383" s="7">
        <v>0</v>
      </c>
      <c r="E383" s="20" t="str">
        <f t="shared" si="5"/>
        <v>00</v>
      </c>
      <c r="F383" s="21">
        <v>0.70647487503878803</v>
      </c>
      <c r="G383" s="4">
        <v>0.315</v>
      </c>
      <c r="H383" s="4">
        <v>0.28070175438596501</v>
      </c>
      <c r="I383" s="4">
        <v>7.0999999999999994E-2</v>
      </c>
      <c r="J383" s="4">
        <v>8.3000000000000004E-2</v>
      </c>
      <c r="K383" s="5">
        <v>100</v>
      </c>
      <c r="L383" s="5">
        <v>100</v>
      </c>
      <c r="M383" s="5">
        <v>100</v>
      </c>
      <c r="N383" s="5">
        <v>100</v>
      </c>
      <c r="O383" s="2">
        <v>0.37833644071991168</v>
      </c>
      <c r="P383" s="2">
        <v>0.32947920113024248</v>
      </c>
      <c r="Q383" s="2">
        <v>7.3646540168298483E-2</v>
      </c>
      <c r="R383" s="2">
        <v>8.6647806725672169E-2</v>
      </c>
    </row>
    <row r="384" spans="1:18" x14ac:dyDescent="0.3">
      <c r="A384" s="7">
        <v>864</v>
      </c>
      <c r="B384" s="7">
        <v>183</v>
      </c>
      <c r="C384" s="7">
        <v>0</v>
      </c>
      <c r="D384" s="7">
        <v>0</v>
      </c>
      <c r="E384" s="20" t="str">
        <f t="shared" si="5"/>
        <v>00</v>
      </c>
      <c r="F384" s="21">
        <v>0.71062000124644198</v>
      </c>
      <c r="G384" s="4">
        <v>0.42599999999999999</v>
      </c>
      <c r="H384" s="4">
        <v>0.31873479318734799</v>
      </c>
      <c r="I384" s="4">
        <v>5.1999999999999998E-2</v>
      </c>
      <c r="J384" s="4">
        <v>8.4000000000000005E-2</v>
      </c>
      <c r="K384" s="5">
        <v>100</v>
      </c>
      <c r="L384" s="5">
        <v>100</v>
      </c>
      <c r="M384" s="5">
        <v>100</v>
      </c>
      <c r="N384" s="5">
        <v>100</v>
      </c>
      <c r="O384" s="2">
        <v>0.55512588266257057</v>
      </c>
      <c r="P384" s="2">
        <v>0.38380361132698509</v>
      </c>
      <c r="Q384" s="2">
        <v>5.3400776727115296E-2</v>
      </c>
      <c r="R384" s="2">
        <v>8.7738914308006746E-2</v>
      </c>
    </row>
    <row r="385" spans="1:18" x14ac:dyDescent="0.3">
      <c r="A385" s="7">
        <v>433</v>
      </c>
      <c r="B385" s="7">
        <v>136</v>
      </c>
      <c r="C385" s="7">
        <v>0</v>
      </c>
      <c r="D385" s="7">
        <v>0</v>
      </c>
      <c r="E385" s="20" t="str">
        <f t="shared" si="5"/>
        <v>00</v>
      </c>
      <c r="F385" s="21">
        <v>0.71463749104316798</v>
      </c>
      <c r="G385" s="4">
        <v>0.29699999999999999</v>
      </c>
      <c r="H385" s="4">
        <v>0.22466960352422899</v>
      </c>
      <c r="I385" s="4">
        <v>4.9000000000000002E-2</v>
      </c>
      <c r="J385" s="4">
        <v>5.8000000000000003E-2</v>
      </c>
      <c r="K385" s="5">
        <v>100</v>
      </c>
      <c r="L385" s="5">
        <v>100</v>
      </c>
      <c r="M385" s="5">
        <v>100</v>
      </c>
      <c r="N385" s="5">
        <v>100</v>
      </c>
      <c r="O385" s="2">
        <v>0.35239838717147204</v>
      </c>
      <c r="P385" s="2">
        <v>0.25446602244325084</v>
      </c>
      <c r="Q385" s="2">
        <v>5.024121643674679E-2</v>
      </c>
      <c r="R385" s="2">
        <v>5.9750004405774049E-2</v>
      </c>
    </row>
    <row r="386" spans="1:18" x14ac:dyDescent="0.3">
      <c r="A386" s="7">
        <v>233</v>
      </c>
      <c r="B386" s="7">
        <v>152</v>
      </c>
      <c r="C386" s="7">
        <v>0</v>
      </c>
      <c r="D386" s="7">
        <v>0</v>
      </c>
      <c r="E386" s="20" t="str">
        <f t="shared" ref="E386:E449" si="6">_xlfn.CONCAT(C386,D386)</f>
        <v>00</v>
      </c>
      <c r="F386" s="21">
        <v>0.71542247390792302</v>
      </c>
      <c r="G386" s="4">
        <v>0.36899999999999999</v>
      </c>
      <c r="H386" s="4">
        <v>0.31473214285714302</v>
      </c>
      <c r="I386" s="4">
        <v>0.16600000000000001</v>
      </c>
      <c r="J386" s="4">
        <v>0.122</v>
      </c>
      <c r="K386" s="5">
        <v>100</v>
      </c>
      <c r="L386" s="5">
        <v>100</v>
      </c>
      <c r="M386" s="5">
        <v>100</v>
      </c>
      <c r="N386" s="5">
        <v>100</v>
      </c>
      <c r="O386" s="2">
        <v>0.46044941644092391</v>
      </c>
      <c r="P386" s="2">
        <v>0.37794548482778823</v>
      </c>
      <c r="Q386" s="2">
        <v>0.18152187662339034</v>
      </c>
      <c r="R386" s="2">
        <v>0.13010868534702039</v>
      </c>
    </row>
    <row r="387" spans="1:18" x14ac:dyDescent="0.3">
      <c r="A387" s="7">
        <v>14</v>
      </c>
      <c r="B387" s="7">
        <v>141</v>
      </c>
      <c r="C387" s="7">
        <v>0</v>
      </c>
      <c r="D387" s="7">
        <v>0</v>
      </c>
      <c r="E387" s="20" t="str">
        <f t="shared" si="6"/>
        <v>00</v>
      </c>
      <c r="F387" s="21">
        <v>0.71696177825654395</v>
      </c>
      <c r="G387" s="4">
        <v>0.56499999999999995</v>
      </c>
      <c r="H387" s="4">
        <v>0.433862433862434</v>
      </c>
      <c r="I387" s="4">
        <v>4.7E-2</v>
      </c>
      <c r="J387" s="4">
        <v>6.3E-2</v>
      </c>
      <c r="K387" s="5">
        <v>0</v>
      </c>
      <c r="L387" s="5">
        <v>100</v>
      </c>
      <c r="M387" s="5">
        <v>100</v>
      </c>
      <c r="N387" s="5">
        <v>100</v>
      </c>
      <c r="O387" s="2">
        <v>0.83240924789345283</v>
      </c>
      <c r="P387" s="2">
        <v>0.56891818059773636</v>
      </c>
      <c r="Q387" s="2">
        <v>4.8140375327934984E-2</v>
      </c>
      <c r="R387" s="2">
        <v>6.5071996743714805E-2</v>
      </c>
    </row>
    <row r="388" spans="1:18" x14ac:dyDescent="0.3">
      <c r="A388" s="7">
        <v>604</v>
      </c>
      <c r="B388" s="7">
        <v>155</v>
      </c>
      <c r="C388" s="7">
        <v>0</v>
      </c>
      <c r="D388" s="7">
        <v>0</v>
      </c>
      <c r="E388" s="20" t="str">
        <f t="shared" si="6"/>
        <v>00</v>
      </c>
      <c r="F388" s="21">
        <v>0.71957105526971199</v>
      </c>
      <c r="G388" s="4">
        <v>0.42</v>
      </c>
      <c r="H388" s="4">
        <v>0.34090909090909099</v>
      </c>
      <c r="I388" s="4">
        <v>5.5E-2</v>
      </c>
      <c r="J388" s="4">
        <v>6.3E-2</v>
      </c>
      <c r="K388" s="5">
        <v>100</v>
      </c>
      <c r="L388" s="5">
        <v>100</v>
      </c>
      <c r="M388" s="5">
        <v>100</v>
      </c>
      <c r="N388" s="5">
        <v>100</v>
      </c>
      <c r="O388" s="2">
        <v>0.54472717544167193</v>
      </c>
      <c r="P388" s="2">
        <v>0.41689380393178738</v>
      </c>
      <c r="Q388" s="2">
        <v>5.6570351488394351E-2</v>
      </c>
      <c r="R388" s="2">
        <v>6.5071996743714805E-2</v>
      </c>
    </row>
    <row r="389" spans="1:18" x14ac:dyDescent="0.3">
      <c r="A389" s="7">
        <v>542</v>
      </c>
      <c r="B389" s="7">
        <v>148</v>
      </c>
      <c r="C389" s="7">
        <v>0</v>
      </c>
      <c r="D389" s="7">
        <v>0</v>
      </c>
      <c r="E389" s="20" t="str">
        <f t="shared" si="6"/>
        <v>00</v>
      </c>
      <c r="F389" s="21">
        <v>0.72253356084713805</v>
      </c>
      <c r="G389" s="4">
        <v>0.374</v>
      </c>
      <c r="H389" s="4">
        <v>0.31057268722467002</v>
      </c>
      <c r="I389" s="4">
        <v>0.48</v>
      </c>
      <c r="J389" s="4">
        <v>0.41599999999999998</v>
      </c>
      <c r="K389" s="5">
        <v>100</v>
      </c>
      <c r="L389" s="5">
        <v>100</v>
      </c>
      <c r="M389" s="5">
        <v>100</v>
      </c>
      <c r="N389" s="5">
        <v>100</v>
      </c>
      <c r="O389" s="2">
        <v>0.46840490788203853</v>
      </c>
      <c r="P389" s="2">
        <v>0.37189400750119539</v>
      </c>
      <c r="Q389" s="2">
        <v>0.65392646740666394</v>
      </c>
      <c r="R389" s="2">
        <v>0.53785429615390989</v>
      </c>
    </row>
    <row r="390" spans="1:18" x14ac:dyDescent="0.3">
      <c r="A390" s="7">
        <v>325</v>
      </c>
      <c r="B390" s="7">
        <v>152</v>
      </c>
      <c r="C390" s="7">
        <v>0</v>
      </c>
      <c r="D390" s="7">
        <v>0</v>
      </c>
      <c r="E390" s="20" t="str">
        <f t="shared" si="6"/>
        <v>00</v>
      </c>
      <c r="F390" s="21">
        <v>0.73213533239990403</v>
      </c>
      <c r="G390" s="4">
        <v>0.30599999999999999</v>
      </c>
      <c r="H390" s="4">
        <v>0.26077586206896602</v>
      </c>
      <c r="I390" s="4">
        <v>5.8999999999999997E-2</v>
      </c>
      <c r="J390" s="4">
        <v>7.0999999999999994E-2</v>
      </c>
      <c r="K390" s="5">
        <v>100</v>
      </c>
      <c r="L390" s="5">
        <v>100</v>
      </c>
      <c r="M390" s="5">
        <v>100</v>
      </c>
      <c r="N390" s="5">
        <v>100</v>
      </c>
      <c r="O390" s="2">
        <v>0.36528331847533263</v>
      </c>
      <c r="P390" s="2">
        <v>0.30215410506031598</v>
      </c>
      <c r="Q390" s="2">
        <v>6.0812139396757357E-2</v>
      </c>
      <c r="R390" s="2">
        <v>7.3646540168298483E-2</v>
      </c>
    </row>
    <row r="391" spans="1:18" x14ac:dyDescent="0.3">
      <c r="A391" s="7">
        <v>444</v>
      </c>
      <c r="B391" s="7">
        <v>143</v>
      </c>
      <c r="C391" s="7">
        <v>0</v>
      </c>
      <c r="D391" s="7">
        <v>0</v>
      </c>
      <c r="E391" s="20" t="str">
        <f t="shared" si="6"/>
        <v>00</v>
      </c>
      <c r="F391" s="21">
        <v>0.73978203470836401</v>
      </c>
      <c r="G391" s="4">
        <v>0.316</v>
      </c>
      <c r="H391" s="4">
        <v>0.25</v>
      </c>
      <c r="I391" s="4">
        <v>5.6000000000000001E-2</v>
      </c>
      <c r="J391" s="4">
        <v>8.1000000000000003E-2</v>
      </c>
      <c r="K391" s="5">
        <v>100</v>
      </c>
      <c r="L391" s="5">
        <v>100</v>
      </c>
      <c r="M391" s="5">
        <v>100</v>
      </c>
      <c r="N391" s="5">
        <v>100</v>
      </c>
      <c r="O391" s="2">
        <v>0.37979736135958669</v>
      </c>
      <c r="P391" s="2">
        <v>0.2876820724517809</v>
      </c>
      <c r="Q391" s="2">
        <v>5.7629112836636416E-2</v>
      </c>
      <c r="R391" s="2">
        <v>8.4469156626449965E-2</v>
      </c>
    </row>
    <row r="392" spans="1:18" x14ac:dyDescent="0.3">
      <c r="A392" s="7">
        <v>189</v>
      </c>
      <c r="B392" s="7">
        <v>150</v>
      </c>
      <c r="C392" s="7">
        <v>0</v>
      </c>
      <c r="D392" s="7">
        <v>0</v>
      </c>
      <c r="E392" s="20" t="str">
        <f t="shared" si="6"/>
        <v>00</v>
      </c>
      <c r="F392" s="21">
        <v>0.74424377503210704</v>
      </c>
      <c r="G392" s="4">
        <v>0.33300000000000002</v>
      </c>
      <c r="H392" s="4">
        <v>0.320754716981132</v>
      </c>
      <c r="I392" s="4">
        <v>6.7000000000000004E-2</v>
      </c>
      <c r="J392" s="4">
        <v>6.6000000000000003E-2</v>
      </c>
      <c r="K392" s="5">
        <v>100</v>
      </c>
      <c r="L392" s="5">
        <v>100</v>
      </c>
      <c r="M392" s="5">
        <v>100</v>
      </c>
      <c r="N392" s="5">
        <v>100</v>
      </c>
      <c r="O392" s="2">
        <v>0.40496523306651327</v>
      </c>
      <c r="P392" s="2">
        <v>0.38677297509601172</v>
      </c>
      <c r="Q392" s="2">
        <v>6.9350078134793172E-2</v>
      </c>
      <c r="R392" s="2">
        <v>6.827884075329449E-2</v>
      </c>
    </row>
    <row r="393" spans="1:18" x14ac:dyDescent="0.3">
      <c r="A393" s="7">
        <v>987</v>
      </c>
      <c r="B393" s="7">
        <v>132</v>
      </c>
      <c r="C393" s="7">
        <v>0</v>
      </c>
      <c r="D393" s="7">
        <v>0</v>
      </c>
      <c r="E393" s="20" t="str">
        <f t="shared" si="6"/>
        <v>00</v>
      </c>
      <c r="F393" s="21">
        <v>0.74784085773428899</v>
      </c>
      <c r="G393" s="4">
        <v>0.434</v>
      </c>
      <c r="H393" s="4">
        <v>0.38268792710706201</v>
      </c>
      <c r="I393" s="4">
        <v>5.7000000000000002E-2</v>
      </c>
      <c r="J393" s="4">
        <v>5.2999999999999999E-2</v>
      </c>
      <c r="K393" s="5">
        <v>100</v>
      </c>
      <c r="L393" s="5">
        <v>100</v>
      </c>
      <c r="M393" s="5">
        <v>100</v>
      </c>
      <c r="N393" s="5">
        <v>100</v>
      </c>
      <c r="O393" s="2">
        <v>0.56916120077895405</v>
      </c>
      <c r="P393" s="2">
        <v>0.48238059219547125</v>
      </c>
      <c r="Q393" s="2">
        <v>5.8688996348679613E-2</v>
      </c>
      <c r="R393" s="2">
        <v>5.4456185796058855E-2</v>
      </c>
    </row>
    <row r="394" spans="1:18" x14ac:dyDescent="0.3">
      <c r="A394" s="7">
        <v>524</v>
      </c>
      <c r="B394" s="7">
        <v>138</v>
      </c>
      <c r="C394" s="7">
        <v>0</v>
      </c>
      <c r="D394" s="7">
        <v>0</v>
      </c>
      <c r="E394" s="20" t="str">
        <f t="shared" si="6"/>
        <v>00</v>
      </c>
      <c r="F394" s="21">
        <v>0.754248404710674</v>
      </c>
      <c r="G394" s="4">
        <v>0.14000000000000001</v>
      </c>
      <c r="H394" s="4">
        <v>0.11522633744856001</v>
      </c>
      <c r="I394" s="4">
        <v>5.2999999999999999E-2</v>
      </c>
      <c r="J394" s="4">
        <v>4.9000000000000002E-2</v>
      </c>
      <c r="K394" s="5">
        <v>100</v>
      </c>
      <c r="L394" s="5">
        <v>100</v>
      </c>
      <c r="M394" s="5">
        <v>100</v>
      </c>
      <c r="N394" s="5">
        <v>100</v>
      </c>
      <c r="O394" s="2">
        <v>0.15082288973458366</v>
      </c>
      <c r="P394" s="2">
        <v>0.12242341521288606</v>
      </c>
      <c r="Q394" s="2">
        <v>5.4456185796058855E-2</v>
      </c>
      <c r="R394" s="2">
        <v>5.024121643674679E-2</v>
      </c>
    </row>
    <row r="395" spans="1:18" x14ac:dyDescent="0.3">
      <c r="A395" s="7">
        <v>493</v>
      </c>
      <c r="B395" s="7">
        <v>145</v>
      </c>
      <c r="C395" s="7">
        <v>0</v>
      </c>
      <c r="D395" s="7">
        <v>0</v>
      </c>
      <c r="E395" s="20" t="str">
        <f t="shared" si="6"/>
        <v>00</v>
      </c>
      <c r="F395" s="21">
        <v>0.75975951696312805</v>
      </c>
      <c r="G395" s="4">
        <v>0.57199999999999995</v>
      </c>
      <c r="H395" s="4">
        <v>0.4</v>
      </c>
      <c r="I395" s="4">
        <v>7.2999999999999995E-2</v>
      </c>
      <c r="J395" s="4">
        <v>4.9000000000000002E-2</v>
      </c>
      <c r="K395" s="5">
        <v>0</v>
      </c>
      <c r="L395" s="5">
        <v>100</v>
      </c>
      <c r="M395" s="5">
        <v>100</v>
      </c>
      <c r="N395" s="5">
        <v>100</v>
      </c>
      <c r="O395" s="2">
        <v>0.84863208340034013</v>
      </c>
      <c r="P395" s="2">
        <v>0.51082562376599072</v>
      </c>
      <c r="Q395" s="2">
        <v>7.5801713416281849E-2</v>
      </c>
      <c r="R395" s="2">
        <v>5.024121643674679E-2</v>
      </c>
    </row>
    <row r="396" spans="1:18" x14ac:dyDescent="0.3">
      <c r="A396" s="7">
        <v>946</v>
      </c>
      <c r="B396" s="7">
        <v>125</v>
      </c>
      <c r="C396" s="7">
        <v>0</v>
      </c>
      <c r="D396" s="7">
        <v>0</v>
      </c>
      <c r="E396" s="20" t="str">
        <f t="shared" si="6"/>
        <v>00</v>
      </c>
      <c r="F396" s="21">
        <v>0.76362132371355795</v>
      </c>
      <c r="G396" s="4">
        <v>0.28299999999999997</v>
      </c>
      <c r="H396" s="4">
        <v>0.27044025157232698</v>
      </c>
      <c r="I396" s="4">
        <v>7.4999999999999997E-2</v>
      </c>
      <c r="J396" s="4">
        <v>6.5000000000000002E-2</v>
      </c>
      <c r="K396" s="5">
        <v>100</v>
      </c>
      <c r="L396" s="5">
        <v>100</v>
      </c>
      <c r="M396" s="5">
        <v>100</v>
      </c>
      <c r="N396" s="5">
        <v>100</v>
      </c>
      <c r="O396" s="2">
        <v>0.33267943838251657</v>
      </c>
      <c r="P396" s="2">
        <v>0.31531401111386681</v>
      </c>
      <c r="Q396" s="2">
        <v>7.7961541469711806E-2</v>
      </c>
      <c r="R396" s="2">
        <v>6.720874969344999E-2</v>
      </c>
    </row>
    <row r="397" spans="1:18" x14ac:dyDescent="0.3">
      <c r="A397" s="7">
        <v>402</v>
      </c>
      <c r="B397" s="7">
        <v>144</v>
      </c>
      <c r="C397" s="7">
        <v>0</v>
      </c>
      <c r="D397" s="7">
        <v>0</v>
      </c>
      <c r="E397" s="20" t="str">
        <f t="shared" si="6"/>
        <v>00</v>
      </c>
      <c r="F397" s="21">
        <v>0.76730106806863496</v>
      </c>
      <c r="G397" s="4">
        <v>0.248</v>
      </c>
      <c r="H397" s="4">
        <v>0.214646464646465</v>
      </c>
      <c r="I397" s="4">
        <v>4.1000000000000002E-2</v>
      </c>
      <c r="J397" s="4">
        <v>4.2999999999999997E-2</v>
      </c>
      <c r="K397" s="5">
        <v>100</v>
      </c>
      <c r="L397" s="5">
        <v>100</v>
      </c>
      <c r="M397" s="5">
        <v>100</v>
      </c>
      <c r="N397" s="5">
        <v>100</v>
      </c>
      <c r="O397" s="2">
        <v>0.28501895503229724</v>
      </c>
      <c r="P397" s="2">
        <v>0.24162129907524682</v>
      </c>
      <c r="Q397" s="2">
        <v>4.1864204098698871E-2</v>
      </c>
      <c r="R397" s="2">
        <v>4.3951887529182831E-2</v>
      </c>
    </row>
    <row r="398" spans="1:18" x14ac:dyDescent="0.3">
      <c r="A398" s="7">
        <v>785</v>
      </c>
      <c r="B398" s="7">
        <v>112</v>
      </c>
      <c r="C398" s="7">
        <v>0</v>
      </c>
      <c r="D398" s="7">
        <v>0</v>
      </c>
      <c r="E398" s="20" t="str">
        <f t="shared" si="6"/>
        <v>00</v>
      </c>
      <c r="F398" s="21">
        <v>0.77177752681852496</v>
      </c>
      <c r="G398" s="4">
        <v>0.44800000000000001</v>
      </c>
      <c r="H398" s="4">
        <v>0.31172069825436399</v>
      </c>
      <c r="I398" s="4">
        <v>0.06</v>
      </c>
      <c r="J398" s="4">
        <v>5.6000000000000001E-2</v>
      </c>
      <c r="K398" s="5">
        <v>100</v>
      </c>
      <c r="L398" s="5">
        <v>100</v>
      </c>
      <c r="M398" s="5">
        <v>100</v>
      </c>
      <c r="N398" s="5">
        <v>100</v>
      </c>
      <c r="O398" s="2">
        <v>0.59420723270504161</v>
      </c>
      <c r="P398" s="2">
        <v>0.37356056158941903</v>
      </c>
      <c r="Q398" s="2">
        <v>6.1875403718087529E-2</v>
      </c>
      <c r="R398" s="2">
        <v>5.7629112836636416E-2</v>
      </c>
    </row>
    <row r="399" spans="1:18" x14ac:dyDescent="0.3">
      <c r="A399" s="7">
        <v>670</v>
      </c>
      <c r="B399" s="7">
        <v>129</v>
      </c>
      <c r="C399" s="7">
        <v>0</v>
      </c>
      <c r="D399" s="7">
        <v>0</v>
      </c>
      <c r="E399" s="20" t="str">
        <f t="shared" si="6"/>
        <v>00</v>
      </c>
      <c r="F399" s="21">
        <v>0.77346272966770302</v>
      </c>
      <c r="G399" s="4">
        <v>0.20599999999999999</v>
      </c>
      <c r="H399" s="4">
        <v>0.188405797101449</v>
      </c>
      <c r="I399" s="4">
        <v>4.9000000000000002E-2</v>
      </c>
      <c r="J399" s="4">
        <v>3.6999999999999998E-2</v>
      </c>
      <c r="K399" s="5">
        <v>100</v>
      </c>
      <c r="L399" s="5">
        <v>100</v>
      </c>
      <c r="M399" s="5">
        <v>100</v>
      </c>
      <c r="N399" s="5">
        <v>100</v>
      </c>
      <c r="O399" s="2">
        <v>0.23067181773500128</v>
      </c>
      <c r="P399" s="2">
        <v>0.20875481386210981</v>
      </c>
      <c r="Q399" s="2">
        <v>5.024121643674679E-2</v>
      </c>
      <c r="R399" s="2">
        <v>3.7701867184011528E-2</v>
      </c>
    </row>
    <row r="400" spans="1:18" x14ac:dyDescent="0.3">
      <c r="A400" s="7">
        <v>603</v>
      </c>
      <c r="B400" s="7">
        <v>126</v>
      </c>
      <c r="C400" s="7">
        <v>0</v>
      </c>
      <c r="D400" s="7">
        <v>0</v>
      </c>
      <c r="E400" s="20" t="str">
        <f t="shared" si="6"/>
        <v>00</v>
      </c>
      <c r="F400" s="21">
        <v>0.77422746982896895</v>
      </c>
      <c r="G400" s="4">
        <v>0.42</v>
      </c>
      <c r="H400" s="4">
        <v>0.37582417582417599</v>
      </c>
      <c r="I400" s="4">
        <v>0.184</v>
      </c>
      <c r="J400" s="4">
        <v>0.16600000000000001</v>
      </c>
      <c r="K400" s="5">
        <v>100</v>
      </c>
      <c r="L400" s="5">
        <v>100</v>
      </c>
      <c r="M400" s="5">
        <v>100</v>
      </c>
      <c r="N400" s="5">
        <v>100</v>
      </c>
      <c r="O400" s="2">
        <v>0.54472717544167193</v>
      </c>
      <c r="P400" s="2">
        <v>0.47132318078974472</v>
      </c>
      <c r="Q400" s="2">
        <v>0.20334092401802997</v>
      </c>
      <c r="R400" s="2">
        <v>0.18152187662339034</v>
      </c>
    </row>
    <row r="401" spans="1:18" x14ac:dyDescent="0.3">
      <c r="A401" s="7">
        <v>484</v>
      </c>
      <c r="B401" s="7">
        <v>134</v>
      </c>
      <c r="C401" s="7">
        <v>0</v>
      </c>
      <c r="D401" s="7">
        <v>0</v>
      </c>
      <c r="E401" s="20" t="str">
        <f t="shared" si="6"/>
        <v>00</v>
      </c>
      <c r="F401" s="21">
        <v>0.77586928759788198</v>
      </c>
      <c r="G401" s="4">
        <v>0.26</v>
      </c>
      <c r="H401" s="4">
        <v>0.2217659137577</v>
      </c>
      <c r="I401" s="4">
        <v>5.3999999999999999E-2</v>
      </c>
      <c r="J401" s="4">
        <v>4.9000000000000002E-2</v>
      </c>
      <c r="K401" s="5">
        <v>100</v>
      </c>
      <c r="L401" s="5">
        <v>100</v>
      </c>
      <c r="M401" s="5">
        <v>100</v>
      </c>
      <c r="N401" s="5">
        <v>100</v>
      </c>
      <c r="O401" s="2">
        <v>0.30110509278392161</v>
      </c>
      <c r="P401" s="2">
        <v>0.25072791800016309</v>
      </c>
      <c r="Q401" s="2">
        <v>5.5512709930258829E-2</v>
      </c>
      <c r="R401" s="2">
        <v>5.024121643674679E-2</v>
      </c>
    </row>
    <row r="402" spans="1:18" x14ac:dyDescent="0.3">
      <c r="A402" s="7">
        <v>863</v>
      </c>
      <c r="B402" s="7">
        <v>123</v>
      </c>
      <c r="C402" s="7">
        <v>0</v>
      </c>
      <c r="D402" s="7">
        <v>0</v>
      </c>
      <c r="E402" s="20" t="str">
        <f t="shared" si="6"/>
        <v>00</v>
      </c>
      <c r="F402" s="21">
        <v>0.77595933192456801</v>
      </c>
      <c r="G402" s="4">
        <v>0.48199999999999998</v>
      </c>
      <c r="H402" s="4">
        <v>0.42410714285714302</v>
      </c>
      <c r="I402" s="4">
        <v>7.9000000000000001E-2</v>
      </c>
      <c r="J402" s="4">
        <v>6.3E-2</v>
      </c>
      <c r="K402" s="5">
        <v>100</v>
      </c>
      <c r="L402" s="5">
        <v>100</v>
      </c>
      <c r="M402" s="5">
        <v>100</v>
      </c>
      <c r="N402" s="5">
        <v>100</v>
      </c>
      <c r="O402" s="2">
        <v>0.65778003672265395</v>
      </c>
      <c r="P402" s="2">
        <v>0.55183364749336805</v>
      </c>
      <c r="Q402" s="2">
        <v>8.2295242726830156E-2</v>
      </c>
      <c r="R402" s="2">
        <v>6.5071996743714805E-2</v>
      </c>
    </row>
    <row r="403" spans="1:18" x14ac:dyDescent="0.3">
      <c r="A403" s="7">
        <v>976</v>
      </c>
      <c r="B403" s="7">
        <v>135</v>
      </c>
      <c r="C403" s="7">
        <v>0</v>
      </c>
      <c r="D403" s="7">
        <v>0</v>
      </c>
      <c r="E403" s="20" t="str">
        <f t="shared" si="6"/>
        <v>00</v>
      </c>
      <c r="F403" s="21">
        <v>0.77683251974340395</v>
      </c>
      <c r="G403" s="4">
        <v>0.502</v>
      </c>
      <c r="H403" s="4">
        <v>0.45089285714285698</v>
      </c>
      <c r="I403" s="4">
        <v>3.5999999999999997E-2</v>
      </c>
      <c r="J403" s="4">
        <v>5.8000000000000003E-2</v>
      </c>
      <c r="K403" s="5">
        <v>0</v>
      </c>
      <c r="L403" s="5">
        <v>100</v>
      </c>
      <c r="M403" s="5">
        <v>100</v>
      </c>
      <c r="N403" s="5">
        <v>100</v>
      </c>
      <c r="O403" s="2">
        <v>0.69715520195748415</v>
      </c>
      <c r="P403" s="2">
        <v>0.59946169648262204</v>
      </c>
      <c r="Q403" s="2">
        <v>3.666398437159147E-2</v>
      </c>
      <c r="R403" s="2">
        <v>5.9750004405774049E-2</v>
      </c>
    </row>
    <row r="404" spans="1:18" x14ac:dyDescent="0.3">
      <c r="A404" s="7">
        <v>932</v>
      </c>
      <c r="B404" s="7">
        <v>368</v>
      </c>
      <c r="C404" s="7">
        <v>0</v>
      </c>
      <c r="D404" s="7">
        <v>0</v>
      </c>
      <c r="E404" s="20" t="str">
        <f t="shared" si="6"/>
        <v>00</v>
      </c>
      <c r="F404" s="21">
        <v>0.77935876818305005</v>
      </c>
      <c r="G404" s="4">
        <v>0.47499999999999998</v>
      </c>
      <c r="H404" s="4">
        <v>0.37804878048780499</v>
      </c>
      <c r="I404" s="4">
        <v>4.7E-2</v>
      </c>
      <c r="J404" s="4">
        <v>5.5E-2</v>
      </c>
      <c r="K404" s="5">
        <v>100</v>
      </c>
      <c r="L404" s="5">
        <v>100</v>
      </c>
      <c r="M404" s="5">
        <v>100</v>
      </c>
      <c r="N404" s="5">
        <v>100</v>
      </c>
      <c r="O404" s="2">
        <v>0.64435701639051324</v>
      </c>
      <c r="P404" s="2">
        <v>0.47489361453992751</v>
      </c>
      <c r="Q404" s="2">
        <v>4.8140375327934984E-2</v>
      </c>
      <c r="R404" s="2">
        <v>5.6570351488394351E-2</v>
      </c>
    </row>
    <row r="405" spans="1:18" x14ac:dyDescent="0.3">
      <c r="A405" s="7">
        <v>800</v>
      </c>
      <c r="B405" s="7">
        <v>96</v>
      </c>
      <c r="C405" s="7">
        <v>0</v>
      </c>
      <c r="D405" s="7">
        <v>0</v>
      </c>
      <c r="E405" s="20" t="str">
        <f t="shared" si="6"/>
        <v>00</v>
      </c>
      <c r="F405" s="21">
        <v>0.78700427205953505</v>
      </c>
      <c r="G405" s="4">
        <v>0.23699999999999999</v>
      </c>
      <c r="H405" s="4">
        <v>0.212809917355372</v>
      </c>
      <c r="I405" s="4">
        <v>0.17499999999999999</v>
      </c>
      <c r="J405" s="4">
        <v>0.13100000000000001</v>
      </c>
      <c r="K405" s="5">
        <v>100</v>
      </c>
      <c r="L405" s="5">
        <v>100</v>
      </c>
      <c r="M405" s="5">
        <v>100</v>
      </c>
      <c r="N405" s="5">
        <v>100</v>
      </c>
      <c r="O405" s="2">
        <v>0.27049724769768002</v>
      </c>
      <c r="P405" s="2">
        <v>0.23928553158993091</v>
      </c>
      <c r="Q405" s="2">
        <v>0.19237189264745613</v>
      </c>
      <c r="R405" s="2">
        <v>0.14041215371674501</v>
      </c>
    </row>
    <row r="406" spans="1:18" x14ac:dyDescent="0.3">
      <c r="A406" s="7">
        <v>751</v>
      </c>
      <c r="B406" s="7">
        <v>119</v>
      </c>
      <c r="C406" s="7">
        <v>0</v>
      </c>
      <c r="D406" s="7">
        <v>0</v>
      </c>
      <c r="E406" s="20" t="str">
        <f t="shared" si="6"/>
        <v>00</v>
      </c>
      <c r="F406" s="21">
        <v>0.78707974665082503</v>
      </c>
      <c r="G406" s="4">
        <v>0.39400000000000002</v>
      </c>
      <c r="H406" s="4">
        <v>0.30616740088105698</v>
      </c>
      <c r="I406" s="4">
        <v>9.0999999999999998E-2</v>
      </c>
      <c r="J406" s="4">
        <v>6.6000000000000003E-2</v>
      </c>
      <c r="K406" s="5">
        <v>100</v>
      </c>
      <c r="L406" s="5">
        <v>100</v>
      </c>
      <c r="M406" s="5">
        <v>100</v>
      </c>
      <c r="N406" s="5">
        <v>100</v>
      </c>
      <c r="O406" s="2">
        <v>0.50087529291282262</v>
      </c>
      <c r="P406" s="2">
        <v>0.36552455921571453</v>
      </c>
      <c r="Q406" s="2">
        <v>9.5410184804658182E-2</v>
      </c>
      <c r="R406" s="2">
        <v>6.827884075329449E-2</v>
      </c>
    </row>
    <row r="407" spans="1:18" x14ac:dyDescent="0.3">
      <c r="A407" s="7">
        <v>771</v>
      </c>
      <c r="B407" s="7">
        <v>130</v>
      </c>
      <c r="C407" s="7">
        <v>0</v>
      </c>
      <c r="D407" s="7">
        <v>0</v>
      </c>
      <c r="E407" s="20" t="str">
        <f t="shared" si="6"/>
        <v>00</v>
      </c>
      <c r="F407" s="21">
        <v>0.79439955692631403</v>
      </c>
      <c r="G407" s="4">
        <v>0.45200000000000001</v>
      </c>
      <c r="H407" s="4">
        <v>0.419213973799127</v>
      </c>
      <c r="I407" s="4">
        <v>8.7999999999999995E-2</v>
      </c>
      <c r="J407" s="4">
        <v>8.1000000000000003E-2</v>
      </c>
      <c r="K407" s="5">
        <v>100</v>
      </c>
      <c r="L407" s="5">
        <v>100</v>
      </c>
      <c r="M407" s="5">
        <v>100</v>
      </c>
      <c r="N407" s="5">
        <v>100</v>
      </c>
      <c r="O407" s="2">
        <v>0.60147999203412139</v>
      </c>
      <c r="P407" s="2">
        <v>0.54337287533248646</v>
      </c>
      <c r="Q407" s="2">
        <v>9.2115288907805626E-2</v>
      </c>
      <c r="R407" s="2">
        <v>8.4469156626449965E-2</v>
      </c>
    </row>
    <row r="408" spans="1:18" x14ac:dyDescent="0.3">
      <c r="A408" s="7">
        <v>547</v>
      </c>
      <c r="B408" s="7">
        <v>134</v>
      </c>
      <c r="C408" s="7">
        <v>0</v>
      </c>
      <c r="D408" s="7">
        <v>0</v>
      </c>
      <c r="E408" s="20" t="str">
        <f t="shared" si="6"/>
        <v>00</v>
      </c>
      <c r="F408" s="21">
        <v>0.80572147862011501</v>
      </c>
      <c r="G408" s="4">
        <v>0.377</v>
      </c>
      <c r="H408" s="4">
        <v>0.32731376975169302</v>
      </c>
      <c r="I408" s="4">
        <v>4.5999999999999999E-2</v>
      </c>
      <c r="J408" s="4">
        <v>5.5E-2</v>
      </c>
      <c r="K408" s="5">
        <v>100</v>
      </c>
      <c r="L408" s="5">
        <v>100</v>
      </c>
      <c r="M408" s="5">
        <v>100</v>
      </c>
      <c r="N408" s="5">
        <v>100</v>
      </c>
      <c r="O408" s="2">
        <v>0.47320876019468389</v>
      </c>
      <c r="P408" s="2">
        <v>0.39647628353973119</v>
      </c>
      <c r="Q408" s="2">
        <v>4.7091607533850569E-2</v>
      </c>
      <c r="R408" s="2">
        <v>5.6570351488394351E-2</v>
      </c>
    </row>
    <row r="409" spans="1:18" x14ac:dyDescent="0.3">
      <c r="A409" s="7">
        <v>476</v>
      </c>
      <c r="B409" s="7">
        <v>196</v>
      </c>
      <c r="C409" s="7">
        <v>0</v>
      </c>
      <c r="D409" s="7">
        <v>0</v>
      </c>
      <c r="E409" s="20" t="str">
        <f t="shared" si="6"/>
        <v>00</v>
      </c>
      <c r="F409" s="21">
        <v>0.806651170877278</v>
      </c>
      <c r="G409" s="4">
        <v>0.53900000000000003</v>
      </c>
      <c r="H409" s="4">
        <v>0.46335697399527198</v>
      </c>
      <c r="I409" s="4">
        <v>8.5999999999999993E-2</v>
      </c>
      <c r="J409" s="4">
        <v>8.5000000000000006E-2</v>
      </c>
      <c r="K409" s="5">
        <v>0</v>
      </c>
      <c r="L409" s="5">
        <v>100</v>
      </c>
      <c r="M409" s="5">
        <v>100</v>
      </c>
      <c r="N409" s="5">
        <v>100</v>
      </c>
      <c r="O409" s="2">
        <v>0.77435723598548856</v>
      </c>
      <c r="P409" s="2">
        <v>0.62242216156487551</v>
      </c>
      <c r="Q409" s="2">
        <v>8.9924707527987008E-2</v>
      </c>
      <c r="R409" s="2">
        <v>8.8831213706615703E-2</v>
      </c>
    </row>
    <row r="410" spans="1:18" x14ac:dyDescent="0.3">
      <c r="A410" s="7">
        <v>141</v>
      </c>
      <c r="B410" s="7">
        <v>136</v>
      </c>
      <c r="C410" s="7">
        <v>0</v>
      </c>
      <c r="D410" s="7">
        <v>0</v>
      </c>
      <c r="E410" s="20" t="str">
        <f t="shared" si="6"/>
        <v>00</v>
      </c>
      <c r="F410" s="21">
        <v>0.80991668476678602</v>
      </c>
      <c r="G410" s="4">
        <v>0.251</v>
      </c>
      <c r="H410" s="4">
        <v>0.18162393162393201</v>
      </c>
      <c r="I410" s="4">
        <v>5.6000000000000001E-2</v>
      </c>
      <c r="J410" s="4">
        <v>5.1999999999999998E-2</v>
      </c>
      <c r="K410" s="5">
        <v>100</v>
      </c>
      <c r="L410" s="5">
        <v>100</v>
      </c>
      <c r="M410" s="5">
        <v>100</v>
      </c>
      <c r="N410" s="5">
        <v>100</v>
      </c>
      <c r="O410" s="2">
        <v>0.28901629546491758</v>
      </c>
      <c r="P410" s="2">
        <v>0.20043330673700119</v>
      </c>
      <c r="Q410" s="2">
        <v>5.7629112836636416E-2</v>
      </c>
      <c r="R410" s="2">
        <v>5.3400776727115296E-2</v>
      </c>
    </row>
    <row r="411" spans="1:18" x14ac:dyDescent="0.3">
      <c r="A411" s="7">
        <v>327</v>
      </c>
      <c r="B411" s="7">
        <v>119</v>
      </c>
      <c r="C411" s="7">
        <v>0</v>
      </c>
      <c r="D411" s="7">
        <v>0</v>
      </c>
      <c r="E411" s="20" t="str">
        <f t="shared" si="6"/>
        <v>00</v>
      </c>
      <c r="F411" s="21">
        <v>0.82770821141835105</v>
      </c>
      <c r="G411" s="4">
        <v>0.32200000000000001</v>
      </c>
      <c r="H411" s="4">
        <v>0.240362811791383</v>
      </c>
      <c r="I411" s="4">
        <v>0.05</v>
      </c>
      <c r="J411" s="4">
        <v>7.1999999999999995E-2</v>
      </c>
      <c r="K411" s="5">
        <v>100</v>
      </c>
      <c r="L411" s="5">
        <v>100</v>
      </c>
      <c r="M411" s="5">
        <v>100</v>
      </c>
      <c r="N411" s="5">
        <v>100</v>
      </c>
      <c r="O411" s="2">
        <v>0.3886079910417416</v>
      </c>
      <c r="P411" s="2">
        <v>0.27491434362177924</v>
      </c>
      <c r="Q411" s="2">
        <v>5.1293294387550578E-2</v>
      </c>
      <c r="R411" s="2">
        <v>7.4723546195936422E-2</v>
      </c>
    </row>
    <row r="412" spans="1:18" x14ac:dyDescent="0.3">
      <c r="A412" s="7">
        <v>460</v>
      </c>
      <c r="B412" s="7">
        <v>125</v>
      </c>
      <c r="C412" s="7">
        <v>0</v>
      </c>
      <c r="D412" s="7">
        <v>0</v>
      </c>
      <c r="E412" s="20" t="str">
        <f t="shared" si="6"/>
        <v>00</v>
      </c>
      <c r="F412" s="21">
        <v>0.82818138866427204</v>
      </c>
      <c r="G412" s="4">
        <v>0.26500000000000001</v>
      </c>
      <c r="H412" s="4">
        <v>0.21085594989561601</v>
      </c>
      <c r="I412" s="4">
        <v>0.08</v>
      </c>
      <c r="J412" s="4">
        <v>6.3E-2</v>
      </c>
      <c r="K412" s="5">
        <v>100</v>
      </c>
      <c r="L412" s="5">
        <v>100</v>
      </c>
      <c r="M412" s="5">
        <v>100</v>
      </c>
      <c r="N412" s="5">
        <v>100</v>
      </c>
      <c r="O412" s="2">
        <v>0.3078847797693004</v>
      </c>
      <c r="P412" s="2">
        <v>0.23680640179132767</v>
      </c>
      <c r="Q412" s="2">
        <v>8.3381608939051013E-2</v>
      </c>
      <c r="R412" s="2">
        <v>6.5071996743714805E-2</v>
      </c>
    </row>
    <row r="413" spans="1:18" x14ac:dyDescent="0.3">
      <c r="A413" s="7">
        <v>482</v>
      </c>
      <c r="B413" s="7">
        <v>133</v>
      </c>
      <c r="C413" s="7">
        <v>0</v>
      </c>
      <c r="D413" s="7">
        <v>0</v>
      </c>
      <c r="E413" s="20" t="str">
        <f t="shared" si="6"/>
        <v>00</v>
      </c>
      <c r="F413" s="21">
        <v>0.82882459736667802</v>
      </c>
      <c r="G413" s="4">
        <v>0.432</v>
      </c>
      <c r="H413" s="4">
        <v>0.33715596330275199</v>
      </c>
      <c r="I413" s="4">
        <v>0.08</v>
      </c>
      <c r="J413" s="4">
        <v>9.9000000000000005E-2</v>
      </c>
      <c r="K413" s="5">
        <v>100</v>
      </c>
      <c r="L413" s="5">
        <v>100</v>
      </c>
      <c r="M413" s="5">
        <v>100</v>
      </c>
      <c r="N413" s="5">
        <v>100</v>
      </c>
      <c r="O413" s="2">
        <v>0.56563386026098561</v>
      </c>
      <c r="P413" s="2">
        <v>0.41121555523660169</v>
      </c>
      <c r="Q413" s="2">
        <v>8.3381608939051013E-2</v>
      </c>
      <c r="R413" s="2">
        <v>0.10425002137379911</v>
      </c>
    </row>
    <row r="414" spans="1:18" x14ac:dyDescent="0.3">
      <c r="A414" s="7">
        <v>988</v>
      </c>
      <c r="B414" s="7">
        <v>117</v>
      </c>
      <c r="C414" s="7">
        <v>0</v>
      </c>
      <c r="D414" s="7">
        <v>0</v>
      </c>
      <c r="E414" s="20" t="str">
        <f t="shared" si="6"/>
        <v>00</v>
      </c>
      <c r="F414" s="21">
        <v>0.83066124884078896</v>
      </c>
      <c r="G414" s="4">
        <v>0.41199999999999998</v>
      </c>
      <c r="H414" s="4">
        <v>0.35242290748898703</v>
      </c>
      <c r="I414" s="4">
        <v>0.75</v>
      </c>
      <c r="J414" s="4">
        <v>0.65300000000000002</v>
      </c>
      <c r="K414" s="5">
        <v>100</v>
      </c>
      <c r="L414" s="5">
        <v>100</v>
      </c>
      <c r="M414" s="5">
        <v>0</v>
      </c>
      <c r="N414" s="5">
        <v>0</v>
      </c>
      <c r="O414" s="2">
        <v>0.53102833108351</v>
      </c>
      <c r="P414" s="2">
        <v>0.43451743070266685</v>
      </c>
      <c r="Q414" s="2">
        <v>1.3862943611198906</v>
      </c>
      <c r="R414" s="2">
        <v>1.058430499035278</v>
      </c>
    </row>
    <row r="415" spans="1:18" x14ac:dyDescent="0.3">
      <c r="A415" s="7">
        <v>415</v>
      </c>
      <c r="B415" s="7">
        <v>126</v>
      </c>
      <c r="C415" s="7">
        <v>0</v>
      </c>
      <c r="D415" s="7">
        <v>0</v>
      </c>
      <c r="E415" s="20" t="str">
        <f t="shared" si="6"/>
        <v>00</v>
      </c>
      <c r="F415" s="21">
        <v>0.83266512182173402</v>
      </c>
      <c r="G415" s="4">
        <v>0.33900000000000002</v>
      </c>
      <c r="H415" s="4">
        <v>0.27991452991452997</v>
      </c>
      <c r="I415" s="4">
        <v>6.3E-2</v>
      </c>
      <c r="J415" s="4">
        <v>6.3E-2</v>
      </c>
      <c r="K415" s="5">
        <v>100</v>
      </c>
      <c r="L415" s="5">
        <v>100</v>
      </c>
      <c r="M415" s="5">
        <v>100</v>
      </c>
      <c r="N415" s="5">
        <v>100</v>
      </c>
      <c r="O415" s="2">
        <v>0.41400143913045073</v>
      </c>
      <c r="P415" s="2">
        <v>0.32838536556528519</v>
      </c>
      <c r="Q415" s="2">
        <v>6.5071996743714805E-2</v>
      </c>
      <c r="R415" s="2">
        <v>6.5071996743714805E-2</v>
      </c>
    </row>
    <row r="416" spans="1:18" x14ac:dyDescent="0.3">
      <c r="A416" s="7">
        <v>879</v>
      </c>
      <c r="B416" s="7">
        <v>112</v>
      </c>
      <c r="C416" s="7">
        <v>0</v>
      </c>
      <c r="D416" s="7">
        <v>0</v>
      </c>
      <c r="E416" s="20" t="str">
        <f t="shared" si="6"/>
        <v>00</v>
      </c>
      <c r="F416" s="21">
        <v>0.84855083393620301</v>
      </c>
      <c r="G416" s="4">
        <v>0.36899999999999999</v>
      </c>
      <c r="H416" s="4">
        <v>0.31208791208791198</v>
      </c>
      <c r="I416" s="4">
        <v>0.19</v>
      </c>
      <c r="J416" s="4">
        <v>0.17699999999999999</v>
      </c>
      <c r="K416" s="5">
        <v>100</v>
      </c>
      <c r="L416" s="5">
        <v>100</v>
      </c>
      <c r="M416" s="5">
        <v>100</v>
      </c>
      <c r="N416" s="5">
        <v>100</v>
      </c>
      <c r="O416" s="2">
        <v>0.46044941644092391</v>
      </c>
      <c r="P416" s="2">
        <v>0.37409422841079704</v>
      </c>
      <c r="Q416" s="2">
        <v>0.21072103131565253</v>
      </c>
      <c r="R416" s="2">
        <v>0.19479907830506729</v>
      </c>
    </row>
    <row r="417" spans="1:18" x14ac:dyDescent="0.3">
      <c r="A417" s="7">
        <v>115</v>
      </c>
      <c r="B417" s="7">
        <v>158</v>
      </c>
      <c r="C417" s="7">
        <v>0</v>
      </c>
      <c r="D417" s="7">
        <v>0</v>
      </c>
      <c r="E417" s="20" t="str">
        <f t="shared" si="6"/>
        <v>00</v>
      </c>
      <c r="F417" s="21">
        <v>0.87019800093656396</v>
      </c>
      <c r="G417" s="4">
        <v>0.27800000000000002</v>
      </c>
      <c r="H417" s="4">
        <v>0.22292993630573199</v>
      </c>
      <c r="I417" s="4">
        <v>8.3000000000000004E-2</v>
      </c>
      <c r="J417" s="4">
        <v>9.6000000000000002E-2</v>
      </c>
      <c r="K417" s="5">
        <v>100</v>
      </c>
      <c r="L417" s="5">
        <v>100</v>
      </c>
      <c r="M417" s="5">
        <v>100</v>
      </c>
      <c r="N417" s="5">
        <v>100</v>
      </c>
      <c r="O417" s="2">
        <v>0.32573014008931084</v>
      </c>
      <c r="P417" s="2">
        <v>0.25222476061505089</v>
      </c>
      <c r="Q417" s="2">
        <v>8.6647806725672169E-2</v>
      </c>
      <c r="R417" s="2">
        <v>0.10092591858996053</v>
      </c>
    </row>
    <row r="418" spans="1:18" x14ac:dyDescent="0.3">
      <c r="A418" s="7">
        <v>639</v>
      </c>
      <c r="B418" s="7">
        <v>117</v>
      </c>
      <c r="C418" s="7">
        <v>0</v>
      </c>
      <c r="D418" s="7">
        <v>0</v>
      </c>
      <c r="E418" s="20" t="str">
        <f t="shared" si="6"/>
        <v>00</v>
      </c>
      <c r="F418" s="21">
        <v>0.87938020767569902</v>
      </c>
      <c r="G418" s="4">
        <v>0.75600000000000001</v>
      </c>
      <c r="H418" s="4">
        <v>0.65714285714285703</v>
      </c>
      <c r="I418" s="4">
        <v>0.04</v>
      </c>
      <c r="J418" s="4">
        <v>5.8999999999999997E-2</v>
      </c>
      <c r="K418" s="5">
        <v>0</v>
      </c>
      <c r="L418" s="5">
        <v>0</v>
      </c>
      <c r="M418" s="5">
        <v>100</v>
      </c>
      <c r="N418" s="5">
        <v>100</v>
      </c>
      <c r="O418" s="2">
        <v>1.4105870536889351</v>
      </c>
      <c r="P418" s="2">
        <v>1.0704414117014129</v>
      </c>
      <c r="Q418" s="2">
        <v>4.0821994520255166E-2</v>
      </c>
      <c r="R418" s="2">
        <v>6.0812139396757357E-2</v>
      </c>
    </row>
    <row r="419" spans="1:18" x14ac:dyDescent="0.3">
      <c r="A419" s="7">
        <v>558</v>
      </c>
      <c r="B419" s="7">
        <v>115</v>
      </c>
      <c r="C419" s="7">
        <v>0</v>
      </c>
      <c r="D419" s="7">
        <v>0</v>
      </c>
      <c r="E419" s="20" t="str">
        <f t="shared" si="6"/>
        <v>00</v>
      </c>
      <c r="F419" s="21">
        <v>0.87995429732025399</v>
      </c>
      <c r="G419" s="4">
        <v>0.436</v>
      </c>
      <c r="H419" s="4">
        <v>0.42643923240938197</v>
      </c>
      <c r="I419" s="4">
        <v>6.3E-2</v>
      </c>
      <c r="J419" s="4">
        <v>4.9000000000000002E-2</v>
      </c>
      <c r="K419" s="5">
        <v>100</v>
      </c>
      <c r="L419" s="5">
        <v>100</v>
      </c>
      <c r="M419" s="5">
        <v>100</v>
      </c>
      <c r="N419" s="5">
        <v>100</v>
      </c>
      <c r="O419" s="2">
        <v>0.57270102748407803</v>
      </c>
      <c r="P419" s="2">
        <v>0.55589138884444078</v>
      </c>
      <c r="Q419" s="2">
        <v>6.5071996743714805E-2</v>
      </c>
      <c r="R419" s="2">
        <v>5.024121643674679E-2</v>
      </c>
    </row>
    <row r="420" spans="1:18" x14ac:dyDescent="0.3">
      <c r="A420" s="7">
        <v>768</v>
      </c>
      <c r="B420" s="7">
        <v>113</v>
      </c>
      <c r="C420" s="7">
        <v>0</v>
      </c>
      <c r="D420" s="7">
        <v>0</v>
      </c>
      <c r="E420" s="20" t="str">
        <f t="shared" si="6"/>
        <v>00</v>
      </c>
      <c r="F420" s="21">
        <v>0.88620229681848595</v>
      </c>
      <c r="G420" s="4">
        <v>0.47</v>
      </c>
      <c r="H420" s="4">
        <v>0.39906103286384997</v>
      </c>
      <c r="I420" s="4">
        <v>5.8999999999999997E-2</v>
      </c>
      <c r="J420" s="4">
        <v>6.2E-2</v>
      </c>
      <c r="K420" s="5">
        <v>100</v>
      </c>
      <c r="L420" s="5">
        <v>100</v>
      </c>
      <c r="M420" s="5">
        <v>100</v>
      </c>
      <c r="N420" s="5">
        <v>100</v>
      </c>
      <c r="O420" s="2">
        <v>0.6348782724359695</v>
      </c>
      <c r="P420" s="2">
        <v>0.50926190178980835</v>
      </c>
      <c r="Q420" s="2">
        <v>6.0812139396757357E-2</v>
      </c>
      <c r="R420" s="2">
        <v>6.4005329975912434E-2</v>
      </c>
    </row>
    <row r="421" spans="1:18" x14ac:dyDescent="0.3">
      <c r="A421" s="7">
        <v>32</v>
      </c>
      <c r="B421" s="7">
        <v>89</v>
      </c>
      <c r="C421" s="7">
        <v>0</v>
      </c>
      <c r="D421" s="7">
        <v>0</v>
      </c>
      <c r="E421" s="20" t="str">
        <f t="shared" si="6"/>
        <v>00</v>
      </c>
      <c r="F421" s="21">
        <v>0.88734830900751605</v>
      </c>
      <c r="G421" s="4">
        <v>0.317</v>
      </c>
      <c r="H421" s="4">
        <v>0.31034482758620702</v>
      </c>
      <c r="I421" s="4">
        <v>9.8000000000000004E-2</v>
      </c>
      <c r="J421" s="4">
        <v>8.1000000000000003E-2</v>
      </c>
      <c r="K421" s="5">
        <v>100</v>
      </c>
      <c r="L421" s="5">
        <v>100</v>
      </c>
      <c r="M421" s="5">
        <v>100</v>
      </c>
      <c r="N421" s="5">
        <v>100</v>
      </c>
      <c r="O421" s="2">
        <v>0.38126041941134692</v>
      </c>
      <c r="P421" s="2">
        <v>0.37156355643248329</v>
      </c>
      <c r="Q421" s="2">
        <v>0.10314075891951337</v>
      </c>
      <c r="R421" s="2">
        <v>8.4469156626449965E-2</v>
      </c>
    </row>
    <row r="422" spans="1:18" x14ac:dyDescent="0.3">
      <c r="A422" s="7">
        <v>627</v>
      </c>
      <c r="B422" s="7">
        <v>93</v>
      </c>
      <c r="C422" s="7">
        <v>0</v>
      </c>
      <c r="D422" s="7">
        <v>0</v>
      </c>
      <c r="E422" s="20" t="str">
        <f t="shared" si="6"/>
        <v>00</v>
      </c>
      <c r="F422" s="21">
        <v>0.89804806380866098</v>
      </c>
      <c r="G422" s="4">
        <v>0.41299999999999998</v>
      </c>
      <c r="H422" s="4">
        <v>0.29107981220657297</v>
      </c>
      <c r="I422" s="4">
        <v>4.9000000000000002E-2</v>
      </c>
      <c r="J422" s="4">
        <v>5.2999999999999999E-2</v>
      </c>
      <c r="K422" s="5">
        <v>100</v>
      </c>
      <c r="L422" s="5">
        <v>100</v>
      </c>
      <c r="M422" s="5">
        <v>100</v>
      </c>
      <c r="N422" s="5">
        <v>100</v>
      </c>
      <c r="O422" s="2">
        <v>0.53273045915404071</v>
      </c>
      <c r="P422" s="2">
        <v>0.34401232889450106</v>
      </c>
      <c r="Q422" s="2">
        <v>5.024121643674679E-2</v>
      </c>
      <c r="R422" s="2">
        <v>5.4456185796058855E-2</v>
      </c>
    </row>
    <row r="423" spans="1:18" x14ac:dyDescent="0.3">
      <c r="A423" s="7">
        <v>302</v>
      </c>
      <c r="B423" s="7">
        <v>106</v>
      </c>
      <c r="C423" s="7">
        <v>0</v>
      </c>
      <c r="D423" s="7">
        <v>0</v>
      </c>
      <c r="E423" s="20" t="str">
        <f t="shared" si="6"/>
        <v>00</v>
      </c>
      <c r="F423" s="21">
        <v>0.90367605008716301</v>
      </c>
      <c r="G423" s="4">
        <v>0.23300000000000001</v>
      </c>
      <c r="H423" s="4">
        <v>0.23983739837398399</v>
      </c>
      <c r="I423" s="4">
        <v>8.6999999999999994E-2</v>
      </c>
      <c r="J423" s="4">
        <v>6.9000000000000006E-2</v>
      </c>
      <c r="K423" s="5">
        <v>100</v>
      </c>
      <c r="L423" s="5">
        <v>100</v>
      </c>
      <c r="M423" s="5">
        <v>100</v>
      </c>
      <c r="N423" s="5">
        <v>100</v>
      </c>
      <c r="O423" s="2">
        <v>0.26526847761488087</v>
      </c>
      <c r="P423" s="2">
        <v>0.27422291907777652</v>
      </c>
      <c r="Q423" s="2">
        <v>9.1019398387168549E-2</v>
      </c>
      <c r="R423" s="2">
        <v>7.1496001705069923E-2</v>
      </c>
    </row>
    <row r="424" spans="1:18" x14ac:dyDescent="0.3">
      <c r="A424" s="7">
        <v>257</v>
      </c>
      <c r="B424" s="7">
        <v>99</v>
      </c>
      <c r="C424" s="7">
        <v>0</v>
      </c>
      <c r="D424" s="7">
        <v>0</v>
      </c>
      <c r="E424" s="20" t="str">
        <f t="shared" si="6"/>
        <v>00</v>
      </c>
      <c r="F424" s="21">
        <v>0.91128984169301797</v>
      </c>
      <c r="G424" s="4">
        <v>0.42699999999999999</v>
      </c>
      <c r="H424" s="4">
        <v>0.32029339853300698</v>
      </c>
      <c r="I424" s="4">
        <v>6.9000000000000006E-2</v>
      </c>
      <c r="J424" s="4">
        <v>4.8000000000000001E-2</v>
      </c>
      <c r="K424" s="5">
        <v>100</v>
      </c>
      <c r="L424" s="5">
        <v>100</v>
      </c>
      <c r="M424" s="5">
        <v>100</v>
      </c>
      <c r="N424" s="5">
        <v>100</v>
      </c>
      <c r="O424" s="2">
        <v>0.55686956226739759</v>
      </c>
      <c r="P424" s="2">
        <v>0.38609404235216416</v>
      </c>
      <c r="Q424" s="2">
        <v>7.1496001705069923E-2</v>
      </c>
      <c r="R424" s="2">
        <v>4.9190244190771781E-2</v>
      </c>
    </row>
    <row r="425" spans="1:18" x14ac:dyDescent="0.3">
      <c r="A425" s="7">
        <v>470</v>
      </c>
      <c r="B425" s="7">
        <v>101</v>
      </c>
      <c r="C425" s="7">
        <v>0</v>
      </c>
      <c r="D425" s="7">
        <v>0</v>
      </c>
      <c r="E425" s="20" t="str">
        <f t="shared" si="6"/>
        <v>00</v>
      </c>
      <c r="F425" s="21">
        <v>0.91984743247564404</v>
      </c>
      <c r="G425" s="4">
        <v>0.376</v>
      </c>
      <c r="H425" s="4">
        <v>0.30530973451327398</v>
      </c>
      <c r="I425" s="4">
        <v>5.6000000000000001E-2</v>
      </c>
      <c r="J425" s="4">
        <v>6.0999999999999999E-2</v>
      </c>
      <c r="K425" s="5">
        <v>100</v>
      </c>
      <c r="L425" s="5">
        <v>100</v>
      </c>
      <c r="M425" s="5">
        <v>100</v>
      </c>
      <c r="N425" s="5">
        <v>100</v>
      </c>
      <c r="O425" s="2">
        <v>0.47160491061270937</v>
      </c>
      <c r="P425" s="2">
        <v>0.36428919392397741</v>
      </c>
      <c r="Q425" s="2">
        <v>5.7629112836636416E-2</v>
      </c>
      <c r="R425" s="2">
        <v>6.2939799773874081E-2</v>
      </c>
    </row>
    <row r="426" spans="1:18" x14ac:dyDescent="0.3">
      <c r="A426" s="7">
        <v>205</v>
      </c>
      <c r="B426" s="7">
        <v>101</v>
      </c>
      <c r="C426" s="7">
        <v>0</v>
      </c>
      <c r="D426" s="7">
        <v>0</v>
      </c>
      <c r="E426" s="20" t="str">
        <f t="shared" si="6"/>
        <v>00</v>
      </c>
      <c r="F426" s="21">
        <v>0.92106088406601605</v>
      </c>
      <c r="G426" s="4">
        <v>0.29799999999999999</v>
      </c>
      <c r="H426" s="4">
        <v>0.22026431718061701</v>
      </c>
      <c r="I426" s="4">
        <v>6.5000000000000002E-2</v>
      </c>
      <c r="J426" s="4">
        <v>8.5999999999999993E-2</v>
      </c>
      <c r="K426" s="5">
        <v>100</v>
      </c>
      <c r="L426" s="5">
        <v>100</v>
      </c>
      <c r="M426" s="5">
        <v>100</v>
      </c>
      <c r="N426" s="5">
        <v>100</v>
      </c>
      <c r="O426" s="2">
        <v>0.353821874956326</v>
      </c>
      <c r="P426" s="2">
        <v>0.24880028490757389</v>
      </c>
      <c r="Q426" s="2">
        <v>6.720874969344999E-2</v>
      </c>
      <c r="R426" s="2">
        <v>8.9924707527987008E-2</v>
      </c>
    </row>
    <row r="427" spans="1:18" x14ac:dyDescent="0.3">
      <c r="A427" s="7">
        <v>643</v>
      </c>
      <c r="B427" s="7">
        <v>163</v>
      </c>
      <c r="C427" s="7">
        <v>0</v>
      </c>
      <c r="D427" s="7">
        <v>0</v>
      </c>
      <c r="E427" s="20" t="str">
        <f t="shared" si="6"/>
        <v>00</v>
      </c>
      <c r="F427" s="21">
        <v>0.92405921185135798</v>
      </c>
      <c r="G427" s="4">
        <v>0.25</v>
      </c>
      <c r="H427" s="4">
        <v>0.17099567099567101</v>
      </c>
      <c r="I427" s="4">
        <v>5.5E-2</v>
      </c>
      <c r="J427" s="4">
        <v>6.0999999999999999E-2</v>
      </c>
      <c r="K427" s="5">
        <v>100</v>
      </c>
      <c r="L427" s="5">
        <v>100</v>
      </c>
      <c r="M427" s="5">
        <v>100</v>
      </c>
      <c r="N427" s="5">
        <v>100</v>
      </c>
      <c r="O427" s="2">
        <v>0.2876820724517809</v>
      </c>
      <c r="P427" s="2">
        <v>0.18752990190109289</v>
      </c>
      <c r="Q427" s="2">
        <v>5.6570351488394351E-2</v>
      </c>
      <c r="R427" s="2">
        <v>6.2939799773874081E-2</v>
      </c>
    </row>
    <row r="428" spans="1:18" x14ac:dyDescent="0.3">
      <c r="A428" s="7">
        <v>792</v>
      </c>
      <c r="B428" s="7">
        <v>114</v>
      </c>
      <c r="C428" s="7">
        <v>0</v>
      </c>
      <c r="D428" s="7">
        <v>0</v>
      </c>
      <c r="E428" s="20" t="str">
        <f t="shared" si="6"/>
        <v>00</v>
      </c>
      <c r="F428" s="21">
        <v>0.926651988816654</v>
      </c>
      <c r="G428" s="4">
        <v>0.29599999999999999</v>
      </c>
      <c r="H428" s="4">
        <v>0.24838012958963299</v>
      </c>
      <c r="I428" s="4">
        <v>0.159</v>
      </c>
      <c r="J428" s="4">
        <v>0.186</v>
      </c>
      <c r="K428" s="5">
        <v>100</v>
      </c>
      <c r="L428" s="5">
        <v>100</v>
      </c>
      <c r="M428" s="5">
        <v>100</v>
      </c>
      <c r="N428" s="5">
        <v>100</v>
      </c>
      <c r="O428" s="2">
        <v>0.35097692282409471</v>
      </c>
      <c r="P428" s="2">
        <v>0.28552457431175993</v>
      </c>
      <c r="Q428" s="2">
        <v>0.17316361900918903</v>
      </c>
      <c r="R428" s="2">
        <v>0.20579491297959668</v>
      </c>
    </row>
    <row r="429" spans="1:18" x14ac:dyDescent="0.3">
      <c r="A429" s="7">
        <v>354</v>
      </c>
      <c r="B429" s="7">
        <v>104</v>
      </c>
      <c r="C429" s="7">
        <v>0</v>
      </c>
      <c r="D429" s="7">
        <v>0</v>
      </c>
      <c r="E429" s="20" t="str">
        <f t="shared" si="6"/>
        <v>00</v>
      </c>
      <c r="F429" s="21">
        <v>0.95883146169934697</v>
      </c>
      <c r="G429" s="4">
        <v>0.35199999999999998</v>
      </c>
      <c r="H429" s="4">
        <v>0.28755364806867001</v>
      </c>
      <c r="I429" s="4">
        <v>8.5000000000000006E-2</v>
      </c>
      <c r="J429" s="4">
        <v>0.08</v>
      </c>
      <c r="K429" s="5">
        <v>100</v>
      </c>
      <c r="L429" s="5">
        <v>100</v>
      </c>
      <c r="M429" s="5">
        <v>100</v>
      </c>
      <c r="N429" s="5">
        <v>100</v>
      </c>
      <c r="O429" s="2">
        <v>0.43386458262986233</v>
      </c>
      <c r="P429" s="2">
        <v>0.339050665209158</v>
      </c>
      <c r="Q429" s="2">
        <v>8.8831213706615703E-2</v>
      </c>
      <c r="R429" s="2">
        <v>8.3381608939051013E-2</v>
      </c>
    </row>
    <row r="430" spans="1:18" x14ac:dyDescent="0.3">
      <c r="A430" s="7">
        <v>570</v>
      </c>
      <c r="B430" s="7">
        <v>92</v>
      </c>
      <c r="C430" s="7">
        <v>0</v>
      </c>
      <c r="D430" s="7">
        <v>0</v>
      </c>
      <c r="E430" s="20" t="str">
        <f t="shared" si="6"/>
        <v>00</v>
      </c>
      <c r="F430" s="21">
        <v>0.95997671901384296</v>
      </c>
      <c r="G430" s="4">
        <v>0.51400000000000001</v>
      </c>
      <c r="H430" s="4">
        <v>0.46067415730337102</v>
      </c>
      <c r="I430" s="4">
        <v>8.5999999999999993E-2</v>
      </c>
      <c r="J430" s="4">
        <v>0.09</v>
      </c>
      <c r="K430" s="5">
        <v>0</v>
      </c>
      <c r="L430" s="5">
        <v>100</v>
      </c>
      <c r="M430" s="5">
        <v>100</v>
      </c>
      <c r="N430" s="5">
        <v>100</v>
      </c>
      <c r="O430" s="2">
        <v>0.72154665508164328</v>
      </c>
      <c r="P430" s="2">
        <v>0.61743535882424938</v>
      </c>
      <c r="Q430" s="2">
        <v>8.9924707527987008E-2</v>
      </c>
      <c r="R430" s="2">
        <v>9.431067947124129E-2</v>
      </c>
    </row>
    <row r="431" spans="1:18" x14ac:dyDescent="0.3">
      <c r="A431" s="7">
        <v>809</v>
      </c>
      <c r="B431" s="7">
        <v>93</v>
      </c>
      <c r="C431" s="7">
        <v>0</v>
      </c>
      <c r="D431" s="7">
        <v>0</v>
      </c>
      <c r="E431" s="20" t="str">
        <f t="shared" si="6"/>
        <v>00</v>
      </c>
      <c r="F431" s="21">
        <v>0.98062560498636397</v>
      </c>
      <c r="G431" s="4">
        <v>0.28999999999999998</v>
      </c>
      <c r="H431" s="4">
        <v>0.23110151187905001</v>
      </c>
      <c r="I431" s="4">
        <v>7.4999999999999997E-2</v>
      </c>
      <c r="J431" s="4">
        <v>7.0000000000000007E-2</v>
      </c>
      <c r="K431" s="5">
        <v>100</v>
      </c>
      <c r="L431" s="5">
        <v>100</v>
      </c>
      <c r="M431" s="5">
        <v>100</v>
      </c>
      <c r="N431" s="5">
        <v>100</v>
      </c>
      <c r="O431" s="2">
        <v>0.34249030894677601</v>
      </c>
      <c r="P431" s="2">
        <v>0.2627963232342041</v>
      </c>
      <c r="Q431" s="2">
        <v>7.7961541469711806E-2</v>
      </c>
      <c r="R431" s="2">
        <v>7.2570692834835498E-2</v>
      </c>
    </row>
    <row r="432" spans="1:18" x14ac:dyDescent="0.3">
      <c r="A432" s="7">
        <v>663</v>
      </c>
      <c r="B432" s="7">
        <v>94</v>
      </c>
      <c r="C432" s="7">
        <v>0</v>
      </c>
      <c r="D432" s="7">
        <v>0</v>
      </c>
      <c r="E432" s="20" t="str">
        <f t="shared" si="6"/>
        <v>00</v>
      </c>
      <c r="F432" s="21">
        <v>0.98470052793729301</v>
      </c>
      <c r="G432" s="4">
        <v>0.3</v>
      </c>
      <c r="H432" s="4">
        <v>0.257446808510638</v>
      </c>
      <c r="I432" s="4">
        <v>6.3E-2</v>
      </c>
      <c r="J432" s="4">
        <v>8.5999999999999993E-2</v>
      </c>
      <c r="K432" s="5">
        <v>100</v>
      </c>
      <c r="L432" s="5">
        <v>100</v>
      </c>
      <c r="M432" s="5">
        <v>100</v>
      </c>
      <c r="N432" s="5">
        <v>100</v>
      </c>
      <c r="O432" s="2">
        <v>0.35667494393873245</v>
      </c>
      <c r="P432" s="2">
        <v>0.29766077250167677</v>
      </c>
      <c r="Q432" s="2">
        <v>6.5071996743714805E-2</v>
      </c>
      <c r="R432" s="2">
        <v>8.9924707527987008E-2</v>
      </c>
    </row>
    <row r="433" spans="1:18" x14ac:dyDescent="0.3">
      <c r="A433" s="7">
        <v>20</v>
      </c>
      <c r="B433" s="7">
        <v>85</v>
      </c>
      <c r="C433" s="7">
        <v>0</v>
      </c>
      <c r="D433" s="7">
        <v>0</v>
      </c>
      <c r="E433" s="20" t="str">
        <f t="shared" si="6"/>
        <v>00</v>
      </c>
      <c r="F433" s="21">
        <v>0.98901709798889403</v>
      </c>
      <c r="G433" s="4">
        <v>0.253</v>
      </c>
      <c r="H433" s="4">
        <v>0.209713024282561</v>
      </c>
      <c r="I433" s="4">
        <v>6.8000000000000005E-2</v>
      </c>
      <c r="J433" s="4">
        <v>7.6999999999999999E-2</v>
      </c>
      <c r="K433" s="5">
        <v>100</v>
      </c>
      <c r="L433" s="5">
        <v>100</v>
      </c>
      <c r="M433" s="5">
        <v>100</v>
      </c>
      <c r="N433" s="5">
        <v>100</v>
      </c>
      <c r="O433" s="2">
        <v>0.29169009384931976</v>
      </c>
      <c r="P433" s="2">
        <v>0.23535913908233408</v>
      </c>
      <c r="Q433" s="2">
        <v>7.0422464296545931E-2</v>
      </c>
      <c r="R433" s="2">
        <v>8.0126044479284855E-2</v>
      </c>
    </row>
    <row r="434" spans="1:18" x14ac:dyDescent="0.3">
      <c r="A434" s="7">
        <v>3</v>
      </c>
      <c r="B434" s="7">
        <v>99</v>
      </c>
      <c r="C434" s="7">
        <v>0</v>
      </c>
      <c r="D434" s="7">
        <v>0</v>
      </c>
      <c r="E434" s="20" t="str">
        <f t="shared" si="6"/>
        <v>00</v>
      </c>
      <c r="F434" s="21">
        <v>0.99629218711008205</v>
      </c>
      <c r="G434" s="4">
        <v>0.40899999999999997</v>
      </c>
      <c r="H434" s="4">
        <v>0.34782608695652201</v>
      </c>
      <c r="I434" s="4">
        <v>6.9000000000000006E-2</v>
      </c>
      <c r="J434" s="4">
        <v>6.7000000000000004E-2</v>
      </c>
      <c r="K434" s="5">
        <v>100</v>
      </c>
      <c r="L434" s="5">
        <v>100</v>
      </c>
      <c r="M434" s="5">
        <v>100</v>
      </c>
      <c r="N434" s="5">
        <v>100</v>
      </c>
      <c r="O434" s="2">
        <v>0.52593926157603887</v>
      </c>
      <c r="P434" s="2">
        <v>0.42744401482693994</v>
      </c>
      <c r="Q434" s="2">
        <v>7.1496001705069923E-2</v>
      </c>
      <c r="R434" s="2">
        <v>6.9350078134793172E-2</v>
      </c>
    </row>
    <row r="435" spans="1:18" x14ac:dyDescent="0.3">
      <c r="A435" s="7">
        <v>964</v>
      </c>
      <c r="B435" s="7">
        <v>104</v>
      </c>
      <c r="C435" s="7">
        <v>0</v>
      </c>
      <c r="D435" s="7">
        <v>0</v>
      </c>
      <c r="E435" s="20" t="str">
        <f t="shared" si="6"/>
        <v>00</v>
      </c>
      <c r="F435" s="21">
        <v>1.00062906669695</v>
      </c>
      <c r="G435" s="4">
        <v>0.314</v>
      </c>
      <c r="H435" s="4">
        <v>0.29752066115702502</v>
      </c>
      <c r="I435" s="4">
        <v>8.2000000000000003E-2</v>
      </c>
      <c r="J435" s="4">
        <v>7.6999999999999999E-2</v>
      </c>
      <c r="K435" s="5">
        <v>100</v>
      </c>
      <c r="L435" s="5">
        <v>100</v>
      </c>
      <c r="M435" s="5">
        <v>100</v>
      </c>
      <c r="N435" s="5">
        <v>100</v>
      </c>
      <c r="O435" s="2">
        <v>0.37687765125625189</v>
      </c>
      <c r="P435" s="2">
        <v>0.35313928910642495</v>
      </c>
      <c r="Q435" s="2">
        <v>8.5557888361646545E-2</v>
      </c>
      <c r="R435" s="2">
        <v>8.0126044479284855E-2</v>
      </c>
    </row>
    <row r="436" spans="1:18" x14ac:dyDescent="0.3">
      <c r="A436" s="7">
        <v>559</v>
      </c>
      <c r="B436" s="7">
        <v>128</v>
      </c>
      <c r="C436" s="7">
        <v>0</v>
      </c>
      <c r="D436" s="7">
        <v>0</v>
      </c>
      <c r="E436" s="20" t="str">
        <f t="shared" si="6"/>
        <v>00</v>
      </c>
      <c r="F436" s="21">
        <v>1.00313021538656</v>
      </c>
      <c r="G436" s="4">
        <v>0.44800000000000001</v>
      </c>
      <c r="H436" s="4">
        <v>0.39686098654708502</v>
      </c>
      <c r="I436" s="4">
        <v>7.8E-2</v>
      </c>
      <c r="J436" s="4">
        <v>9.0999999999999998E-2</v>
      </c>
      <c r="K436" s="5">
        <v>100</v>
      </c>
      <c r="L436" s="5">
        <v>100</v>
      </c>
      <c r="M436" s="5">
        <v>100</v>
      </c>
      <c r="N436" s="5">
        <v>100</v>
      </c>
      <c r="O436" s="2">
        <v>0.59420723270504161</v>
      </c>
      <c r="P436" s="2">
        <v>0.50560757241822463</v>
      </c>
      <c r="Q436" s="2">
        <v>8.1210055425543173E-2</v>
      </c>
      <c r="R436" s="2">
        <v>9.5410184804658182E-2</v>
      </c>
    </row>
    <row r="437" spans="1:18" x14ac:dyDescent="0.3">
      <c r="A437" s="7">
        <v>948</v>
      </c>
      <c r="B437" s="7">
        <v>85</v>
      </c>
      <c r="C437" s="7">
        <v>0</v>
      </c>
      <c r="D437" s="7">
        <v>0</v>
      </c>
      <c r="E437" s="20" t="str">
        <f t="shared" si="6"/>
        <v>00</v>
      </c>
      <c r="F437" s="21">
        <v>1.0049461249971301</v>
      </c>
      <c r="G437" s="4">
        <v>0.39800000000000002</v>
      </c>
      <c r="H437" s="4">
        <v>0.29716981132075498</v>
      </c>
      <c r="I437" s="4">
        <v>8.4000000000000005E-2</v>
      </c>
      <c r="J437" s="4">
        <v>8.7999999999999995E-2</v>
      </c>
      <c r="K437" s="5">
        <v>100</v>
      </c>
      <c r="L437" s="5">
        <v>100</v>
      </c>
      <c r="M437" s="5">
        <v>100</v>
      </c>
      <c r="N437" s="5">
        <v>100</v>
      </c>
      <c r="O437" s="2">
        <v>0.50749783367331602</v>
      </c>
      <c r="P437" s="2">
        <v>0.35263996872655379</v>
      </c>
      <c r="Q437" s="2">
        <v>8.7738914308006746E-2</v>
      </c>
      <c r="R437" s="2">
        <v>9.2115288907805626E-2</v>
      </c>
    </row>
    <row r="438" spans="1:18" x14ac:dyDescent="0.3">
      <c r="A438" s="7">
        <v>1</v>
      </c>
      <c r="B438" s="7">
        <v>92</v>
      </c>
      <c r="C438" s="7">
        <v>0</v>
      </c>
      <c r="D438" s="7">
        <v>0</v>
      </c>
      <c r="E438" s="20" t="str">
        <f t="shared" si="6"/>
        <v>00</v>
      </c>
      <c r="F438" s="21">
        <v>1.0072491464065301</v>
      </c>
      <c r="G438" s="4">
        <v>0.40400000000000003</v>
      </c>
      <c r="H438" s="4">
        <v>0.354077253218884</v>
      </c>
      <c r="I438" s="4">
        <v>0.12</v>
      </c>
      <c r="J438" s="4">
        <v>0.10299999999999999</v>
      </c>
      <c r="K438" s="5">
        <v>100</v>
      </c>
      <c r="L438" s="5">
        <v>100</v>
      </c>
      <c r="M438" s="5">
        <v>100</v>
      </c>
      <c r="N438" s="5">
        <v>100</v>
      </c>
      <c r="O438" s="2">
        <v>0.51751461191678738</v>
      </c>
      <c r="P438" s="2">
        <v>0.43707536937677005</v>
      </c>
      <c r="Q438" s="2">
        <v>0.12783337150988489</v>
      </c>
      <c r="R438" s="2">
        <v>0.10869941692334091</v>
      </c>
    </row>
    <row r="439" spans="1:18" x14ac:dyDescent="0.3">
      <c r="A439" s="7">
        <v>911</v>
      </c>
      <c r="B439" s="7">
        <v>95</v>
      </c>
      <c r="C439" s="7">
        <v>0</v>
      </c>
      <c r="D439" s="7">
        <v>0</v>
      </c>
      <c r="E439" s="20" t="str">
        <f t="shared" si="6"/>
        <v>00</v>
      </c>
      <c r="F439" s="21">
        <v>1.00981759677423</v>
      </c>
      <c r="G439" s="4">
        <v>0.45500000000000002</v>
      </c>
      <c r="H439" s="4">
        <v>0.44468085106382998</v>
      </c>
      <c r="I439" s="4">
        <v>9.2999999999999999E-2</v>
      </c>
      <c r="J439" s="4">
        <v>7.8E-2</v>
      </c>
      <c r="K439" s="5">
        <v>100</v>
      </c>
      <c r="L439" s="5">
        <v>100</v>
      </c>
      <c r="M439" s="5">
        <v>100</v>
      </c>
      <c r="N439" s="5">
        <v>100</v>
      </c>
      <c r="O439" s="2">
        <v>0.60696948431889308</v>
      </c>
      <c r="P439" s="2">
        <v>0.58821228738141129</v>
      </c>
      <c r="Q439" s="2">
        <v>9.7612828867000415E-2</v>
      </c>
      <c r="R439" s="2">
        <v>8.1210055425543173E-2</v>
      </c>
    </row>
    <row r="440" spans="1:18" x14ac:dyDescent="0.3">
      <c r="A440" s="7">
        <v>146</v>
      </c>
      <c r="B440" s="7">
        <v>94</v>
      </c>
      <c r="C440" s="7">
        <v>0</v>
      </c>
      <c r="D440" s="7">
        <v>0</v>
      </c>
      <c r="E440" s="20" t="str">
        <f t="shared" si="6"/>
        <v>00</v>
      </c>
      <c r="F440" s="21">
        <v>1.0225757816429599</v>
      </c>
      <c r="G440" s="4">
        <v>0.378</v>
      </c>
      <c r="H440" s="4">
        <v>0.32894736842105299</v>
      </c>
      <c r="I440" s="4">
        <v>8.7999999999999995E-2</v>
      </c>
      <c r="J440" s="4">
        <v>7.5999999999999998E-2</v>
      </c>
      <c r="K440" s="5">
        <v>100</v>
      </c>
      <c r="L440" s="5">
        <v>100</v>
      </c>
      <c r="M440" s="5">
        <v>100</v>
      </c>
      <c r="N440" s="5">
        <v>100</v>
      </c>
      <c r="O440" s="2">
        <v>0.4748151862429576</v>
      </c>
      <c r="P440" s="2">
        <v>0.39890770756200583</v>
      </c>
      <c r="Q440" s="2">
        <v>9.2115288907805626E-2</v>
      </c>
      <c r="R440" s="2">
        <v>7.9043207340452851E-2</v>
      </c>
    </row>
    <row r="441" spans="1:18" x14ac:dyDescent="0.3">
      <c r="A441" s="7">
        <v>405</v>
      </c>
      <c r="B441" s="7">
        <v>84</v>
      </c>
      <c r="C441" s="7">
        <v>0</v>
      </c>
      <c r="D441" s="7">
        <v>0</v>
      </c>
      <c r="E441" s="20" t="str">
        <f t="shared" si="6"/>
        <v>00</v>
      </c>
      <c r="F441" s="21">
        <v>1.02617040954357</v>
      </c>
      <c r="G441" s="4">
        <v>0.22800000000000001</v>
      </c>
      <c r="H441" s="4">
        <v>0.22567287784679099</v>
      </c>
      <c r="I441" s="4">
        <v>6.2E-2</v>
      </c>
      <c r="J441" s="4">
        <v>8.1000000000000003E-2</v>
      </c>
      <c r="K441" s="5">
        <v>100</v>
      </c>
      <c r="L441" s="5">
        <v>100</v>
      </c>
      <c r="M441" s="5">
        <v>100</v>
      </c>
      <c r="N441" s="5">
        <v>100</v>
      </c>
      <c r="O441" s="2">
        <v>0.25877072895736086</v>
      </c>
      <c r="P441" s="2">
        <v>0.2557608562380409</v>
      </c>
      <c r="Q441" s="2">
        <v>6.4005329975912434E-2</v>
      </c>
      <c r="R441" s="2">
        <v>8.4469156626449965E-2</v>
      </c>
    </row>
    <row r="442" spans="1:18" x14ac:dyDescent="0.3">
      <c r="A442" s="7">
        <v>761</v>
      </c>
      <c r="B442" s="7">
        <v>80</v>
      </c>
      <c r="C442" s="7">
        <v>0</v>
      </c>
      <c r="D442" s="7">
        <v>0</v>
      </c>
      <c r="E442" s="20" t="str">
        <f t="shared" si="6"/>
        <v>00</v>
      </c>
      <c r="F442" s="21">
        <v>1.02859211429402</v>
      </c>
      <c r="G442" s="4">
        <v>0.29899999999999999</v>
      </c>
      <c r="H442" s="4">
        <v>0.24780701754386</v>
      </c>
      <c r="I442" s="4">
        <v>9.2999999999999999E-2</v>
      </c>
      <c r="J442" s="4">
        <v>0.105</v>
      </c>
      <c r="K442" s="5">
        <v>100</v>
      </c>
      <c r="L442" s="5">
        <v>100</v>
      </c>
      <c r="M442" s="5">
        <v>100</v>
      </c>
      <c r="N442" s="5">
        <v>100</v>
      </c>
      <c r="O442" s="2">
        <v>0.35524739194754684</v>
      </c>
      <c r="P442" s="2">
        <v>0.28476236234844665</v>
      </c>
      <c r="Q442" s="2">
        <v>9.7612828867000415E-2</v>
      </c>
      <c r="R442" s="2">
        <v>0.11093156070728166</v>
      </c>
    </row>
    <row r="443" spans="1:18" x14ac:dyDescent="0.3">
      <c r="A443" s="7">
        <v>581</v>
      </c>
      <c r="B443" s="7">
        <v>85</v>
      </c>
      <c r="C443" s="7">
        <v>0</v>
      </c>
      <c r="D443" s="7">
        <v>0</v>
      </c>
      <c r="E443" s="20" t="str">
        <f t="shared" si="6"/>
        <v>00</v>
      </c>
      <c r="F443" s="21">
        <v>1.03164925740111</v>
      </c>
      <c r="G443" s="4">
        <v>0.50800000000000001</v>
      </c>
      <c r="H443" s="4">
        <v>0.34635416666666702</v>
      </c>
      <c r="I443" s="4">
        <v>0.17599999999999999</v>
      </c>
      <c r="J443" s="4">
        <v>0.20200000000000001</v>
      </c>
      <c r="K443" s="5">
        <v>0</v>
      </c>
      <c r="L443" s="5">
        <v>100</v>
      </c>
      <c r="M443" s="5">
        <v>100</v>
      </c>
      <c r="N443" s="5">
        <v>100</v>
      </c>
      <c r="O443" s="2">
        <v>0.70927656248982895</v>
      </c>
      <c r="P443" s="2">
        <v>0.42518961345594342</v>
      </c>
      <c r="Q443" s="2">
        <v>0.19358474907266526</v>
      </c>
      <c r="R443" s="2">
        <v>0.22564668153232822</v>
      </c>
    </row>
    <row r="444" spans="1:18" x14ac:dyDescent="0.3">
      <c r="A444" s="7">
        <v>228</v>
      </c>
      <c r="B444" s="7">
        <v>93</v>
      </c>
      <c r="C444" s="7">
        <v>0</v>
      </c>
      <c r="D444" s="7">
        <v>0</v>
      </c>
      <c r="E444" s="20" t="str">
        <f t="shared" si="6"/>
        <v>00</v>
      </c>
      <c r="F444" s="21">
        <v>1.0323183268941101</v>
      </c>
      <c r="G444" s="4">
        <v>0.45500000000000002</v>
      </c>
      <c r="H444" s="4">
        <v>0.36084905660377398</v>
      </c>
      <c r="I444" s="4">
        <v>5.8000000000000003E-2</v>
      </c>
      <c r="J444" s="4">
        <v>0.109</v>
      </c>
      <c r="K444" s="5">
        <v>100</v>
      </c>
      <c r="L444" s="5">
        <v>100</v>
      </c>
      <c r="M444" s="5">
        <v>100</v>
      </c>
      <c r="N444" s="5">
        <v>100</v>
      </c>
      <c r="O444" s="2">
        <v>0.60696948431889308</v>
      </c>
      <c r="P444" s="2">
        <v>0.44761463435225746</v>
      </c>
      <c r="Q444" s="2">
        <v>5.9750004405774049E-2</v>
      </c>
      <c r="R444" s="2">
        <v>0.11541085151132773</v>
      </c>
    </row>
    <row r="445" spans="1:18" x14ac:dyDescent="0.3">
      <c r="A445" s="7">
        <v>272</v>
      </c>
      <c r="B445" s="7">
        <v>79</v>
      </c>
      <c r="C445" s="7">
        <v>0</v>
      </c>
      <c r="D445" s="7">
        <v>0</v>
      </c>
      <c r="E445" s="20" t="str">
        <f t="shared" si="6"/>
        <v>00</v>
      </c>
      <c r="F445" s="21">
        <v>1.0340268565674999</v>
      </c>
      <c r="G445" s="4">
        <v>0.41799999999999998</v>
      </c>
      <c r="H445" s="4">
        <v>0.35</v>
      </c>
      <c r="I445" s="4">
        <v>0.95799999999999996</v>
      </c>
      <c r="J445" s="4">
        <v>0.93500000000000005</v>
      </c>
      <c r="K445" s="5">
        <v>100</v>
      </c>
      <c r="L445" s="5">
        <v>100</v>
      </c>
      <c r="M445" s="5">
        <v>0</v>
      </c>
      <c r="N445" s="5">
        <v>0</v>
      </c>
      <c r="O445" s="2">
        <v>0.54128483125069915</v>
      </c>
      <c r="P445" s="2">
        <v>0.43078291609245423</v>
      </c>
      <c r="Q445" s="2">
        <v>3.170085660698768</v>
      </c>
      <c r="R445" s="2">
        <v>2.7333680090865009</v>
      </c>
    </row>
    <row r="446" spans="1:18" x14ac:dyDescent="0.3">
      <c r="A446" s="7">
        <v>262</v>
      </c>
      <c r="B446" s="7">
        <v>82</v>
      </c>
      <c r="C446" s="7">
        <v>0</v>
      </c>
      <c r="D446" s="7">
        <v>0</v>
      </c>
      <c r="E446" s="20" t="str">
        <f t="shared" si="6"/>
        <v>00</v>
      </c>
      <c r="F446" s="21">
        <v>1.04114643794656</v>
      </c>
      <c r="G446" s="4">
        <v>0.34200000000000003</v>
      </c>
      <c r="H446" s="4">
        <v>0.29910714285714302</v>
      </c>
      <c r="I446" s="4">
        <v>0.625</v>
      </c>
      <c r="J446" s="4">
        <v>0.54400000000000004</v>
      </c>
      <c r="K446" s="5">
        <v>100</v>
      </c>
      <c r="L446" s="5">
        <v>100</v>
      </c>
      <c r="M446" s="5">
        <v>0</v>
      </c>
      <c r="N446" s="5">
        <v>0</v>
      </c>
      <c r="O446" s="2">
        <v>0.41855034765681998</v>
      </c>
      <c r="P446" s="2">
        <v>0.35540024650673202</v>
      </c>
      <c r="Q446" s="2">
        <v>0.98082925301172619</v>
      </c>
      <c r="R446" s="2">
        <v>0.78526246946775102</v>
      </c>
    </row>
    <row r="447" spans="1:18" x14ac:dyDescent="0.3">
      <c r="A447" s="7">
        <v>462</v>
      </c>
      <c r="B447" s="7">
        <v>94</v>
      </c>
      <c r="C447" s="7">
        <v>0</v>
      </c>
      <c r="D447" s="7">
        <v>0</v>
      </c>
      <c r="E447" s="20" t="str">
        <f t="shared" si="6"/>
        <v>00</v>
      </c>
      <c r="F447" s="21">
        <v>1.04377668260937</v>
      </c>
      <c r="G447" s="4">
        <v>0.38400000000000001</v>
      </c>
      <c r="H447" s="4">
        <v>0.33688699360341201</v>
      </c>
      <c r="I447" s="4">
        <v>7.9000000000000001E-2</v>
      </c>
      <c r="J447" s="4">
        <v>5.6000000000000001E-2</v>
      </c>
      <c r="K447" s="5">
        <v>100</v>
      </c>
      <c r="L447" s="5">
        <v>100</v>
      </c>
      <c r="M447" s="5">
        <v>100</v>
      </c>
      <c r="N447" s="5">
        <v>100</v>
      </c>
      <c r="O447" s="2">
        <v>0.48450831544861728</v>
      </c>
      <c r="P447" s="2">
        <v>0.41080985626704597</v>
      </c>
      <c r="Q447" s="2">
        <v>8.2295242726830156E-2</v>
      </c>
      <c r="R447" s="2">
        <v>5.7629112836636416E-2</v>
      </c>
    </row>
    <row r="448" spans="1:18" x14ac:dyDescent="0.3">
      <c r="A448" s="7">
        <v>109</v>
      </c>
      <c r="B448" s="7">
        <v>349</v>
      </c>
      <c r="C448" s="7">
        <v>0</v>
      </c>
      <c r="D448" s="7">
        <v>0</v>
      </c>
      <c r="E448" s="20" t="str">
        <f t="shared" si="6"/>
        <v>00</v>
      </c>
      <c r="F448" s="21">
        <v>1.0455599486687901</v>
      </c>
      <c r="G448" s="4">
        <v>0.32</v>
      </c>
      <c r="H448" s="4">
        <v>0.30753138075313802</v>
      </c>
      <c r="I448" s="4">
        <v>9.1999999999999998E-2</v>
      </c>
      <c r="J448" s="4">
        <v>8.5000000000000006E-2</v>
      </c>
      <c r="K448" s="5">
        <v>100</v>
      </c>
      <c r="L448" s="5">
        <v>100</v>
      </c>
      <c r="M448" s="5">
        <v>100</v>
      </c>
      <c r="N448" s="5">
        <v>100</v>
      </c>
      <c r="O448" s="2">
        <v>0.38566248081198479</v>
      </c>
      <c r="P448" s="2">
        <v>0.36749235711439299</v>
      </c>
      <c r="Q448" s="2">
        <v>9.6510900380843728E-2</v>
      </c>
      <c r="R448" s="2">
        <v>8.8831213706615703E-2</v>
      </c>
    </row>
    <row r="449" spans="1:18" x14ac:dyDescent="0.3">
      <c r="A449" s="7">
        <v>978</v>
      </c>
      <c r="B449" s="7">
        <v>60</v>
      </c>
      <c r="C449" s="7">
        <v>0</v>
      </c>
      <c r="D449" s="7">
        <v>0</v>
      </c>
      <c r="E449" s="20" t="str">
        <f t="shared" si="6"/>
        <v>00</v>
      </c>
      <c r="F449" s="21">
        <v>1.0482315483654301</v>
      </c>
      <c r="G449" s="4">
        <v>0.29199999999999998</v>
      </c>
      <c r="H449" s="4">
        <v>0.258278145695364</v>
      </c>
      <c r="I449" s="4">
        <v>6.2E-2</v>
      </c>
      <c r="J449" s="4">
        <v>8.3000000000000004E-2</v>
      </c>
      <c r="K449" s="5">
        <v>100</v>
      </c>
      <c r="L449" s="5">
        <v>100</v>
      </c>
      <c r="M449" s="5">
        <v>100</v>
      </c>
      <c r="N449" s="5">
        <v>100</v>
      </c>
      <c r="O449" s="2">
        <v>0.34531118528841737</v>
      </c>
      <c r="P449" s="2">
        <v>0.29878096551982947</v>
      </c>
      <c r="Q449" s="2">
        <v>6.4005329975912434E-2</v>
      </c>
      <c r="R449" s="2">
        <v>8.6647806725672169E-2</v>
      </c>
    </row>
    <row r="450" spans="1:18" x14ac:dyDescent="0.3">
      <c r="A450" s="7">
        <v>305</v>
      </c>
      <c r="B450" s="7">
        <v>83</v>
      </c>
      <c r="C450" s="7">
        <v>0</v>
      </c>
      <c r="D450" s="7">
        <v>0</v>
      </c>
      <c r="E450" s="20" t="str">
        <f t="shared" ref="E450:E513" si="7">_xlfn.CONCAT(C450,D450)</f>
        <v>00</v>
      </c>
      <c r="F450" s="21">
        <v>1.0602032523951099</v>
      </c>
      <c r="G450" s="4">
        <v>0.59899999999999998</v>
      </c>
      <c r="H450" s="4">
        <v>0.54398148148148195</v>
      </c>
      <c r="I450" s="4">
        <v>0.93799999999999994</v>
      </c>
      <c r="J450" s="4">
        <v>0.93</v>
      </c>
      <c r="K450" s="5">
        <v>0</v>
      </c>
      <c r="L450" s="5">
        <v>0</v>
      </c>
      <c r="M450" s="5">
        <v>0</v>
      </c>
      <c r="N450" s="5">
        <v>0</v>
      </c>
      <c r="O450" s="2">
        <v>0.91379385167556781</v>
      </c>
      <c r="P450" s="2">
        <v>0.78522185950612289</v>
      </c>
      <c r="Q450" s="2">
        <v>2.7806208939370447</v>
      </c>
      <c r="R450" s="2">
        <v>2.6592600369327788</v>
      </c>
    </row>
    <row r="451" spans="1:18" x14ac:dyDescent="0.3">
      <c r="A451" s="7">
        <v>625</v>
      </c>
      <c r="B451" s="7">
        <v>77</v>
      </c>
      <c r="C451" s="7">
        <v>0</v>
      </c>
      <c r="D451" s="7">
        <v>0</v>
      </c>
      <c r="E451" s="20" t="str">
        <f t="shared" si="7"/>
        <v>00</v>
      </c>
      <c r="F451" s="21">
        <v>1.0720239557731099</v>
      </c>
      <c r="G451" s="4">
        <v>0.31</v>
      </c>
      <c r="H451" s="4">
        <v>0.206349206349206</v>
      </c>
      <c r="I451" s="4">
        <v>7.0000000000000007E-2</v>
      </c>
      <c r="J451" s="4">
        <v>9.7000000000000003E-2</v>
      </c>
      <c r="K451" s="5">
        <v>100</v>
      </c>
      <c r="L451" s="5">
        <v>100</v>
      </c>
      <c r="M451" s="5">
        <v>100</v>
      </c>
      <c r="N451" s="5">
        <v>100</v>
      </c>
      <c r="O451" s="2">
        <v>0.37106368139083207</v>
      </c>
      <c r="P451" s="2">
        <v>0.23111172096338625</v>
      </c>
      <c r="Q451" s="2">
        <v>7.2570692834835498E-2</v>
      </c>
      <c r="R451" s="2">
        <v>0.10203272556515161</v>
      </c>
    </row>
    <row r="452" spans="1:18" x14ac:dyDescent="0.3">
      <c r="A452" s="7">
        <v>128</v>
      </c>
      <c r="B452" s="7">
        <v>80</v>
      </c>
      <c r="C452" s="7">
        <v>0</v>
      </c>
      <c r="D452" s="7">
        <v>0</v>
      </c>
      <c r="E452" s="20" t="str">
        <f t="shared" si="7"/>
        <v>00</v>
      </c>
      <c r="F452" s="21">
        <v>1.07648009827647</v>
      </c>
      <c r="G452" s="4">
        <v>0.21</v>
      </c>
      <c r="H452" s="4">
        <v>0.17758985200845701</v>
      </c>
      <c r="I452" s="4">
        <v>6.3E-2</v>
      </c>
      <c r="J452" s="4">
        <v>7.6999999999999999E-2</v>
      </c>
      <c r="K452" s="5">
        <v>100</v>
      </c>
      <c r="L452" s="5">
        <v>100</v>
      </c>
      <c r="M452" s="5">
        <v>100</v>
      </c>
      <c r="N452" s="5">
        <v>100</v>
      </c>
      <c r="O452" s="2">
        <v>0.23572233352106983</v>
      </c>
      <c r="P452" s="2">
        <v>0.19551604487348709</v>
      </c>
      <c r="Q452" s="2">
        <v>6.5071996743714805E-2</v>
      </c>
      <c r="R452" s="2">
        <v>8.0126044479284855E-2</v>
      </c>
    </row>
    <row r="453" spans="1:18" x14ac:dyDescent="0.3">
      <c r="A453" s="7">
        <v>343</v>
      </c>
      <c r="B453" s="7">
        <v>81</v>
      </c>
      <c r="C453" s="7">
        <v>0</v>
      </c>
      <c r="D453" s="7">
        <v>0</v>
      </c>
      <c r="E453" s="20" t="str">
        <f t="shared" si="7"/>
        <v>00</v>
      </c>
      <c r="F453" s="21">
        <v>1.08033676913182</v>
      </c>
      <c r="G453" s="4">
        <v>0.42399999999999999</v>
      </c>
      <c r="H453" s="4">
        <v>0.36105032822757099</v>
      </c>
      <c r="I453" s="4">
        <v>0.68200000000000005</v>
      </c>
      <c r="J453" s="4">
        <v>0.68</v>
      </c>
      <c r="K453" s="5">
        <v>100</v>
      </c>
      <c r="L453" s="5">
        <v>100</v>
      </c>
      <c r="M453" s="5">
        <v>0</v>
      </c>
      <c r="N453" s="5">
        <v>0</v>
      </c>
      <c r="O453" s="2">
        <v>0.55164761828624564</v>
      </c>
      <c r="P453" s="2">
        <v>0.44792958862592275</v>
      </c>
      <c r="Q453" s="2">
        <v>1.1457038962019603</v>
      </c>
      <c r="R453" s="2">
        <v>1.139434283188365</v>
      </c>
    </row>
    <row r="454" spans="1:18" x14ac:dyDescent="0.3">
      <c r="A454" s="7">
        <v>535</v>
      </c>
      <c r="B454" s="7">
        <v>124</v>
      </c>
      <c r="C454" s="7">
        <v>0</v>
      </c>
      <c r="D454" s="7">
        <v>0</v>
      </c>
      <c r="E454" s="20" t="str">
        <f t="shared" si="7"/>
        <v>00</v>
      </c>
      <c r="F454" s="21">
        <v>1.09501227267924</v>
      </c>
      <c r="G454" s="4">
        <v>0.31900000000000001</v>
      </c>
      <c r="H454" s="4">
        <v>0.310272536687631</v>
      </c>
      <c r="I454" s="4">
        <v>0.09</v>
      </c>
      <c r="J454" s="4">
        <v>9.2999999999999999E-2</v>
      </c>
      <c r="K454" s="5">
        <v>100</v>
      </c>
      <c r="L454" s="5">
        <v>100</v>
      </c>
      <c r="M454" s="5">
        <v>100</v>
      </c>
      <c r="N454" s="5">
        <v>100</v>
      </c>
      <c r="O454" s="2">
        <v>0.3841929728326246</v>
      </c>
      <c r="P454" s="2">
        <v>0.37145874012296926</v>
      </c>
      <c r="Q454" s="2">
        <v>9.431067947124129E-2</v>
      </c>
      <c r="R454" s="2">
        <v>9.7612828867000415E-2</v>
      </c>
    </row>
    <row r="455" spans="1:18" x14ac:dyDescent="0.3">
      <c r="A455" s="7">
        <v>699</v>
      </c>
      <c r="B455" s="7">
        <v>80</v>
      </c>
      <c r="C455" s="7">
        <v>0</v>
      </c>
      <c r="D455" s="7">
        <v>0</v>
      </c>
      <c r="E455" s="20" t="str">
        <f t="shared" si="7"/>
        <v>00</v>
      </c>
      <c r="F455" s="21">
        <v>1.1016145718867001</v>
      </c>
      <c r="G455" s="4">
        <v>0.30299999999999999</v>
      </c>
      <c r="H455" s="4">
        <v>0.26338329764453999</v>
      </c>
      <c r="I455" s="4">
        <v>7.3999999999999996E-2</v>
      </c>
      <c r="J455" s="4">
        <v>0.08</v>
      </c>
      <c r="K455" s="5">
        <v>100</v>
      </c>
      <c r="L455" s="5">
        <v>100</v>
      </c>
      <c r="M455" s="5">
        <v>100</v>
      </c>
      <c r="N455" s="5">
        <v>100</v>
      </c>
      <c r="O455" s="2">
        <v>0.36096986822161309</v>
      </c>
      <c r="P455" s="2">
        <v>0.30568760029549957</v>
      </c>
      <c r="Q455" s="2">
        <v>7.6881044335957618E-2</v>
      </c>
      <c r="R455" s="2">
        <v>8.3381608939051013E-2</v>
      </c>
    </row>
    <row r="456" spans="1:18" x14ac:dyDescent="0.3">
      <c r="A456" s="7">
        <v>502</v>
      </c>
      <c r="B456" s="7">
        <v>64</v>
      </c>
      <c r="C456" s="7">
        <v>0</v>
      </c>
      <c r="D456" s="7">
        <v>0</v>
      </c>
      <c r="E456" s="20" t="str">
        <f t="shared" si="7"/>
        <v>00</v>
      </c>
      <c r="F456" s="21">
        <v>1.1037808440908099</v>
      </c>
      <c r="G456" s="4">
        <v>0.44900000000000001</v>
      </c>
      <c r="H456" s="4">
        <v>0.35645933014354098</v>
      </c>
      <c r="I456" s="4">
        <v>0.95399999999999996</v>
      </c>
      <c r="J456" s="4">
        <v>0.89</v>
      </c>
      <c r="K456" s="5">
        <v>100</v>
      </c>
      <c r="L456" s="5">
        <v>100</v>
      </c>
      <c r="M456" s="5">
        <v>0</v>
      </c>
      <c r="N456" s="5">
        <v>0</v>
      </c>
      <c r="O456" s="2">
        <v>0.59602046982922263</v>
      </c>
      <c r="P456" s="2">
        <v>0.44077005292291777</v>
      </c>
      <c r="Q456" s="2">
        <v>3.0791138824930413</v>
      </c>
      <c r="R456" s="2">
        <v>2.2072749131897211</v>
      </c>
    </row>
    <row r="457" spans="1:18" x14ac:dyDescent="0.3">
      <c r="A457" s="7">
        <v>133</v>
      </c>
      <c r="B457" s="7">
        <v>72</v>
      </c>
      <c r="C457" s="7">
        <v>0</v>
      </c>
      <c r="D457" s="7">
        <v>0</v>
      </c>
      <c r="E457" s="20" t="str">
        <f t="shared" si="7"/>
        <v>00</v>
      </c>
      <c r="F457" s="21">
        <v>1.10847767903294</v>
      </c>
      <c r="G457" s="4">
        <v>0.20200000000000001</v>
      </c>
      <c r="H457" s="4">
        <v>0.167714884696017</v>
      </c>
      <c r="I457" s="4">
        <v>6.6000000000000003E-2</v>
      </c>
      <c r="J457" s="4">
        <v>7.3999999999999996E-2</v>
      </c>
      <c r="K457" s="5">
        <v>100</v>
      </c>
      <c r="L457" s="5">
        <v>100</v>
      </c>
      <c r="M457" s="5">
        <v>100</v>
      </c>
      <c r="N457" s="5">
        <v>100</v>
      </c>
      <c r="O457" s="2">
        <v>0.22564668153232822</v>
      </c>
      <c r="P457" s="2">
        <v>0.18358021020115112</v>
      </c>
      <c r="Q457" s="2">
        <v>6.827884075329449E-2</v>
      </c>
      <c r="R457" s="2">
        <v>7.6881044335957618E-2</v>
      </c>
    </row>
    <row r="458" spans="1:18" x14ac:dyDescent="0.3">
      <c r="A458" s="7">
        <v>38</v>
      </c>
      <c r="B458" s="7">
        <v>159</v>
      </c>
      <c r="C458" s="7">
        <v>0</v>
      </c>
      <c r="D458" s="7">
        <v>0</v>
      </c>
      <c r="E458" s="20" t="str">
        <f t="shared" si="7"/>
        <v>00</v>
      </c>
      <c r="F458" s="21">
        <v>1.1215887929672901</v>
      </c>
      <c r="G458" s="4">
        <v>0.34699999999999998</v>
      </c>
      <c r="H458" s="4">
        <v>0.30398322851152998</v>
      </c>
      <c r="I458" s="4">
        <v>0.13</v>
      </c>
      <c r="J458" s="4">
        <v>0.105</v>
      </c>
      <c r="K458" s="5">
        <v>100</v>
      </c>
      <c r="L458" s="5">
        <v>100</v>
      </c>
      <c r="M458" s="5">
        <v>100</v>
      </c>
      <c r="N458" s="5">
        <v>100</v>
      </c>
      <c r="O458" s="2">
        <v>0.42617814970570594</v>
      </c>
      <c r="P458" s="2">
        <v>0.36238152197185214</v>
      </c>
      <c r="Q458" s="2">
        <v>0.13926206733350766</v>
      </c>
      <c r="R458" s="2">
        <v>0.11093156070728166</v>
      </c>
    </row>
    <row r="459" spans="1:18" x14ac:dyDescent="0.3">
      <c r="A459" s="7">
        <v>270</v>
      </c>
      <c r="B459" s="7">
        <v>78</v>
      </c>
      <c r="C459" s="7">
        <v>0</v>
      </c>
      <c r="D459" s="7">
        <v>0</v>
      </c>
      <c r="E459" s="20" t="str">
        <f t="shared" si="7"/>
        <v>00</v>
      </c>
      <c r="F459" s="21">
        <v>1.1297964219235199</v>
      </c>
      <c r="G459" s="4">
        <v>0.30499999999999999</v>
      </c>
      <c r="H459" s="4">
        <v>0.25105485232067498</v>
      </c>
      <c r="I459" s="4">
        <v>0.10199999999999999</v>
      </c>
      <c r="J459" s="4">
        <v>9.1999999999999998E-2</v>
      </c>
      <c r="K459" s="5">
        <v>100</v>
      </c>
      <c r="L459" s="5">
        <v>100</v>
      </c>
      <c r="M459" s="5">
        <v>100</v>
      </c>
      <c r="N459" s="5">
        <v>100</v>
      </c>
      <c r="O459" s="2">
        <v>0.36384343341734482</v>
      </c>
      <c r="P459" s="2">
        <v>0.28908953221966061</v>
      </c>
      <c r="Q459" s="2">
        <v>0.10758521067993743</v>
      </c>
      <c r="R459" s="2">
        <v>9.6510900380843728E-2</v>
      </c>
    </row>
    <row r="460" spans="1:18" x14ac:dyDescent="0.3">
      <c r="A460" s="7">
        <v>369</v>
      </c>
      <c r="B460" s="7">
        <v>61</v>
      </c>
      <c r="C460" s="7">
        <v>0</v>
      </c>
      <c r="D460" s="7">
        <v>0</v>
      </c>
      <c r="E460" s="20" t="str">
        <f t="shared" si="7"/>
        <v>00</v>
      </c>
      <c r="F460" s="21">
        <v>1.1326667382378299</v>
      </c>
      <c r="G460" s="4">
        <v>0.45800000000000002</v>
      </c>
      <c r="H460" s="4">
        <v>0.39013452914798202</v>
      </c>
      <c r="I460" s="4">
        <v>0.111</v>
      </c>
      <c r="J460" s="4">
        <v>9.1999999999999998E-2</v>
      </c>
      <c r="K460" s="5">
        <v>100</v>
      </c>
      <c r="L460" s="5">
        <v>100</v>
      </c>
      <c r="M460" s="5">
        <v>100</v>
      </c>
      <c r="N460" s="5">
        <v>100</v>
      </c>
      <c r="O460" s="2">
        <v>0.61248927754249083</v>
      </c>
      <c r="P460" s="2">
        <v>0.49451688572406677</v>
      </c>
      <c r="Q460" s="2">
        <v>0.11765804346823246</v>
      </c>
      <c r="R460" s="2">
        <v>9.6510900380843728E-2</v>
      </c>
    </row>
    <row r="461" spans="1:18" x14ac:dyDescent="0.3">
      <c r="A461" s="7">
        <v>391</v>
      </c>
      <c r="B461" s="7">
        <v>73</v>
      </c>
      <c r="C461" s="7">
        <v>0</v>
      </c>
      <c r="D461" s="7">
        <v>0</v>
      </c>
      <c r="E461" s="20" t="str">
        <f t="shared" si="7"/>
        <v>00</v>
      </c>
      <c r="F461" s="21">
        <v>1.1349054863633901</v>
      </c>
      <c r="G461" s="4">
        <v>0.27300000000000002</v>
      </c>
      <c r="H461" s="4">
        <v>0.248953974895398</v>
      </c>
      <c r="I461" s="4">
        <v>0.13100000000000001</v>
      </c>
      <c r="J461" s="4">
        <v>0.155</v>
      </c>
      <c r="K461" s="5">
        <v>100</v>
      </c>
      <c r="L461" s="5">
        <v>100</v>
      </c>
      <c r="M461" s="5">
        <v>100</v>
      </c>
      <c r="N461" s="5">
        <v>100</v>
      </c>
      <c r="O461" s="2">
        <v>0.31882880144861769</v>
      </c>
      <c r="P461" s="2">
        <v>0.28628834400317771</v>
      </c>
      <c r="Q461" s="2">
        <v>0.14041215371674501</v>
      </c>
      <c r="R461" s="2">
        <v>0.16841865162496325</v>
      </c>
    </row>
    <row r="462" spans="1:18" x14ac:dyDescent="0.3">
      <c r="A462" s="7">
        <v>878</v>
      </c>
      <c r="B462" s="7">
        <v>73</v>
      </c>
      <c r="C462" s="7">
        <v>0</v>
      </c>
      <c r="D462" s="7">
        <v>0</v>
      </c>
      <c r="E462" s="20" t="str">
        <f t="shared" si="7"/>
        <v>00</v>
      </c>
      <c r="F462" s="21">
        <v>1.1458364412578299</v>
      </c>
      <c r="G462" s="4">
        <v>0.255</v>
      </c>
      <c r="H462" s="4">
        <v>0.25661914460285101</v>
      </c>
      <c r="I462" s="4">
        <v>8.6999999999999994E-2</v>
      </c>
      <c r="J462" s="4">
        <v>8.8999999999999996E-2</v>
      </c>
      <c r="K462" s="5">
        <v>100</v>
      </c>
      <c r="L462" s="5">
        <v>100</v>
      </c>
      <c r="M462" s="5">
        <v>100</v>
      </c>
      <c r="N462" s="5">
        <v>100</v>
      </c>
      <c r="O462" s="2">
        <v>0.29437106060257756</v>
      </c>
      <c r="P462" s="2">
        <v>0.29654677421202857</v>
      </c>
      <c r="Q462" s="2">
        <v>9.1019398387168549E-2</v>
      </c>
      <c r="R462" s="2">
        <v>9.3212381722178703E-2</v>
      </c>
    </row>
    <row r="463" spans="1:18" x14ac:dyDescent="0.3">
      <c r="A463" s="7">
        <v>937</v>
      </c>
      <c r="B463" s="7">
        <v>84</v>
      </c>
      <c r="C463" s="7">
        <v>0</v>
      </c>
      <c r="D463" s="7">
        <v>0</v>
      </c>
      <c r="E463" s="20" t="str">
        <f t="shared" si="7"/>
        <v>00</v>
      </c>
      <c r="F463" s="21">
        <v>1.1536996113787401</v>
      </c>
      <c r="G463" s="4">
        <v>0.38800000000000001</v>
      </c>
      <c r="H463" s="4">
        <v>0.35698924731182802</v>
      </c>
      <c r="I463" s="4">
        <v>0.92200000000000004</v>
      </c>
      <c r="J463" s="4">
        <v>0.86899999999999999</v>
      </c>
      <c r="K463" s="5">
        <v>100</v>
      </c>
      <c r="L463" s="5">
        <v>100</v>
      </c>
      <c r="M463" s="5">
        <v>0</v>
      </c>
      <c r="N463" s="5">
        <v>0</v>
      </c>
      <c r="O463" s="2">
        <v>0.49102299646981101</v>
      </c>
      <c r="P463" s="2">
        <v>0.44159383219666998</v>
      </c>
      <c r="Q463" s="2">
        <v>2.551046452292546</v>
      </c>
      <c r="R463" s="2">
        <v>2.0325579557809856</v>
      </c>
    </row>
    <row r="464" spans="1:18" x14ac:dyDescent="0.3">
      <c r="A464" s="7">
        <v>780</v>
      </c>
      <c r="B464" s="7">
        <v>185</v>
      </c>
      <c r="C464" s="7">
        <v>0</v>
      </c>
      <c r="D464" s="7">
        <v>0</v>
      </c>
      <c r="E464" s="20" t="str">
        <f t="shared" si="7"/>
        <v>00</v>
      </c>
      <c r="F464" s="21">
        <v>1.15672663049376</v>
      </c>
      <c r="G464" s="4">
        <v>0.28000000000000003</v>
      </c>
      <c r="H464" s="4">
        <v>0.18655097613882901</v>
      </c>
      <c r="I464" s="4">
        <v>8.7999999999999995E-2</v>
      </c>
      <c r="J464" s="4">
        <v>7.0999999999999994E-2</v>
      </c>
      <c r="K464" s="5">
        <v>100</v>
      </c>
      <c r="L464" s="5">
        <v>100</v>
      </c>
      <c r="M464" s="5">
        <v>100</v>
      </c>
      <c r="N464" s="5">
        <v>100</v>
      </c>
      <c r="O464" s="2">
        <v>0.3285040669720361</v>
      </c>
      <c r="P464" s="2">
        <v>0.20647201702623813</v>
      </c>
      <c r="Q464" s="2">
        <v>9.2115288907805626E-2</v>
      </c>
      <c r="R464" s="2">
        <v>7.3646540168298483E-2</v>
      </c>
    </row>
    <row r="465" spans="1:18" x14ac:dyDescent="0.3">
      <c r="A465" s="7">
        <v>204</v>
      </c>
      <c r="B465" s="7">
        <v>61</v>
      </c>
      <c r="C465" s="7">
        <v>0</v>
      </c>
      <c r="D465" s="7">
        <v>0</v>
      </c>
      <c r="E465" s="20" t="str">
        <f t="shared" si="7"/>
        <v>00</v>
      </c>
      <c r="F465" s="21">
        <v>1.19103749814334</v>
      </c>
      <c r="G465" s="4">
        <v>0.55600000000000005</v>
      </c>
      <c r="H465" s="4">
        <v>0.39410187667560298</v>
      </c>
      <c r="I465" s="4">
        <v>0.96299999999999997</v>
      </c>
      <c r="J465" s="4">
        <v>0.90500000000000003</v>
      </c>
      <c r="K465" s="5">
        <v>0</v>
      </c>
      <c r="L465" s="5">
        <v>100</v>
      </c>
      <c r="M465" s="5">
        <v>0</v>
      </c>
      <c r="N465" s="5">
        <v>0</v>
      </c>
      <c r="O465" s="2">
        <v>0.81193071654991245</v>
      </c>
      <c r="P465" s="2">
        <v>0.50104342037152938</v>
      </c>
      <c r="Q465" s="2">
        <v>3.2968373663379116</v>
      </c>
      <c r="R465" s="2">
        <v>2.3538783873815965</v>
      </c>
    </row>
    <row r="466" spans="1:18" x14ac:dyDescent="0.3">
      <c r="A466" s="7">
        <v>321</v>
      </c>
      <c r="B466" s="7">
        <v>61</v>
      </c>
      <c r="C466" s="7">
        <v>0</v>
      </c>
      <c r="D466" s="7">
        <v>0</v>
      </c>
      <c r="E466" s="20" t="str">
        <f t="shared" si="7"/>
        <v>00</v>
      </c>
      <c r="F466" s="21">
        <v>1.1914640527979301</v>
      </c>
      <c r="G466" s="4">
        <v>0.39100000000000001</v>
      </c>
      <c r="H466" s="4">
        <v>0.31625835189309598</v>
      </c>
      <c r="I466" s="4">
        <v>0.14399999999999999</v>
      </c>
      <c r="J466" s="4">
        <v>0.13</v>
      </c>
      <c r="K466" s="5">
        <v>100</v>
      </c>
      <c r="L466" s="5">
        <v>100</v>
      </c>
      <c r="M466" s="5">
        <v>100</v>
      </c>
      <c r="N466" s="5">
        <v>100</v>
      </c>
      <c r="O466" s="2">
        <v>0.49593701127224005</v>
      </c>
      <c r="P466" s="2">
        <v>0.38017514015505738</v>
      </c>
      <c r="Q466" s="2">
        <v>0.15548490284039498</v>
      </c>
      <c r="R466" s="2">
        <v>0.13926206733350766</v>
      </c>
    </row>
    <row r="467" spans="1:18" x14ac:dyDescent="0.3">
      <c r="A467" s="7">
        <v>817</v>
      </c>
      <c r="B467" s="7">
        <v>74</v>
      </c>
      <c r="C467" s="7">
        <v>0</v>
      </c>
      <c r="D467" s="7">
        <v>0</v>
      </c>
      <c r="E467" s="20" t="str">
        <f t="shared" si="7"/>
        <v>00</v>
      </c>
      <c r="F467" s="21">
        <v>1.19845257531248</v>
      </c>
      <c r="G467" s="4">
        <v>0.26300000000000001</v>
      </c>
      <c r="H467" s="4">
        <v>0.19527896995708199</v>
      </c>
      <c r="I467" s="4">
        <v>6.4000000000000001E-2</v>
      </c>
      <c r="J467" s="4">
        <v>7.2999999999999995E-2</v>
      </c>
      <c r="K467" s="5">
        <v>100</v>
      </c>
      <c r="L467" s="5">
        <v>100</v>
      </c>
      <c r="M467" s="5">
        <v>100</v>
      </c>
      <c r="N467" s="5">
        <v>100</v>
      </c>
      <c r="O467" s="2">
        <v>0.30516738679280048</v>
      </c>
      <c r="P467" s="2">
        <v>0.21725960815523568</v>
      </c>
      <c r="Q467" s="2">
        <v>6.613980250454507E-2</v>
      </c>
      <c r="R467" s="2">
        <v>7.5801713416281849E-2</v>
      </c>
    </row>
    <row r="468" spans="1:18" x14ac:dyDescent="0.3">
      <c r="A468" s="7">
        <v>47</v>
      </c>
      <c r="B468" s="7">
        <v>69</v>
      </c>
      <c r="C468" s="7">
        <v>0</v>
      </c>
      <c r="D468" s="7">
        <v>0</v>
      </c>
      <c r="E468" s="20" t="str">
        <f t="shared" si="7"/>
        <v>00</v>
      </c>
      <c r="F468" s="21">
        <v>1.1987978765484699</v>
      </c>
      <c r="G468" s="4">
        <v>0.28699999999999998</v>
      </c>
      <c r="H468" s="4">
        <v>0.24839400428265501</v>
      </c>
      <c r="I468" s="4">
        <v>0.113</v>
      </c>
      <c r="J468" s="4">
        <v>8.6999999999999994E-2</v>
      </c>
      <c r="K468" s="5">
        <v>100</v>
      </c>
      <c r="L468" s="5">
        <v>100</v>
      </c>
      <c r="M468" s="5">
        <v>100</v>
      </c>
      <c r="N468" s="5">
        <v>100</v>
      </c>
      <c r="O468" s="2">
        <v>0.33827385856784098</v>
      </c>
      <c r="P468" s="2">
        <v>0.28554303420303118</v>
      </c>
      <c r="Q468" s="2">
        <v>0.11991029667255755</v>
      </c>
      <c r="R468" s="2">
        <v>9.1019398387168549E-2</v>
      </c>
    </row>
    <row r="469" spans="1:18" x14ac:dyDescent="0.3">
      <c r="A469" s="7">
        <v>501</v>
      </c>
      <c r="B469" s="7">
        <v>58</v>
      </c>
      <c r="C469" s="7">
        <v>0</v>
      </c>
      <c r="D469" s="7">
        <v>0</v>
      </c>
      <c r="E469" s="20" t="str">
        <f t="shared" si="7"/>
        <v>00</v>
      </c>
      <c r="F469" s="21">
        <v>1.2066970722177699</v>
      </c>
      <c r="G469" s="4">
        <v>0.40100000000000002</v>
      </c>
      <c r="H469" s="4">
        <v>0.34279475982532798</v>
      </c>
      <c r="I469" s="4">
        <v>8.6999999999999994E-2</v>
      </c>
      <c r="J469" s="4">
        <v>0.09</v>
      </c>
      <c r="K469" s="5">
        <v>100</v>
      </c>
      <c r="L469" s="5">
        <v>100</v>
      </c>
      <c r="M469" s="5">
        <v>100</v>
      </c>
      <c r="N469" s="5">
        <v>100</v>
      </c>
      <c r="O469" s="2">
        <v>0.51249368086668778</v>
      </c>
      <c r="P469" s="2">
        <v>0.41975891936531001</v>
      </c>
      <c r="Q469" s="2">
        <v>9.1019398387168549E-2</v>
      </c>
      <c r="R469" s="2">
        <v>9.431067947124129E-2</v>
      </c>
    </row>
    <row r="470" spans="1:18" x14ac:dyDescent="0.3">
      <c r="A470" s="7">
        <v>437</v>
      </c>
      <c r="B470" s="7">
        <v>65</v>
      </c>
      <c r="C470" s="7">
        <v>0</v>
      </c>
      <c r="D470" s="7">
        <v>0</v>
      </c>
      <c r="E470" s="20" t="str">
        <f t="shared" si="7"/>
        <v>00</v>
      </c>
      <c r="F470" s="21">
        <v>1.2122831257381801</v>
      </c>
      <c r="G470" s="4">
        <v>0.312</v>
      </c>
      <c r="H470" s="4">
        <v>0.28008752735229803</v>
      </c>
      <c r="I470" s="4">
        <v>8.2000000000000003E-2</v>
      </c>
      <c r="J470" s="4">
        <v>8.2000000000000003E-2</v>
      </c>
      <c r="K470" s="5">
        <v>100</v>
      </c>
      <c r="L470" s="5">
        <v>100</v>
      </c>
      <c r="M470" s="5">
        <v>100</v>
      </c>
      <c r="N470" s="5">
        <v>100</v>
      </c>
      <c r="O470" s="2">
        <v>0.37396644104879345</v>
      </c>
      <c r="P470" s="2">
        <v>0.32862564012883339</v>
      </c>
      <c r="Q470" s="2">
        <v>8.5557888361646545E-2</v>
      </c>
      <c r="R470" s="2">
        <v>8.5557888361646545E-2</v>
      </c>
    </row>
    <row r="471" spans="1:18" x14ac:dyDescent="0.3">
      <c r="A471" s="7">
        <v>831</v>
      </c>
      <c r="B471" s="7">
        <v>183</v>
      </c>
      <c r="C471" s="7">
        <v>0</v>
      </c>
      <c r="D471" s="7">
        <v>0</v>
      </c>
      <c r="E471" s="20" t="str">
        <f t="shared" si="7"/>
        <v>00</v>
      </c>
      <c r="F471" s="21">
        <v>1.22413349036428</v>
      </c>
      <c r="G471" s="4">
        <v>0.39800000000000002</v>
      </c>
      <c r="H471" s="4">
        <v>0.27093596059113301</v>
      </c>
      <c r="I471" s="4">
        <v>0.08</v>
      </c>
      <c r="J471" s="4">
        <v>9.0999999999999998E-2</v>
      </c>
      <c r="K471" s="5">
        <v>100</v>
      </c>
      <c r="L471" s="5">
        <v>100</v>
      </c>
      <c r="M471" s="5">
        <v>100</v>
      </c>
      <c r="N471" s="5">
        <v>100</v>
      </c>
      <c r="O471" s="2">
        <v>0.50749783367331602</v>
      </c>
      <c r="P471" s="2">
        <v>0.31599370527767229</v>
      </c>
      <c r="Q471" s="2">
        <v>8.3381608939051013E-2</v>
      </c>
      <c r="R471" s="2">
        <v>9.5410184804658182E-2</v>
      </c>
    </row>
    <row r="472" spans="1:18" x14ac:dyDescent="0.3">
      <c r="A472" s="7">
        <v>361</v>
      </c>
      <c r="B472" s="7">
        <v>62</v>
      </c>
      <c r="C472" s="7">
        <v>0</v>
      </c>
      <c r="D472" s="7">
        <v>0</v>
      </c>
      <c r="E472" s="20" t="str">
        <f t="shared" si="7"/>
        <v>00</v>
      </c>
      <c r="F472" s="21">
        <v>1.24746365363235</v>
      </c>
      <c r="G472" s="4">
        <v>0.25</v>
      </c>
      <c r="H472" s="4">
        <v>0.198689956331878</v>
      </c>
      <c r="I472" s="4">
        <v>9.5000000000000001E-2</v>
      </c>
      <c r="J472" s="4">
        <v>0.106</v>
      </c>
      <c r="K472" s="5">
        <v>100</v>
      </c>
      <c r="L472" s="5">
        <v>100</v>
      </c>
      <c r="M472" s="5">
        <v>100</v>
      </c>
      <c r="N472" s="5">
        <v>100</v>
      </c>
      <c r="O472" s="2">
        <v>0.2876820724517809</v>
      </c>
      <c r="P472" s="2">
        <v>0.22150733605961506</v>
      </c>
      <c r="Q472" s="2">
        <v>9.9820335282210904E-2</v>
      </c>
      <c r="R472" s="2">
        <v>0.11204950380862289</v>
      </c>
    </row>
    <row r="473" spans="1:18" x14ac:dyDescent="0.3">
      <c r="A473" s="7">
        <v>943</v>
      </c>
      <c r="B473" s="7">
        <v>51</v>
      </c>
      <c r="C473" s="7">
        <v>0</v>
      </c>
      <c r="D473" s="7">
        <v>0</v>
      </c>
      <c r="E473" s="20" t="str">
        <f t="shared" si="7"/>
        <v>00</v>
      </c>
      <c r="F473" s="21">
        <v>1.2583377206567401</v>
      </c>
      <c r="G473" s="4">
        <v>0.26500000000000001</v>
      </c>
      <c r="H473" s="4">
        <v>0.23628691983122399</v>
      </c>
      <c r="I473" s="4">
        <v>8.5999999999999993E-2</v>
      </c>
      <c r="J473" s="4">
        <v>7.1999999999999995E-2</v>
      </c>
      <c r="K473" s="5">
        <v>100</v>
      </c>
      <c r="L473" s="5">
        <v>100</v>
      </c>
      <c r="M473" s="5">
        <v>100</v>
      </c>
      <c r="N473" s="5">
        <v>100</v>
      </c>
      <c r="O473" s="2">
        <v>0.3078847797693004</v>
      </c>
      <c r="P473" s="2">
        <v>0.26956310986930587</v>
      </c>
      <c r="Q473" s="2">
        <v>8.9924707527987008E-2</v>
      </c>
      <c r="R473" s="2">
        <v>7.4723546195936422E-2</v>
      </c>
    </row>
    <row r="474" spans="1:18" x14ac:dyDescent="0.3">
      <c r="A474" s="7">
        <v>333</v>
      </c>
      <c r="B474" s="7">
        <v>107</v>
      </c>
      <c r="C474" s="7">
        <v>0</v>
      </c>
      <c r="D474" s="7">
        <v>0</v>
      </c>
      <c r="E474" s="20" t="str">
        <f t="shared" si="7"/>
        <v>00</v>
      </c>
      <c r="F474" s="21">
        <v>1.2586607270819301</v>
      </c>
      <c r="G474" s="4">
        <v>0.26800000000000002</v>
      </c>
      <c r="H474" s="4">
        <v>0.21459227467811201</v>
      </c>
      <c r="I474" s="4">
        <v>8.8999999999999996E-2</v>
      </c>
      <c r="J474" s="4">
        <v>9.4E-2</v>
      </c>
      <c r="K474" s="5">
        <v>100</v>
      </c>
      <c r="L474" s="5">
        <v>100</v>
      </c>
      <c r="M474" s="5">
        <v>100</v>
      </c>
      <c r="N474" s="5">
        <v>100</v>
      </c>
      <c r="O474" s="2">
        <v>0.3119747650208255</v>
      </c>
      <c r="P474" s="2">
        <v>0.24155230072428019</v>
      </c>
      <c r="Q474" s="2">
        <v>9.3212381722178703E-2</v>
      </c>
      <c r="R474" s="2">
        <v>9.8715972939157695E-2</v>
      </c>
    </row>
    <row r="475" spans="1:18" x14ac:dyDescent="0.3">
      <c r="A475" s="7">
        <v>105</v>
      </c>
      <c r="B475" s="7">
        <v>46</v>
      </c>
      <c r="C475" s="7">
        <v>0</v>
      </c>
      <c r="D475" s="7">
        <v>0</v>
      </c>
      <c r="E475" s="20" t="str">
        <f t="shared" si="7"/>
        <v>00</v>
      </c>
      <c r="F475" s="21">
        <v>1.2617020960071901</v>
      </c>
      <c r="G475" s="4">
        <v>0.41799999999999998</v>
      </c>
      <c r="H475" s="4">
        <v>0.31455399061032902</v>
      </c>
      <c r="I475" s="4">
        <v>6.9000000000000006E-2</v>
      </c>
      <c r="J475" s="4">
        <v>0.1</v>
      </c>
      <c r="K475" s="5">
        <v>100</v>
      </c>
      <c r="L475" s="5">
        <v>100</v>
      </c>
      <c r="M475" s="5">
        <v>100</v>
      </c>
      <c r="N475" s="5">
        <v>100</v>
      </c>
      <c r="O475" s="2">
        <v>0.54128483125069915</v>
      </c>
      <c r="P475" s="2">
        <v>0.37768554400108917</v>
      </c>
      <c r="Q475" s="2">
        <v>7.1496001705069923E-2</v>
      </c>
      <c r="R475" s="2">
        <v>0.10536051565782628</v>
      </c>
    </row>
    <row r="476" spans="1:18" x14ac:dyDescent="0.3">
      <c r="A476" s="7">
        <v>212</v>
      </c>
      <c r="B476" s="7">
        <v>68</v>
      </c>
      <c r="C476" s="7">
        <v>0</v>
      </c>
      <c r="D476" s="7">
        <v>0</v>
      </c>
      <c r="E476" s="20" t="str">
        <f t="shared" si="7"/>
        <v>00</v>
      </c>
      <c r="F476" s="21">
        <v>1.26241104773543</v>
      </c>
      <c r="G476" s="4">
        <v>0.4</v>
      </c>
      <c r="H476" s="4">
        <v>0.31346578366445899</v>
      </c>
      <c r="I476" s="4">
        <v>0.13100000000000001</v>
      </c>
      <c r="J476" s="4">
        <v>0.11700000000000001</v>
      </c>
      <c r="K476" s="5">
        <v>100</v>
      </c>
      <c r="L476" s="5">
        <v>100</v>
      </c>
      <c r="M476" s="5">
        <v>100</v>
      </c>
      <c r="N476" s="5">
        <v>100</v>
      </c>
      <c r="O476" s="2">
        <v>0.51082562376599072</v>
      </c>
      <c r="P476" s="2">
        <v>0.37609921330379964</v>
      </c>
      <c r="Q476" s="2">
        <v>0.14041215371674501</v>
      </c>
      <c r="R476" s="2">
        <v>0.12443007837817703</v>
      </c>
    </row>
    <row r="477" spans="1:18" x14ac:dyDescent="0.3">
      <c r="A477" s="7">
        <v>514</v>
      </c>
      <c r="B477" s="7">
        <v>88</v>
      </c>
      <c r="C477" s="7">
        <v>0</v>
      </c>
      <c r="D477" s="7">
        <v>0</v>
      </c>
      <c r="E477" s="20" t="str">
        <f t="shared" si="7"/>
        <v>00</v>
      </c>
      <c r="F477" s="21">
        <v>1.2689553126829001</v>
      </c>
      <c r="G477" s="4">
        <v>0.47799999999999998</v>
      </c>
      <c r="H477" s="4">
        <v>0.35025380710659898</v>
      </c>
      <c r="I477" s="4">
        <v>0.13400000000000001</v>
      </c>
      <c r="J477" s="4">
        <v>0.127</v>
      </c>
      <c r="K477" s="5">
        <v>100</v>
      </c>
      <c r="L477" s="5">
        <v>100</v>
      </c>
      <c r="M477" s="5">
        <v>100</v>
      </c>
      <c r="N477" s="5">
        <v>100</v>
      </c>
      <c r="O477" s="2">
        <v>0.65008769109949827</v>
      </c>
      <c r="P477" s="2">
        <v>0.43117346481837143</v>
      </c>
      <c r="Q477" s="2">
        <v>0.14387037041970191</v>
      </c>
      <c r="R477" s="2">
        <v>0.13581972314253485</v>
      </c>
    </row>
    <row r="478" spans="1:18" x14ac:dyDescent="0.3">
      <c r="A478" s="7">
        <v>967</v>
      </c>
      <c r="B478" s="7">
        <v>75</v>
      </c>
      <c r="C478" s="7">
        <v>0</v>
      </c>
      <c r="D478" s="7">
        <v>0</v>
      </c>
      <c r="E478" s="20" t="str">
        <f t="shared" si="7"/>
        <v>00</v>
      </c>
      <c r="F478" s="21">
        <v>1.27091521635212</v>
      </c>
      <c r="G478" s="4">
        <v>0.39</v>
      </c>
      <c r="H478" s="4">
        <v>0.35555555555555601</v>
      </c>
      <c r="I478" s="4">
        <v>8.5999999999999993E-2</v>
      </c>
      <c r="J478" s="4">
        <v>9.4E-2</v>
      </c>
      <c r="K478" s="5">
        <v>100</v>
      </c>
      <c r="L478" s="5">
        <v>100</v>
      </c>
      <c r="M478" s="5">
        <v>100</v>
      </c>
      <c r="N478" s="5">
        <v>100</v>
      </c>
      <c r="O478" s="2">
        <v>0.49429632181478012</v>
      </c>
      <c r="P478" s="2">
        <v>0.43936665978384654</v>
      </c>
      <c r="Q478" s="2">
        <v>8.9924707527987008E-2</v>
      </c>
      <c r="R478" s="2">
        <v>9.8715972939157695E-2</v>
      </c>
    </row>
    <row r="479" spans="1:18" x14ac:dyDescent="0.3">
      <c r="A479" s="7">
        <v>546</v>
      </c>
      <c r="B479" s="7">
        <v>418</v>
      </c>
      <c r="C479" s="7">
        <v>0</v>
      </c>
      <c r="D479" s="7">
        <v>0</v>
      </c>
      <c r="E479" s="20" t="str">
        <f t="shared" si="7"/>
        <v>00</v>
      </c>
      <c r="F479" s="21">
        <v>1.2826577155041201</v>
      </c>
      <c r="G479" s="4">
        <v>0.57099999999999995</v>
      </c>
      <c r="H479" s="4">
        <v>0.35362318840579698</v>
      </c>
      <c r="I479" s="4">
        <v>9.1999999999999998E-2</v>
      </c>
      <c r="J479" s="4">
        <v>8.5000000000000006E-2</v>
      </c>
      <c r="K479" s="5">
        <v>0</v>
      </c>
      <c r="L479" s="5">
        <v>100</v>
      </c>
      <c r="M479" s="5">
        <v>100</v>
      </c>
      <c r="N479" s="5">
        <v>100</v>
      </c>
      <c r="O479" s="2">
        <v>0.84629836005411996</v>
      </c>
      <c r="P479" s="2">
        <v>0.43637264557124084</v>
      </c>
      <c r="Q479" s="2">
        <v>9.6510900380843728E-2</v>
      </c>
      <c r="R479" s="2">
        <v>8.8831213706615703E-2</v>
      </c>
    </row>
    <row r="480" spans="1:18" x14ac:dyDescent="0.3">
      <c r="A480" s="7">
        <v>509</v>
      </c>
      <c r="B480" s="7">
        <v>43</v>
      </c>
      <c r="C480" s="7">
        <v>0</v>
      </c>
      <c r="D480" s="7">
        <v>0</v>
      </c>
      <c r="E480" s="20" t="str">
        <f t="shared" si="7"/>
        <v>00</v>
      </c>
      <c r="F480" s="21">
        <v>1.29347119115927</v>
      </c>
      <c r="G480" s="4">
        <v>0.42899999999999999</v>
      </c>
      <c r="H480" s="4">
        <v>0.339622641509434</v>
      </c>
      <c r="I480" s="4">
        <v>0.104</v>
      </c>
      <c r="J480" s="4">
        <v>9.8000000000000004E-2</v>
      </c>
      <c r="K480" s="5">
        <v>100</v>
      </c>
      <c r="L480" s="5">
        <v>100</v>
      </c>
      <c r="M480" s="5">
        <v>100</v>
      </c>
      <c r="N480" s="5">
        <v>100</v>
      </c>
      <c r="O480" s="2">
        <v>0.56036606932612687</v>
      </c>
      <c r="P480" s="2">
        <v>0.41494385206270823</v>
      </c>
      <c r="Q480" s="2">
        <v>0.10981486600720657</v>
      </c>
      <c r="R480" s="2">
        <v>0.10314075891951337</v>
      </c>
    </row>
    <row r="481" spans="1:18" x14ac:dyDescent="0.3">
      <c r="A481" s="7">
        <v>387</v>
      </c>
      <c r="B481" s="7">
        <v>51</v>
      </c>
      <c r="C481" s="7">
        <v>0</v>
      </c>
      <c r="D481" s="7">
        <v>0</v>
      </c>
      <c r="E481" s="20" t="str">
        <f t="shared" si="7"/>
        <v>00</v>
      </c>
      <c r="F481" s="21">
        <v>1.3006577493004401</v>
      </c>
      <c r="G481" s="4">
        <v>0.37</v>
      </c>
      <c r="H481" s="4">
        <v>0.25</v>
      </c>
      <c r="I481" s="4">
        <v>7.2999999999999995E-2</v>
      </c>
      <c r="J481" s="4">
        <v>7.9000000000000001E-2</v>
      </c>
      <c r="K481" s="5">
        <v>100</v>
      </c>
      <c r="L481" s="5">
        <v>100</v>
      </c>
      <c r="M481" s="5">
        <v>100</v>
      </c>
      <c r="N481" s="5">
        <v>100</v>
      </c>
      <c r="O481" s="2">
        <v>0.46203545959655867</v>
      </c>
      <c r="P481" s="2">
        <v>0.2876820724517809</v>
      </c>
      <c r="Q481" s="2">
        <v>7.5801713416281849E-2</v>
      </c>
      <c r="R481" s="2">
        <v>8.2295242726830156E-2</v>
      </c>
    </row>
    <row r="482" spans="1:18" x14ac:dyDescent="0.3">
      <c r="A482" s="7">
        <v>489</v>
      </c>
      <c r="B482" s="7">
        <v>147</v>
      </c>
      <c r="C482" s="7">
        <v>0</v>
      </c>
      <c r="D482" s="7">
        <v>0</v>
      </c>
      <c r="E482" s="20" t="str">
        <f t="shared" si="7"/>
        <v>00</v>
      </c>
      <c r="F482" s="21">
        <v>1.3139834392419401</v>
      </c>
      <c r="G482" s="4">
        <v>0.26700000000000002</v>
      </c>
      <c r="H482" s="4">
        <v>0.255186721991701</v>
      </c>
      <c r="I482" s="4">
        <v>0.108</v>
      </c>
      <c r="J482" s="4">
        <v>9.8000000000000004E-2</v>
      </c>
      <c r="K482" s="5">
        <v>100</v>
      </c>
      <c r="L482" s="5">
        <v>100</v>
      </c>
      <c r="M482" s="5">
        <v>100</v>
      </c>
      <c r="N482" s="5">
        <v>100</v>
      </c>
      <c r="O482" s="2">
        <v>0.31060957709548559</v>
      </c>
      <c r="P482" s="2">
        <v>0.29462172556232114</v>
      </c>
      <c r="Q482" s="2">
        <v>0.11428914640212766</v>
      </c>
      <c r="R482" s="2">
        <v>0.10314075891951337</v>
      </c>
    </row>
    <row r="483" spans="1:18" x14ac:dyDescent="0.3">
      <c r="A483" s="7">
        <v>560</v>
      </c>
      <c r="B483" s="7">
        <v>54</v>
      </c>
      <c r="C483" s="7">
        <v>0</v>
      </c>
      <c r="D483" s="7">
        <v>0</v>
      </c>
      <c r="E483" s="20" t="str">
        <f t="shared" si="7"/>
        <v>00</v>
      </c>
      <c r="F483" s="21">
        <v>1.3561981728616599</v>
      </c>
      <c r="G483" s="4">
        <v>0.35199999999999998</v>
      </c>
      <c r="H483" s="4">
        <v>0.30212765957446802</v>
      </c>
      <c r="I483" s="4">
        <v>8.7999999999999995E-2</v>
      </c>
      <c r="J483" s="4">
        <v>0.10199999999999999</v>
      </c>
      <c r="K483" s="5">
        <v>100</v>
      </c>
      <c r="L483" s="5">
        <v>100</v>
      </c>
      <c r="M483" s="5">
        <v>100</v>
      </c>
      <c r="N483" s="5">
        <v>100</v>
      </c>
      <c r="O483" s="2">
        <v>0.43386458262986233</v>
      </c>
      <c r="P483" s="2">
        <v>0.35971908631996036</v>
      </c>
      <c r="Q483" s="2">
        <v>9.2115288907805626E-2</v>
      </c>
      <c r="R483" s="2">
        <v>0.10758521067993743</v>
      </c>
    </row>
    <row r="484" spans="1:18" x14ac:dyDescent="0.3">
      <c r="A484" s="7">
        <v>966</v>
      </c>
      <c r="B484" s="7">
        <v>49</v>
      </c>
      <c r="C484" s="7">
        <v>0</v>
      </c>
      <c r="D484" s="7">
        <v>0</v>
      </c>
      <c r="E484" s="20" t="str">
        <f t="shared" si="7"/>
        <v>00</v>
      </c>
      <c r="F484" s="21">
        <v>1.3667032924548399</v>
      </c>
      <c r="G484" s="4">
        <v>0.61599999999999999</v>
      </c>
      <c r="H484" s="4">
        <v>0.51666666666666705</v>
      </c>
      <c r="I484" s="4">
        <v>0.76500000000000001</v>
      </c>
      <c r="J484" s="4">
        <v>0.71399999999999997</v>
      </c>
      <c r="K484" s="5">
        <v>0</v>
      </c>
      <c r="L484" s="5">
        <v>0</v>
      </c>
      <c r="M484" s="5">
        <v>0</v>
      </c>
      <c r="N484" s="5">
        <v>0</v>
      </c>
      <c r="O484" s="2">
        <v>0.95711272639441014</v>
      </c>
      <c r="P484" s="2">
        <v>0.72704873223562749</v>
      </c>
      <c r="Q484" s="2">
        <v>1.4481697648379781</v>
      </c>
      <c r="R484" s="2">
        <v>1.2517634681622845</v>
      </c>
    </row>
    <row r="485" spans="1:18" x14ac:dyDescent="0.3">
      <c r="A485" s="7">
        <v>518</v>
      </c>
      <c r="B485" s="7">
        <v>52</v>
      </c>
      <c r="C485" s="7">
        <v>0</v>
      </c>
      <c r="D485" s="7">
        <v>0</v>
      </c>
      <c r="E485" s="20" t="str">
        <f t="shared" si="7"/>
        <v>00</v>
      </c>
      <c r="F485" s="21">
        <v>1.3708199202479701</v>
      </c>
      <c r="G485" s="4">
        <v>0.27600000000000002</v>
      </c>
      <c r="H485" s="4">
        <v>0.25</v>
      </c>
      <c r="I485" s="4">
        <v>0.107</v>
      </c>
      <c r="J485" s="4">
        <v>0.108</v>
      </c>
      <c r="K485" s="5">
        <v>100</v>
      </c>
      <c r="L485" s="5">
        <v>100</v>
      </c>
      <c r="M485" s="5">
        <v>100</v>
      </c>
      <c r="N485" s="5">
        <v>100</v>
      </c>
      <c r="O485" s="2">
        <v>0.32296388659642072</v>
      </c>
      <c r="P485" s="2">
        <v>0.2876820724517809</v>
      </c>
      <c r="Q485" s="2">
        <v>0.11316869810563798</v>
      </c>
      <c r="R485" s="2">
        <v>0.11428914640212766</v>
      </c>
    </row>
    <row r="486" spans="1:18" x14ac:dyDescent="0.3">
      <c r="A486" s="7">
        <v>11</v>
      </c>
      <c r="B486" s="7">
        <v>44</v>
      </c>
      <c r="C486" s="7">
        <v>0</v>
      </c>
      <c r="D486" s="7">
        <v>0</v>
      </c>
      <c r="E486" s="20" t="str">
        <f t="shared" si="7"/>
        <v>00</v>
      </c>
      <c r="F486" s="21">
        <v>1.3776508680358499</v>
      </c>
      <c r="G486" s="4">
        <v>0.378</v>
      </c>
      <c r="H486" s="4">
        <v>0.36344537815125999</v>
      </c>
      <c r="I486" s="4">
        <v>0.11</v>
      </c>
      <c r="J486" s="4">
        <v>0.08</v>
      </c>
      <c r="K486" s="5">
        <v>100</v>
      </c>
      <c r="L486" s="5">
        <v>100</v>
      </c>
      <c r="M486" s="5">
        <v>100</v>
      </c>
      <c r="N486" s="5">
        <v>100</v>
      </c>
      <c r="O486" s="2">
        <v>0.4748151862429576</v>
      </c>
      <c r="P486" s="2">
        <v>0.45168504872205006</v>
      </c>
      <c r="Q486" s="2">
        <v>0.11653381625595151</v>
      </c>
      <c r="R486" s="2">
        <v>8.3381608939051013E-2</v>
      </c>
    </row>
    <row r="487" spans="1:18" x14ac:dyDescent="0.3">
      <c r="A487" s="7">
        <v>927</v>
      </c>
      <c r="B487" s="7">
        <v>60</v>
      </c>
      <c r="C487" s="7">
        <v>0</v>
      </c>
      <c r="D487" s="7">
        <v>0</v>
      </c>
      <c r="E487" s="20" t="str">
        <f t="shared" si="7"/>
        <v>00</v>
      </c>
      <c r="F487" s="21">
        <v>1.3834652119261099</v>
      </c>
      <c r="G487" s="4">
        <v>0.311</v>
      </c>
      <c r="H487" s="4">
        <v>0.27542372881355898</v>
      </c>
      <c r="I487" s="4">
        <v>9.1999999999999998E-2</v>
      </c>
      <c r="J487" s="4">
        <v>0.11899999999999999</v>
      </c>
      <c r="K487" s="5">
        <v>100</v>
      </c>
      <c r="L487" s="5">
        <v>100</v>
      </c>
      <c r="M487" s="5">
        <v>100</v>
      </c>
      <c r="N487" s="5">
        <v>100</v>
      </c>
      <c r="O487" s="2">
        <v>0.37251400796847839</v>
      </c>
      <c r="P487" s="2">
        <v>0.32216824852294984</v>
      </c>
      <c r="Q487" s="2">
        <v>9.6510900380843728E-2</v>
      </c>
      <c r="R487" s="2">
        <v>0.12669765304595754</v>
      </c>
    </row>
    <row r="488" spans="1:18" x14ac:dyDescent="0.3">
      <c r="A488" s="7">
        <v>179</v>
      </c>
      <c r="B488" s="7">
        <v>40</v>
      </c>
      <c r="C488" s="7">
        <v>0</v>
      </c>
      <c r="D488" s="7">
        <v>0</v>
      </c>
      <c r="E488" s="20" t="str">
        <f t="shared" si="7"/>
        <v>00</v>
      </c>
      <c r="F488" s="21">
        <v>1.40170339706736</v>
      </c>
      <c r="G488" s="4">
        <v>0.41699999999999998</v>
      </c>
      <c r="H488" s="4">
        <v>0.24570024570024601</v>
      </c>
      <c r="I488" s="4">
        <v>0.106</v>
      </c>
      <c r="J488" s="4">
        <v>0.122</v>
      </c>
      <c r="K488" s="5">
        <v>100</v>
      </c>
      <c r="L488" s="5">
        <v>100</v>
      </c>
      <c r="M488" s="5">
        <v>100</v>
      </c>
      <c r="N488" s="5">
        <v>100</v>
      </c>
      <c r="O488" s="2">
        <v>0.53956809263164474</v>
      </c>
      <c r="P488" s="2">
        <v>0.28196543785539818</v>
      </c>
      <c r="Q488" s="2">
        <v>0.11204950380862289</v>
      </c>
      <c r="R488" s="2">
        <v>0.13010868534702039</v>
      </c>
    </row>
    <row r="489" spans="1:18" x14ac:dyDescent="0.3">
      <c r="A489" s="7">
        <v>308</v>
      </c>
      <c r="B489" s="7">
        <v>52</v>
      </c>
      <c r="C489" s="7">
        <v>0</v>
      </c>
      <c r="D489" s="7">
        <v>0</v>
      </c>
      <c r="E489" s="20" t="str">
        <f t="shared" si="7"/>
        <v>00</v>
      </c>
      <c r="F489" s="21">
        <v>1.40500743860114</v>
      </c>
      <c r="G489" s="4">
        <v>0.46200000000000002</v>
      </c>
      <c r="H489" s="4">
        <v>0.38442822384428199</v>
      </c>
      <c r="I489" s="4">
        <v>0.114</v>
      </c>
      <c r="J489" s="4">
        <v>0.13400000000000001</v>
      </c>
      <c r="K489" s="5">
        <v>100</v>
      </c>
      <c r="L489" s="5">
        <v>100</v>
      </c>
      <c r="M489" s="5">
        <v>100</v>
      </c>
      <c r="N489" s="5">
        <v>100</v>
      </c>
      <c r="O489" s="2">
        <v>0.61989671882035258</v>
      </c>
      <c r="P489" s="2">
        <v>0.48520372576871396</v>
      </c>
      <c r="Q489" s="2">
        <v>0.1210383283770561</v>
      </c>
      <c r="R489" s="2">
        <v>0.14387037041970191</v>
      </c>
    </row>
    <row r="490" spans="1:18" x14ac:dyDescent="0.3">
      <c r="A490" s="7">
        <v>370</v>
      </c>
      <c r="B490" s="7">
        <v>76</v>
      </c>
      <c r="C490" s="7">
        <v>0</v>
      </c>
      <c r="D490" s="7">
        <v>0</v>
      </c>
      <c r="E490" s="20" t="str">
        <f t="shared" si="7"/>
        <v>00</v>
      </c>
      <c r="F490" s="21">
        <v>1.4233267423523901</v>
      </c>
      <c r="G490" s="4">
        <v>0.33600000000000002</v>
      </c>
      <c r="H490" s="4">
        <v>0.24888888888888899</v>
      </c>
      <c r="I490" s="4">
        <v>8.8999999999999996E-2</v>
      </c>
      <c r="J490" s="4">
        <v>0.123</v>
      </c>
      <c r="K490" s="5">
        <v>100</v>
      </c>
      <c r="L490" s="5">
        <v>100</v>
      </c>
      <c r="M490" s="5">
        <v>100</v>
      </c>
      <c r="N490" s="5">
        <v>100</v>
      </c>
      <c r="O490" s="2">
        <v>0.4094731295057033</v>
      </c>
      <c r="P490" s="2">
        <v>0.28620168728134671</v>
      </c>
      <c r="Q490" s="2">
        <v>9.3212381722178703E-2</v>
      </c>
      <c r="R490" s="2">
        <v>0.13124828660995402</v>
      </c>
    </row>
    <row r="491" spans="1:18" x14ac:dyDescent="0.3">
      <c r="A491" s="7">
        <v>928</v>
      </c>
      <c r="B491" s="7">
        <v>105</v>
      </c>
      <c r="C491" s="7">
        <v>0</v>
      </c>
      <c r="D491" s="7">
        <v>0</v>
      </c>
      <c r="E491" s="20" t="str">
        <f t="shared" si="7"/>
        <v>00</v>
      </c>
      <c r="F491" s="21">
        <v>1.4390123399938199</v>
      </c>
      <c r="G491" s="4">
        <v>0.30499999999999999</v>
      </c>
      <c r="H491" s="4">
        <v>0.27233115468409602</v>
      </c>
      <c r="I491" s="4">
        <v>8.3000000000000004E-2</v>
      </c>
      <c r="J491" s="4">
        <v>0.106</v>
      </c>
      <c r="K491" s="5">
        <v>100</v>
      </c>
      <c r="L491" s="5">
        <v>100</v>
      </c>
      <c r="M491" s="5">
        <v>100</v>
      </c>
      <c r="N491" s="5">
        <v>100</v>
      </c>
      <c r="O491" s="2">
        <v>0.36384343341734482</v>
      </c>
      <c r="P491" s="2">
        <v>0.31790921708384501</v>
      </c>
      <c r="Q491" s="2">
        <v>8.6647806725672169E-2</v>
      </c>
      <c r="R491" s="2">
        <v>0.11204950380862289</v>
      </c>
    </row>
    <row r="492" spans="1:18" x14ac:dyDescent="0.3">
      <c r="A492" s="7">
        <v>886</v>
      </c>
      <c r="B492" s="7">
        <v>37</v>
      </c>
      <c r="C492" s="7">
        <v>0</v>
      </c>
      <c r="D492" s="7">
        <v>0</v>
      </c>
      <c r="E492" s="20" t="str">
        <f t="shared" si="7"/>
        <v>00</v>
      </c>
      <c r="F492" s="21">
        <v>1.4404847381135999</v>
      </c>
      <c r="G492" s="4">
        <v>0.70299999999999996</v>
      </c>
      <c r="H492" s="4">
        <v>0.40769230769230802</v>
      </c>
      <c r="I492" s="4">
        <v>0.97399999999999998</v>
      </c>
      <c r="J492" s="4">
        <v>0.93500000000000005</v>
      </c>
      <c r="K492" s="5">
        <v>0</v>
      </c>
      <c r="L492" s="5">
        <v>100</v>
      </c>
      <c r="M492" s="5">
        <v>0</v>
      </c>
      <c r="N492" s="5">
        <v>0</v>
      </c>
      <c r="O492" s="2">
        <v>1.2140231401794372</v>
      </c>
      <c r="P492" s="2">
        <v>0.52372902860189907</v>
      </c>
      <c r="Q492" s="2">
        <v>3.6496587409606542</v>
      </c>
      <c r="R492" s="2">
        <v>2.7333680090865009</v>
      </c>
    </row>
    <row r="493" spans="1:18" x14ac:dyDescent="0.3">
      <c r="A493" s="7">
        <v>72</v>
      </c>
      <c r="B493" s="7">
        <v>45</v>
      </c>
      <c r="C493" s="7">
        <v>0</v>
      </c>
      <c r="D493" s="7">
        <v>0</v>
      </c>
      <c r="E493" s="20" t="str">
        <f t="shared" si="7"/>
        <v>00</v>
      </c>
      <c r="F493" s="21">
        <v>1.4422934011988799</v>
      </c>
      <c r="G493" s="4">
        <v>0.38</v>
      </c>
      <c r="H493" s="4">
        <v>0.31963470319634701</v>
      </c>
      <c r="I493" s="4">
        <v>0.13</v>
      </c>
      <c r="J493" s="4">
        <v>0.13400000000000001</v>
      </c>
      <c r="K493" s="5">
        <v>100</v>
      </c>
      <c r="L493" s="5">
        <v>100</v>
      </c>
      <c r="M493" s="5">
        <v>100</v>
      </c>
      <c r="N493" s="5">
        <v>100</v>
      </c>
      <c r="O493" s="2">
        <v>0.4780358009429998</v>
      </c>
      <c r="P493" s="2">
        <v>0.38512542387104165</v>
      </c>
      <c r="Q493" s="2">
        <v>0.13926206733350766</v>
      </c>
      <c r="R493" s="2">
        <v>0.14387037041970191</v>
      </c>
    </row>
    <row r="494" spans="1:18" x14ac:dyDescent="0.3">
      <c r="A494" s="7">
        <v>56</v>
      </c>
      <c r="B494" s="7">
        <v>100</v>
      </c>
      <c r="C494" s="7">
        <v>0</v>
      </c>
      <c r="D494" s="7">
        <v>0</v>
      </c>
      <c r="E494" s="20" t="str">
        <f t="shared" si="7"/>
        <v>00</v>
      </c>
      <c r="F494" s="21">
        <v>1.45735327798283</v>
      </c>
      <c r="G494" s="4">
        <v>0.63800000000000001</v>
      </c>
      <c r="H494" s="4">
        <v>0.55714285714285705</v>
      </c>
      <c r="I494" s="4">
        <v>0.09</v>
      </c>
      <c r="J494" s="4">
        <v>8.5999999999999993E-2</v>
      </c>
      <c r="K494" s="5">
        <v>0</v>
      </c>
      <c r="L494" s="5">
        <v>0</v>
      </c>
      <c r="M494" s="5">
        <v>100</v>
      </c>
      <c r="N494" s="5">
        <v>100</v>
      </c>
      <c r="O494" s="2">
        <v>1.016111067156366</v>
      </c>
      <c r="P494" s="2">
        <v>0.81450803756421253</v>
      </c>
      <c r="Q494" s="2">
        <v>9.431067947124129E-2</v>
      </c>
      <c r="R494" s="2">
        <v>8.9924707527987008E-2</v>
      </c>
    </row>
    <row r="495" spans="1:18" x14ac:dyDescent="0.3">
      <c r="A495" s="7">
        <v>661</v>
      </c>
      <c r="B495" s="7">
        <v>46</v>
      </c>
      <c r="C495" s="7">
        <v>0</v>
      </c>
      <c r="D495" s="7">
        <v>0</v>
      </c>
      <c r="E495" s="20" t="str">
        <f t="shared" si="7"/>
        <v>00</v>
      </c>
      <c r="F495" s="21">
        <v>1.47293768485306</v>
      </c>
      <c r="G495" s="4">
        <v>0.78900000000000003</v>
      </c>
      <c r="H495" s="4">
        <v>0.72051282051282095</v>
      </c>
      <c r="I495" s="4">
        <v>0.59099999999999997</v>
      </c>
      <c r="J495" s="4">
        <v>0.56399999999999995</v>
      </c>
      <c r="K495" s="5">
        <v>0</v>
      </c>
      <c r="L495" s="5">
        <v>0</v>
      </c>
      <c r="M495" s="5">
        <v>0</v>
      </c>
      <c r="N495" s="5">
        <v>0</v>
      </c>
      <c r="O495" s="2">
        <v>1.5558971455060706</v>
      </c>
      <c r="P495" s="2">
        <v>1.2747988568945501</v>
      </c>
      <c r="Q495" s="2">
        <v>0.89404012293933521</v>
      </c>
      <c r="R495" s="2">
        <v>0.83011303563310257</v>
      </c>
    </row>
    <row r="496" spans="1:18" x14ac:dyDescent="0.3">
      <c r="A496" s="7">
        <v>738</v>
      </c>
      <c r="B496" s="7">
        <v>214</v>
      </c>
      <c r="C496" s="7">
        <v>0</v>
      </c>
      <c r="D496" s="7">
        <v>0</v>
      </c>
      <c r="E496" s="20" t="str">
        <f t="shared" si="7"/>
        <v>00</v>
      </c>
      <c r="F496" s="21">
        <v>1.4767310652843899</v>
      </c>
      <c r="G496" s="4">
        <v>0.501</v>
      </c>
      <c r="H496" s="4">
        <v>0.37755102040816302</v>
      </c>
      <c r="I496" s="4">
        <v>0.154</v>
      </c>
      <c r="J496" s="4">
        <v>0.14399999999999999</v>
      </c>
      <c r="K496" s="5">
        <v>0</v>
      </c>
      <c r="L496" s="5">
        <v>100</v>
      </c>
      <c r="M496" s="5">
        <v>100</v>
      </c>
      <c r="N496" s="5">
        <v>100</v>
      </c>
      <c r="O496" s="2">
        <v>0.69514918323061836</v>
      </c>
      <c r="P496" s="2">
        <v>0.47409361449726029</v>
      </c>
      <c r="Q496" s="2">
        <v>0.16723591937591381</v>
      </c>
      <c r="R496" s="2">
        <v>0.15548490284039498</v>
      </c>
    </row>
    <row r="497" spans="1:18" x14ac:dyDescent="0.3">
      <c r="A497" s="7">
        <v>503</v>
      </c>
      <c r="B497" s="7">
        <v>177</v>
      </c>
      <c r="C497" s="7">
        <v>0</v>
      </c>
      <c r="D497" s="7">
        <v>0</v>
      </c>
      <c r="E497" s="20" t="str">
        <f t="shared" si="7"/>
        <v>00</v>
      </c>
      <c r="F497" s="21">
        <v>1.5014240689390601</v>
      </c>
      <c r="G497" s="4">
        <v>0.59499999999999997</v>
      </c>
      <c r="H497" s="4">
        <v>0.50473933649289104</v>
      </c>
      <c r="I497" s="4">
        <v>0.70499999999999996</v>
      </c>
      <c r="J497" s="4">
        <v>0.61899999999999999</v>
      </c>
      <c r="K497" s="5">
        <v>0</v>
      </c>
      <c r="L497" s="5">
        <v>0</v>
      </c>
      <c r="M497" s="5">
        <v>0</v>
      </c>
      <c r="N497" s="5">
        <v>0</v>
      </c>
      <c r="O497" s="2">
        <v>0.90386821187559785</v>
      </c>
      <c r="P497" s="2">
        <v>0.70267106207120089</v>
      </c>
      <c r="Q497" s="2">
        <v>1.2207799226423171</v>
      </c>
      <c r="R497" s="2">
        <v>0.96495590385543606</v>
      </c>
    </row>
    <row r="498" spans="1:18" x14ac:dyDescent="0.3">
      <c r="A498" s="7">
        <v>287</v>
      </c>
      <c r="B498" s="7">
        <v>50</v>
      </c>
      <c r="C498" s="7">
        <v>0</v>
      </c>
      <c r="D498" s="7">
        <v>0</v>
      </c>
      <c r="E498" s="20" t="str">
        <f t="shared" si="7"/>
        <v>00</v>
      </c>
      <c r="F498" s="21">
        <v>1.51167381588336</v>
      </c>
      <c r="G498" s="4">
        <v>0.25700000000000001</v>
      </c>
      <c r="H498" s="4">
        <v>0.23789473684210499</v>
      </c>
      <c r="I498" s="4">
        <v>0.11899999999999999</v>
      </c>
      <c r="J498" s="4">
        <v>0.109</v>
      </c>
      <c r="K498" s="5">
        <v>100</v>
      </c>
      <c r="L498" s="5">
        <v>100</v>
      </c>
      <c r="M498" s="5">
        <v>100</v>
      </c>
      <c r="N498" s="5">
        <v>100</v>
      </c>
      <c r="O498" s="2">
        <v>0.29705923426437791</v>
      </c>
      <c r="P498" s="2">
        <v>0.27167059220886974</v>
      </c>
      <c r="Q498" s="2">
        <v>0.12669765304595754</v>
      </c>
      <c r="R498" s="2">
        <v>0.11541085151132773</v>
      </c>
    </row>
    <row r="499" spans="1:18" x14ac:dyDescent="0.3">
      <c r="A499" s="7">
        <v>411</v>
      </c>
      <c r="B499" s="7">
        <v>38</v>
      </c>
      <c r="C499" s="7">
        <v>0</v>
      </c>
      <c r="D499" s="7">
        <v>0</v>
      </c>
      <c r="E499" s="20" t="str">
        <f t="shared" si="7"/>
        <v>00</v>
      </c>
      <c r="F499" s="21">
        <v>1.52895543811938</v>
      </c>
      <c r="G499" s="4">
        <v>0.28799999999999998</v>
      </c>
      <c r="H499" s="4">
        <v>0.238589211618257</v>
      </c>
      <c r="I499" s="4">
        <v>0.124</v>
      </c>
      <c r="J499" s="4">
        <v>0.10100000000000001</v>
      </c>
      <c r="K499" s="5">
        <v>100</v>
      </c>
      <c r="L499" s="5">
        <v>100</v>
      </c>
      <c r="M499" s="5">
        <v>100</v>
      </c>
      <c r="N499" s="5">
        <v>100</v>
      </c>
      <c r="O499" s="2">
        <v>0.33967736757016131</v>
      </c>
      <c r="P499" s="2">
        <v>0.27258226599602964</v>
      </c>
      <c r="Q499" s="2">
        <v>0.13238918804574562</v>
      </c>
      <c r="R499" s="2">
        <v>0.10647224451051676</v>
      </c>
    </row>
    <row r="500" spans="1:18" x14ac:dyDescent="0.3">
      <c r="A500" s="7">
        <v>753</v>
      </c>
      <c r="B500" s="7">
        <v>37</v>
      </c>
      <c r="C500" s="7">
        <v>0</v>
      </c>
      <c r="D500" s="7">
        <v>0</v>
      </c>
      <c r="E500" s="20" t="str">
        <f t="shared" si="7"/>
        <v>00</v>
      </c>
      <c r="F500" s="21">
        <v>1.5563227284584999</v>
      </c>
      <c r="G500" s="4">
        <v>0.439</v>
      </c>
      <c r="H500" s="4">
        <v>0.37878787878787901</v>
      </c>
      <c r="I500" s="4">
        <v>0.107</v>
      </c>
      <c r="J500" s="4">
        <v>0.113</v>
      </c>
      <c r="K500" s="5">
        <v>100</v>
      </c>
      <c r="L500" s="5">
        <v>100</v>
      </c>
      <c r="M500" s="5">
        <v>100</v>
      </c>
      <c r="N500" s="5">
        <v>100</v>
      </c>
      <c r="O500" s="2">
        <v>0.57803437345944086</v>
      </c>
      <c r="P500" s="2">
        <v>0.47608267532211812</v>
      </c>
      <c r="Q500" s="2">
        <v>0.11316869810563798</v>
      </c>
      <c r="R500" s="2">
        <v>0.11991029667255755</v>
      </c>
    </row>
    <row r="501" spans="1:18" x14ac:dyDescent="0.3">
      <c r="A501" s="7">
        <v>766</v>
      </c>
      <c r="B501" s="7">
        <v>27</v>
      </c>
      <c r="C501" s="7">
        <v>0</v>
      </c>
      <c r="D501" s="7">
        <v>0</v>
      </c>
      <c r="E501" s="20" t="str">
        <f t="shared" si="7"/>
        <v>00</v>
      </c>
      <c r="F501" s="21">
        <v>1.5862383271293601</v>
      </c>
      <c r="G501" s="4">
        <v>0.443</v>
      </c>
      <c r="H501" s="4">
        <v>0.32211538461538503</v>
      </c>
      <c r="I501" s="4">
        <v>0.11799999999999999</v>
      </c>
      <c r="J501" s="4">
        <v>0.158</v>
      </c>
      <c r="K501" s="5">
        <v>100</v>
      </c>
      <c r="L501" s="5">
        <v>100</v>
      </c>
      <c r="M501" s="5">
        <v>100</v>
      </c>
      <c r="N501" s="5">
        <v>100</v>
      </c>
      <c r="O501" s="2">
        <v>0.58519003905485312</v>
      </c>
      <c r="P501" s="2">
        <v>0.38877818932315028</v>
      </c>
      <c r="Q501" s="2">
        <v>0.12556322297534575</v>
      </c>
      <c r="R501" s="2">
        <v>0.17197526473981037</v>
      </c>
    </row>
    <row r="502" spans="1:18" x14ac:dyDescent="0.3">
      <c r="A502" s="7">
        <v>174</v>
      </c>
      <c r="B502" s="7">
        <v>91</v>
      </c>
      <c r="C502" s="7">
        <v>0</v>
      </c>
      <c r="D502" s="7">
        <v>0</v>
      </c>
      <c r="E502" s="20" t="str">
        <f t="shared" si="7"/>
        <v>00</v>
      </c>
      <c r="F502" s="21">
        <v>1.58768960827399</v>
      </c>
      <c r="G502" s="4">
        <v>0.64300000000000002</v>
      </c>
      <c r="H502" s="4">
        <v>0.52987012987013005</v>
      </c>
      <c r="I502" s="4">
        <v>6.7000000000000004E-2</v>
      </c>
      <c r="J502" s="4">
        <v>9.9000000000000005E-2</v>
      </c>
      <c r="K502" s="5">
        <v>0</v>
      </c>
      <c r="L502" s="5">
        <v>0</v>
      </c>
      <c r="M502" s="5">
        <v>100</v>
      </c>
      <c r="N502" s="5">
        <v>100</v>
      </c>
      <c r="O502" s="2">
        <v>1.0300194972024981</v>
      </c>
      <c r="P502" s="2">
        <v>0.75474630302195889</v>
      </c>
      <c r="Q502" s="2">
        <v>6.9350078134793172E-2</v>
      </c>
      <c r="R502" s="2">
        <v>0.10425002137379911</v>
      </c>
    </row>
    <row r="503" spans="1:18" x14ac:dyDescent="0.3">
      <c r="A503" s="7">
        <v>835</v>
      </c>
      <c r="B503" s="7">
        <v>38</v>
      </c>
      <c r="C503" s="7">
        <v>0</v>
      </c>
      <c r="D503" s="7">
        <v>0</v>
      </c>
      <c r="E503" s="20" t="str">
        <f t="shared" si="7"/>
        <v>00</v>
      </c>
      <c r="F503" s="21">
        <v>1.6092078744635701</v>
      </c>
      <c r="G503" s="4">
        <v>0.376</v>
      </c>
      <c r="H503" s="4">
        <v>0.39959016393442598</v>
      </c>
      <c r="I503" s="4">
        <v>0.39200000000000002</v>
      </c>
      <c r="J503" s="4">
        <v>0.375</v>
      </c>
      <c r="K503" s="5">
        <v>100</v>
      </c>
      <c r="L503" s="5">
        <v>100</v>
      </c>
      <c r="M503" s="5">
        <v>100</v>
      </c>
      <c r="N503" s="5">
        <v>100</v>
      </c>
      <c r="O503" s="2">
        <v>0.47160491061270937</v>
      </c>
      <c r="P503" s="2">
        <v>0.51014279683607933</v>
      </c>
      <c r="Q503" s="2">
        <v>0.49758039701597007</v>
      </c>
      <c r="R503" s="2">
        <v>0.47000362924573558</v>
      </c>
    </row>
    <row r="504" spans="1:18" x14ac:dyDescent="0.3">
      <c r="A504" s="7">
        <v>337</v>
      </c>
      <c r="B504" s="7">
        <v>35</v>
      </c>
      <c r="C504" s="7">
        <v>0</v>
      </c>
      <c r="D504" s="7">
        <v>0</v>
      </c>
      <c r="E504" s="20" t="str">
        <f t="shared" si="7"/>
        <v>00</v>
      </c>
      <c r="F504" s="21">
        <v>1.6165599528975201</v>
      </c>
      <c r="G504" s="4">
        <v>0.38200000000000001</v>
      </c>
      <c r="H504" s="4">
        <v>0.32829373650108001</v>
      </c>
      <c r="I504" s="4">
        <v>0.15</v>
      </c>
      <c r="J504" s="4">
        <v>0.13800000000000001</v>
      </c>
      <c r="K504" s="5">
        <v>100</v>
      </c>
      <c r="L504" s="5">
        <v>100</v>
      </c>
      <c r="M504" s="5">
        <v>100</v>
      </c>
      <c r="N504" s="5">
        <v>100</v>
      </c>
      <c r="O504" s="2">
        <v>0.48126682152444628</v>
      </c>
      <c r="P504" s="2">
        <v>0.39793414190700016</v>
      </c>
      <c r="Q504" s="2">
        <v>0.16251892949777494</v>
      </c>
      <c r="R504" s="2">
        <v>0.14850000831844395</v>
      </c>
    </row>
    <row r="505" spans="1:18" x14ac:dyDescent="0.3">
      <c r="A505" s="7">
        <v>926</v>
      </c>
      <c r="B505" s="7">
        <v>27</v>
      </c>
      <c r="C505" s="7">
        <v>0</v>
      </c>
      <c r="D505" s="7">
        <v>0</v>
      </c>
      <c r="E505" s="20" t="str">
        <f t="shared" si="7"/>
        <v>00</v>
      </c>
      <c r="F505" s="21">
        <v>1.62013464710966</v>
      </c>
      <c r="G505" s="4">
        <v>0.20200000000000001</v>
      </c>
      <c r="H505" s="4">
        <v>0.17659137577002099</v>
      </c>
      <c r="I505" s="4">
        <v>0.26200000000000001</v>
      </c>
      <c r="J505" s="4">
        <v>0.24199999999999999</v>
      </c>
      <c r="K505" s="5">
        <v>100</v>
      </c>
      <c r="L505" s="5">
        <v>100</v>
      </c>
      <c r="M505" s="5">
        <v>100</v>
      </c>
      <c r="N505" s="5">
        <v>100</v>
      </c>
      <c r="O505" s="2">
        <v>0.22564668153232822</v>
      </c>
      <c r="P505" s="2">
        <v>0.19430269577602122</v>
      </c>
      <c r="Q505" s="2">
        <v>0.30381145438166457</v>
      </c>
      <c r="R505" s="2">
        <v>0.2770718933397654</v>
      </c>
    </row>
    <row r="506" spans="1:18" x14ac:dyDescent="0.3">
      <c r="A506" s="7">
        <v>806</v>
      </c>
      <c r="B506" s="7">
        <v>99</v>
      </c>
      <c r="C506" s="7">
        <v>0</v>
      </c>
      <c r="D506" s="7">
        <v>0</v>
      </c>
      <c r="E506" s="20" t="str">
        <f t="shared" si="7"/>
        <v>00</v>
      </c>
      <c r="F506" s="21">
        <v>1.6325584083813001</v>
      </c>
      <c r="G506" s="4">
        <v>0.58599999999999997</v>
      </c>
      <c r="H506" s="4">
        <v>0.464379947229551</v>
      </c>
      <c r="I506" s="4">
        <v>0.123</v>
      </c>
      <c r="J506" s="4">
        <v>0.16300000000000001</v>
      </c>
      <c r="K506" s="5">
        <v>0</v>
      </c>
      <c r="L506" s="5">
        <v>100</v>
      </c>
      <c r="M506" s="5">
        <v>100</v>
      </c>
      <c r="N506" s="5">
        <v>100</v>
      </c>
      <c r="O506" s="2">
        <v>0.88188930515682262</v>
      </c>
      <c r="P506" s="2">
        <v>0.62433022604063815</v>
      </c>
      <c r="Q506" s="2">
        <v>0.13124828660995402</v>
      </c>
      <c r="R506" s="2">
        <v>0.17793120849266178</v>
      </c>
    </row>
    <row r="507" spans="1:18" x14ac:dyDescent="0.3">
      <c r="A507" s="7">
        <v>522</v>
      </c>
      <c r="B507" s="7">
        <v>32</v>
      </c>
      <c r="C507" s="7">
        <v>0</v>
      </c>
      <c r="D507" s="7">
        <v>0</v>
      </c>
      <c r="E507" s="20" t="str">
        <f t="shared" si="7"/>
        <v>00</v>
      </c>
      <c r="F507" s="21">
        <v>1.6708006766472401</v>
      </c>
      <c r="G507" s="4">
        <v>0.36699999999999999</v>
      </c>
      <c r="H507" s="4">
        <v>0.258454106280193</v>
      </c>
      <c r="I507" s="4">
        <v>0.121</v>
      </c>
      <c r="J507" s="4">
        <v>0.13800000000000001</v>
      </c>
      <c r="K507" s="5">
        <v>100</v>
      </c>
      <c r="L507" s="5">
        <v>100</v>
      </c>
      <c r="M507" s="5">
        <v>100</v>
      </c>
      <c r="N507" s="5">
        <v>100</v>
      </c>
      <c r="O507" s="2">
        <v>0.45728485683796083</v>
      </c>
      <c r="P507" s="2">
        <v>0.29901822623811697</v>
      </c>
      <c r="Q507" s="2">
        <v>0.12897038129696006</v>
      </c>
      <c r="R507" s="2">
        <v>0.14850000831844395</v>
      </c>
    </row>
    <row r="508" spans="1:18" x14ac:dyDescent="0.3">
      <c r="A508" s="7">
        <v>28</v>
      </c>
      <c r="B508" s="7">
        <v>24</v>
      </c>
      <c r="C508" s="7">
        <v>0</v>
      </c>
      <c r="D508" s="7">
        <v>0</v>
      </c>
      <c r="E508" s="20" t="str">
        <f t="shared" si="7"/>
        <v>00</v>
      </c>
      <c r="F508" s="21">
        <v>1.6883783745641501</v>
      </c>
      <c r="G508" s="4">
        <v>0.44400000000000001</v>
      </c>
      <c r="H508" s="4">
        <v>0.37117903930131002</v>
      </c>
      <c r="I508" s="4">
        <v>0.94699999999999995</v>
      </c>
      <c r="J508" s="4">
        <v>0.90600000000000003</v>
      </c>
      <c r="K508" s="5">
        <v>100</v>
      </c>
      <c r="L508" s="5">
        <v>100</v>
      </c>
      <c r="M508" s="5">
        <v>0</v>
      </c>
      <c r="N508" s="5">
        <v>0</v>
      </c>
      <c r="O508" s="2">
        <v>0.58698698473155464</v>
      </c>
      <c r="P508" s="2">
        <v>0.46390870397823897</v>
      </c>
      <c r="Q508" s="2">
        <v>2.9374633654300144</v>
      </c>
      <c r="R508" s="2">
        <v>2.3644604967121334</v>
      </c>
    </row>
    <row r="509" spans="1:18" x14ac:dyDescent="0.3">
      <c r="A509" s="7">
        <v>245</v>
      </c>
      <c r="B509" s="7">
        <v>23</v>
      </c>
      <c r="C509" s="7">
        <v>0</v>
      </c>
      <c r="D509" s="7">
        <v>0</v>
      </c>
      <c r="E509" s="20" t="str">
        <f t="shared" si="7"/>
        <v>00</v>
      </c>
      <c r="F509" s="21">
        <v>1.69500171709815</v>
      </c>
      <c r="G509" s="4">
        <v>0.28499999999999998</v>
      </c>
      <c r="H509" s="4">
        <v>0.21839080459770099</v>
      </c>
      <c r="I509" s="4">
        <v>0.32400000000000001</v>
      </c>
      <c r="J509" s="4">
        <v>0.247</v>
      </c>
      <c r="K509" s="5">
        <v>100</v>
      </c>
      <c r="L509" s="5">
        <v>100</v>
      </c>
      <c r="M509" s="5">
        <v>100</v>
      </c>
      <c r="N509" s="5">
        <v>100</v>
      </c>
      <c r="O509" s="2">
        <v>0.33547273628812929</v>
      </c>
      <c r="P509" s="2">
        <v>0.24640041347847683</v>
      </c>
      <c r="Q509" s="2">
        <v>0.39156220293917304</v>
      </c>
      <c r="R509" s="2">
        <v>0.2836900511822435</v>
      </c>
    </row>
    <row r="510" spans="1:18" x14ac:dyDescent="0.3">
      <c r="A510" s="7">
        <v>464</v>
      </c>
      <c r="B510" s="7">
        <v>236</v>
      </c>
      <c r="C510" s="7">
        <v>0</v>
      </c>
      <c r="D510" s="7">
        <v>0</v>
      </c>
      <c r="E510" s="20" t="str">
        <f t="shared" si="7"/>
        <v>00</v>
      </c>
      <c r="F510" s="21">
        <v>1.70220713016847</v>
      </c>
      <c r="G510" s="4">
        <v>0.35699999999999998</v>
      </c>
      <c r="H510" s="4">
        <v>0.3</v>
      </c>
      <c r="I510" s="4">
        <v>0.127</v>
      </c>
      <c r="J510" s="4">
        <v>0.123</v>
      </c>
      <c r="K510" s="5">
        <v>100</v>
      </c>
      <c r="L510" s="5">
        <v>100</v>
      </c>
      <c r="M510" s="5">
        <v>100</v>
      </c>
      <c r="N510" s="5">
        <v>100</v>
      </c>
      <c r="O510" s="2">
        <v>0.44161055474451766</v>
      </c>
      <c r="P510" s="2">
        <v>0.35667494393873245</v>
      </c>
      <c r="Q510" s="2">
        <v>0.13581972314253485</v>
      </c>
      <c r="R510" s="2">
        <v>0.13124828660995402</v>
      </c>
    </row>
    <row r="511" spans="1:18" x14ac:dyDescent="0.3">
      <c r="A511" s="7">
        <v>755</v>
      </c>
      <c r="B511" s="7">
        <v>30</v>
      </c>
      <c r="C511" s="7">
        <v>0</v>
      </c>
      <c r="D511" s="7">
        <v>0</v>
      </c>
      <c r="E511" s="20" t="str">
        <f t="shared" si="7"/>
        <v>00</v>
      </c>
      <c r="F511" s="21">
        <v>1.7022309576263699</v>
      </c>
      <c r="G511" s="4">
        <v>0.248</v>
      </c>
      <c r="H511" s="4">
        <v>0.213849287169043</v>
      </c>
      <c r="I511" s="4">
        <v>0.14000000000000001</v>
      </c>
      <c r="J511" s="4">
        <v>0.11799999999999999</v>
      </c>
      <c r="K511" s="5">
        <v>100</v>
      </c>
      <c r="L511" s="5">
        <v>100</v>
      </c>
      <c r="M511" s="5">
        <v>100</v>
      </c>
      <c r="N511" s="5">
        <v>100</v>
      </c>
      <c r="O511" s="2">
        <v>0.28501895503229724</v>
      </c>
      <c r="P511" s="2">
        <v>0.24060675832968995</v>
      </c>
      <c r="Q511" s="2">
        <v>0.15082288973458366</v>
      </c>
      <c r="R511" s="2">
        <v>0.12556322297534575</v>
      </c>
    </row>
    <row r="512" spans="1:18" x14ac:dyDescent="0.3">
      <c r="A512" s="7">
        <v>42</v>
      </c>
      <c r="B512" s="7">
        <v>39</v>
      </c>
      <c r="C512" s="7">
        <v>0</v>
      </c>
      <c r="D512" s="7">
        <v>0</v>
      </c>
      <c r="E512" s="20" t="str">
        <f t="shared" si="7"/>
        <v>00</v>
      </c>
      <c r="F512" s="21">
        <v>1.70628145450674</v>
      </c>
      <c r="G512" s="4">
        <v>0.58799999999999997</v>
      </c>
      <c r="H512" s="4">
        <v>0.52088452088452097</v>
      </c>
      <c r="I512" s="4">
        <v>0.125</v>
      </c>
      <c r="J512" s="4">
        <v>0.12</v>
      </c>
      <c r="K512" s="5">
        <v>0</v>
      </c>
      <c r="L512" s="5">
        <v>0</v>
      </c>
      <c r="M512" s="5">
        <v>100</v>
      </c>
      <c r="N512" s="5">
        <v>100</v>
      </c>
      <c r="O512" s="2">
        <v>0.8867319296326106</v>
      </c>
      <c r="P512" s="2">
        <v>0.73581362687884833</v>
      </c>
      <c r="Q512" s="2">
        <v>0.13353139262452263</v>
      </c>
      <c r="R512" s="2">
        <v>0.12783337150988489</v>
      </c>
    </row>
    <row r="513" spans="1:18" x14ac:dyDescent="0.3">
      <c r="A513" s="7">
        <v>223</v>
      </c>
      <c r="B513" s="7">
        <v>22</v>
      </c>
      <c r="C513" s="7">
        <v>0</v>
      </c>
      <c r="D513" s="7">
        <v>0</v>
      </c>
      <c r="E513" s="20" t="str">
        <f t="shared" si="7"/>
        <v>00</v>
      </c>
      <c r="F513" s="21">
        <v>1.71104045059208</v>
      </c>
      <c r="G513" s="4">
        <v>0.43099999999999999</v>
      </c>
      <c r="H513" s="4">
        <v>0.36343115124153502</v>
      </c>
      <c r="I513" s="4">
        <v>0.08</v>
      </c>
      <c r="J513" s="4">
        <v>0.10299999999999999</v>
      </c>
      <c r="K513" s="5">
        <v>100</v>
      </c>
      <c r="L513" s="5">
        <v>100</v>
      </c>
      <c r="M513" s="5">
        <v>100</v>
      </c>
      <c r="N513" s="5">
        <v>100</v>
      </c>
      <c r="O513" s="2">
        <v>0.56387484485580619</v>
      </c>
      <c r="P513" s="2">
        <v>0.45166269910702211</v>
      </c>
      <c r="Q513" s="2">
        <v>8.3381608939051013E-2</v>
      </c>
      <c r="R513" s="2">
        <v>0.10869941692334091</v>
      </c>
    </row>
    <row r="514" spans="1:18" x14ac:dyDescent="0.3">
      <c r="A514" s="7">
        <v>390</v>
      </c>
      <c r="B514" s="7">
        <v>29</v>
      </c>
      <c r="C514" s="7">
        <v>0</v>
      </c>
      <c r="D514" s="7">
        <v>0</v>
      </c>
      <c r="E514" s="20" t="str">
        <f t="shared" ref="E514:E577" si="8">_xlfn.CONCAT(C514,D514)</f>
        <v>00</v>
      </c>
      <c r="F514" s="21">
        <v>1.7174705832499999</v>
      </c>
      <c r="G514" s="4">
        <v>0.28699999999999998</v>
      </c>
      <c r="H514" s="4">
        <v>0.24421052631578899</v>
      </c>
      <c r="I514" s="4">
        <v>0.125</v>
      </c>
      <c r="J514" s="4">
        <v>0.11799999999999999</v>
      </c>
      <c r="K514" s="5">
        <v>100</v>
      </c>
      <c r="L514" s="5">
        <v>100</v>
      </c>
      <c r="M514" s="5">
        <v>100</v>
      </c>
      <c r="N514" s="5">
        <v>100</v>
      </c>
      <c r="O514" s="2">
        <v>0.33827385856784098</v>
      </c>
      <c r="P514" s="2">
        <v>0.27999241554636167</v>
      </c>
      <c r="Q514" s="2">
        <v>0.13353139262452263</v>
      </c>
      <c r="R514" s="2">
        <v>0.12556322297534575</v>
      </c>
    </row>
    <row r="515" spans="1:18" x14ac:dyDescent="0.3">
      <c r="A515" s="7">
        <v>758</v>
      </c>
      <c r="B515" s="7">
        <v>20</v>
      </c>
      <c r="C515" s="7">
        <v>0</v>
      </c>
      <c r="D515" s="7">
        <v>0</v>
      </c>
      <c r="E515" s="20" t="str">
        <f t="shared" si="8"/>
        <v>00</v>
      </c>
      <c r="F515" s="21">
        <v>1.73107689737606</v>
      </c>
      <c r="G515" s="4">
        <v>0.27100000000000002</v>
      </c>
      <c r="H515" s="4">
        <v>0.252587991718426</v>
      </c>
      <c r="I515" s="4">
        <v>0.125</v>
      </c>
      <c r="J515" s="4">
        <v>0.115</v>
      </c>
      <c r="K515" s="5">
        <v>100</v>
      </c>
      <c r="L515" s="5">
        <v>100</v>
      </c>
      <c r="M515" s="5">
        <v>100</v>
      </c>
      <c r="N515" s="5">
        <v>100</v>
      </c>
      <c r="O515" s="2">
        <v>0.31608154697347896</v>
      </c>
      <c r="P515" s="2">
        <v>0.291138695319691</v>
      </c>
      <c r="Q515" s="2">
        <v>0.13353139262452263</v>
      </c>
      <c r="R515" s="2">
        <v>0.12216763397420753</v>
      </c>
    </row>
    <row r="516" spans="1:18" x14ac:dyDescent="0.3">
      <c r="A516" s="7">
        <v>633</v>
      </c>
      <c r="B516" s="7">
        <v>36</v>
      </c>
      <c r="C516" s="7">
        <v>0</v>
      </c>
      <c r="D516" s="7">
        <v>0</v>
      </c>
      <c r="E516" s="20" t="str">
        <f t="shared" si="8"/>
        <v>00</v>
      </c>
      <c r="F516" s="21">
        <v>1.7318955608368201</v>
      </c>
      <c r="G516" s="4">
        <v>0.38800000000000001</v>
      </c>
      <c r="H516" s="4">
        <v>0.34792122538293202</v>
      </c>
      <c r="I516" s="4">
        <v>0.115</v>
      </c>
      <c r="J516" s="4">
        <v>0.122</v>
      </c>
      <c r="K516" s="5">
        <v>100</v>
      </c>
      <c r="L516" s="5">
        <v>100</v>
      </c>
      <c r="M516" s="5">
        <v>100</v>
      </c>
      <c r="N516" s="5">
        <v>100</v>
      </c>
      <c r="O516" s="2">
        <v>0.49102299646981101</v>
      </c>
      <c r="P516" s="2">
        <v>0.42758990438880001</v>
      </c>
      <c r="Q516" s="2">
        <v>0.12216763397420753</v>
      </c>
      <c r="R516" s="2">
        <v>0.13010868534702039</v>
      </c>
    </row>
    <row r="517" spans="1:18" x14ac:dyDescent="0.3">
      <c r="A517" s="7">
        <v>820</v>
      </c>
      <c r="B517" s="7">
        <v>61</v>
      </c>
      <c r="C517" s="7">
        <v>0</v>
      </c>
      <c r="D517" s="7">
        <v>0</v>
      </c>
      <c r="E517" s="20" t="str">
        <f t="shared" si="8"/>
        <v>00</v>
      </c>
      <c r="F517" s="21">
        <v>1.74974248964947</v>
      </c>
      <c r="G517" s="4">
        <v>0.22800000000000001</v>
      </c>
      <c r="H517" s="4">
        <v>0.202479338842975</v>
      </c>
      <c r="I517" s="4">
        <v>0.14199999999999999</v>
      </c>
      <c r="J517" s="4">
        <v>0.113</v>
      </c>
      <c r="K517" s="5">
        <v>100</v>
      </c>
      <c r="L517" s="5">
        <v>100</v>
      </c>
      <c r="M517" s="5">
        <v>100</v>
      </c>
      <c r="N517" s="5">
        <v>100</v>
      </c>
      <c r="O517" s="2">
        <v>0.25877072895736086</v>
      </c>
      <c r="P517" s="2">
        <v>0.22624753725180055</v>
      </c>
      <c r="Q517" s="2">
        <v>0.15315117949417478</v>
      </c>
      <c r="R517" s="2">
        <v>0.11991029667255755</v>
      </c>
    </row>
    <row r="518" spans="1:18" x14ac:dyDescent="0.3">
      <c r="A518" s="7">
        <v>630</v>
      </c>
      <c r="B518" s="7">
        <v>34</v>
      </c>
      <c r="C518" s="7">
        <v>0</v>
      </c>
      <c r="D518" s="7">
        <v>0</v>
      </c>
      <c r="E518" s="20" t="str">
        <f t="shared" si="8"/>
        <v>00</v>
      </c>
      <c r="F518" s="21">
        <v>1.76478156326437</v>
      </c>
      <c r="G518" s="4">
        <v>0.41199999999999998</v>
      </c>
      <c r="H518" s="4">
        <v>0.34292035398230097</v>
      </c>
      <c r="I518" s="4">
        <v>0.13700000000000001</v>
      </c>
      <c r="J518" s="4">
        <v>0.13800000000000001</v>
      </c>
      <c r="K518" s="5">
        <v>100</v>
      </c>
      <c r="L518" s="5">
        <v>100</v>
      </c>
      <c r="M518" s="5">
        <v>100</v>
      </c>
      <c r="N518" s="5">
        <v>100</v>
      </c>
      <c r="O518" s="2">
        <v>0.53102833108351</v>
      </c>
      <c r="P518" s="2">
        <v>0.4199500410295316</v>
      </c>
      <c r="Q518" s="2">
        <v>0.14734058789870913</v>
      </c>
      <c r="R518" s="2">
        <v>0.14850000831844395</v>
      </c>
    </row>
    <row r="519" spans="1:18" x14ac:dyDescent="0.3">
      <c r="A519" s="7">
        <v>545</v>
      </c>
      <c r="B519" s="7">
        <v>20</v>
      </c>
      <c r="C519" s="7">
        <v>0</v>
      </c>
      <c r="D519" s="7">
        <v>0</v>
      </c>
      <c r="E519" s="20" t="str">
        <f t="shared" si="8"/>
        <v>00</v>
      </c>
      <c r="F519" s="21">
        <v>1.7843146870828399</v>
      </c>
      <c r="G519" s="4">
        <v>0.41</v>
      </c>
      <c r="H519" s="4">
        <v>0.35807860262008701</v>
      </c>
      <c r="I519" s="4">
        <v>0.27600000000000002</v>
      </c>
      <c r="J519" s="4">
        <v>0.26600000000000001</v>
      </c>
      <c r="K519" s="5">
        <v>100</v>
      </c>
      <c r="L519" s="5">
        <v>100</v>
      </c>
      <c r="M519" s="5">
        <v>100</v>
      </c>
      <c r="N519" s="5">
        <v>100</v>
      </c>
      <c r="O519" s="2">
        <v>0.52763274208237176</v>
      </c>
      <c r="P519" s="2">
        <v>0.44328941677550293</v>
      </c>
      <c r="Q519" s="2">
        <v>0.32296388659642072</v>
      </c>
      <c r="R519" s="2">
        <v>0.30924625036762149</v>
      </c>
    </row>
    <row r="520" spans="1:18" x14ac:dyDescent="0.3">
      <c r="A520" s="7">
        <v>83</v>
      </c>
      <c r="B520" s="7">
        <v>66</v>
      </c>
      <c r="C520" s="7">
        <v>0</v>
      </c>
      <c r="D520" s="7">
        <v>0</v>
      </c>
      <c r="E520" s="20" t="str">
        <f t="shared" si="8"/>
        <v>00</v>
      </c>
      <c r="F520" s="21">
        <v>1.78440958152236</v>
      </c>
      <c r="G520" s="4">
        <v>0.432</v>
      </c>
      <c r="H520" s="4">
        <v>0.34888888888888903</v>
      </c>
      <c r="I520" s="4">
        <v>0.112</v>
      </c>
      <c r="J520" s="4">
        <v>0.126</v>
      </c>
      <c r="K520" s="5">
        <v>100</v>
      </c>
      <c r="L520" s="5">
        <v>100</v>
      </c>
      <c r="M520" s="5">
        <v>100</v>
      </c>
      <c r="N520" s="5">
        <v>100</v>
      </c>
      <c r="O520" s="2">
        <v>0.56563386026098561</v>
      </c>
      <c r="P520" s="2">
        <v>0.42907497374729836</v>
      </c>
      <c r="Q520" s="2">
        <v>0.11878353598996698</v>
      </c>
      <c r="R520" s="2">
        <v>0.13467490332660159</v>
      </c>
    </row>
    <row r="521" spans="1:18" x14ac:dyDescent="0.3">
      <c r="A521" s="7">
        <v>284</v>
      </c>
      <c r="B521" s="7">
        <v>242</v>
      </c>
      <c r="C521" s="7">
        <v>0</v>
      </c>
      <c r="D521" s="7">
        <v>0</v>
      </c>
      <c r="E521" s="20" t="str">
        <f t="shared" si="8"/>
        <v>00</v>
      </c>
      <c r="F521" s="21">
        <v>1.7929970943787901</v>
      </c>
      <c r="G521" s="4">
        <v>0.38</v>
      </c>
      <c r="H521" s="4">
        <v>0.29176470588235298</v>
      </c>
      <c r="I521" s="4">
        <v>0.314</v>
      </c>
      <c r="J521" s="4">
        <v>0.245</v>
      </c>
      <c r="K521" s="5">
        <v>100</v>
      </c>
      <c r="L521" s="5">
        <v>100</v>
      </c>
      <c r="M521" s="5">
        <v>100</v>
      </c>
      <c r="N521" s="5">
        <v>100</v>
      </c>
      <c r="O521" s="2">
        <v>0.4780358009429998</v>
      </c>
      <c r="P521" s="2">
        <v>0.34497890417554106</v>
      </c>
      <c r="Q521" s="2">
        <v>0.37687765125625189</v>
      </c>
      <c r="R521" s="2">
        <v>0.28103752973311236</v>
      </c>
    </row>
    <row r="522" spans="1:18" x14ac:dyDescent="0.3">
      <c r="A522" s="7">
        <v>434</v>
      </c>
      <c r="B522" s="7">
        <v>192</v>
      </c>
      <c r="C522" s="7">
        <v>0</v>
      </c>
      <c r="D522" s="7">
        <v>0</v>
      </c>
      <c r="E522" s="20" t="str">
        <f t="shared" si="8"/>
        <v>00</v>
      </c>
      <c r="F522" s="21">
        <v>1.80045408108144</v>
      </c>
      <c r="G522" s="4">
        <v>0.35599999999999998</v>
      </c>
      <c r="H522" s="4">
        <v>0.324947589098532</v>
      </c>
      <c r="I522" s="4">
        <v>0.17199999999999999</v>
      </c>
      <c r="J522" s="4">
        <v>0.123</v>
      </c>
      <c r="K522" s="5">
        <v>100</v>
      </c>
      <c r="L522" s="5">
        <v>100</v>
      </c>
      <c r="M522" s="5">
        <v>100</v>
      </c>
      <c r="N522" s="5">
        <v>100</v>
      </c>
      <c r="O522" s="2">
        <v>0.44005655287778339</v>
      </c>
      <c r="P522" s="2">
        <v>0.39296494534393228</v>
      </c>
      <c r="Q522" s="2">
        <v>0.18874212459687728</v>
      </c>
      <c r="R522" s="2">
        <v>0.13124828660995402</v>
      </c>
    </row>
    <row r="523" spans="1:18" x14ac:dyDescent="0.3">
      <c r="A523" s="7">
        <v>64</v>
      </c>
      <c r="B523" s="7">
        <v>19</v>
      </c>
      <c r="C523" s="7">
        <v>0</v>
      </c>
      <c r="D523" s="7">
        <v>0</v>
      </c>
      <c r="E523" s="20" t="str">
        <f t="shared" si="8"/>
        <v>00</v>
      </c>
      <c r="F523" s="21">
        <v>1.83508139153687</v>
      </c>
      <c r="G523" s="4">
        <v>0.29899999999999999</v>
      </c>
      <c r="H523" s="4">
        <v>0.25211864406779699</v>
      </c>
      <c r="I523" s="4">
        <v>0.10299999999999999</v>
      </c>
      <c r="J523" s="4">
        <v>0.09</v>
      </c>
      <c r="K523" s="5">
        <v>100</v>
      </c>
      <c r="L523" s="5">
        <v>100</v>
      </c>
      <c r="M523" s="5">
        <v>100</v>
      </c>
      <c r="N523" s="5">
        <v>100</v>
      </c>
      <c r="O523" s="2">
        <v>0.35524739194754684</v>
      </c>
      <c r="P523" s="2">
        <v>0.29051092865225903</v>
      </c>
      <c r="Q523" s="2">
        <v>0.10869941692334091</v>
      </c>
      <c r="R523" s="2">
        <v>9.431067947124129E-2</v>
      </c>
    </row>
    <row r="524" spans="1:18" x14ac:dyDescent="0.3">
      <c r="A524" s="7">
        <v>221</v>
      </c>
      <c r="B524" s="7">
        <v>21</v>
      </c>
      <c r="C524" s="7">
        <v>0</v>
      </c>
      <c r="D524" s="7">
        <v>0</v>
      </c>
      <c r="E524" s="20" t="str">
        <f t="shared" si="8"/>
        <v>00</v>
      </c>
      <c r="F524" s="21">
        <v>1.8904567394955101</v>
      </c>
      <c r="G524" s="4">
        <v>0.35899999999999999</v>
      </c>
      <c r="H524" s="4">
        <v>0.32563025210084001</v>
      </c>
      <c r="I524" s="4">
        <v>0.84399999999999997</v>
      </c>
      <c r="J524" s="4">
        <v>0.82899999999999996</v>
      </c>
      <c r="K524" s="5">
        <v>100</v>
      </c>
      <c r="L524" s="5">
        <v>100</v>
      </c>
      <c r="M524" s="5">
        <v>0</v>
      </c>
      <c r="N524" s="5">
        <v>0</v>
      </c>
      <c r="O524" s="2">
        <v>0.44472582206146699</v>
      </c>
      <c r="P524" s="2">
        <v>0.39397673110140374</v>
      </c>
      <c r="Q524" s="2">
        <v>1.8578992717325997</v>
      </c>
      <c r="R524" s="2">
        <v>1.766091722479477</v>
      </c>
    </row>
    <row r="525" spans="1:18" x14ac:dyDescent="0.3">
      <c r="A525" s="7">
        <v>961</v>
      </c>
      <c r="B525" s="7">
        <v>21</v>
      </c>
      <c r="C525" s="7">
        <v>0</v>
      </c>
      <c r="D525" s="7">
        <v>0</v>
      </c>
      <c r="E525" s="20" t="str">
        <f t="shared" si="8"/>
        <v>00</v>
      </c>
      <c r="F525" s="21">
        <v>1.9474085821773399</v>
      </c>
      <c r="G525" s="4">
        <v>0.39400000000000002</v>
      </c>
      <c r="H525" s="4">
        <v>0.34773218142548601</v>
      </c>
      <c r="I525" s="4">
        <v>0.14199999999999999</v>
      </c>
      <c r="J525" s="4">
        <v>0.14299999999999999</v>
      </c>
      <c r="K525" s="5">
        <v>100</v>
      </c>
      <c r="L525" s="5">
        <v>100</v>
      </c>
      <c r="M525" s="5">
        <v>100</v>
      </c>
      <c r="N525" s="5">
        <v>100</v>
      </c>
      <c r="O525" s="2">
        <v>0.50087529291282262</v>
      </c>
      <c r="P525" s="2">
        <v>0.42730003671136452</v>
      </c>
      <c r="Q525" s="2">
        <v>0.15315117949417478</v>
      </c>
      <c r="R525" s="2">
        <v>0.15431736038435728</v>
      </c>
    </row>
    <row r="526" spans="1:18" x14ac:dyDescent="0.3">
      <c r="A526" s="7">
        <v>1000</v>
      </c>
      <c r="B526" s="7">
        <v>20</v>
      </c>
      <c r="C526" s="7">
        <v>0</v>
      </c>
      <c r="D526" s="7">
        <v>0</v>
      </c>
      <c r="E526" s="20" t="str">
        <f t="shared" si="8"/>
        <v>00</v>
      </c>
      <c r="F526" s="21">
        <v>1.9823657151685601</v>
      </c>
      <c r="G526" s="4">
        <v>0.247</v>
      </c>
      <c r="H526" s="4">
        <v>0.25760649087221099</v>
      </c>
      <c r="I526" s="4">
        <v>0.16500000000000001</v>
      </c>
      <c r="J526" s="4">
        <v>0.13</v>
      </c>
      <c r="K526" s="5">
        <v>100</v>
      </c>
      <c r="L526" s="5">
        <v>100</v>
      </c>
      <c r="M526" s="5">
        <v>100</v>
      </c>
      <c r="N526" s="5">
        <v>100</v>
      </c>
      <c r="O526" s="2">
        <v>0.2836900511822435</v>
      </c>
      <c r="P526" s="2">
        <v>0.29787584064132389</v>
      </c>
      <c r="Q526" s="2">
        <v>0.18032355413128162</v>
      </c>
      <c r="R526" s="2">
        <v>0.13926206733350766</v>
      </c>
    </row>
    <row r="527" spans="1:18" x14ac:dyDescent="0.3">
      <c r="A527" s="7">
        <v>527</v>
      </c>
      <c r="B527" s="7">
        <v>158</v>
      </c>
      <c r="C527" s="7">
        <v>0</v>
      </c>
      <c r="D527" s="7">
        <v>0</v>
      </c>
      <c r="E527" s="20" t="str">
        <f t="shared" si="8"/>
        <v>00</v>
      </c>
      <c r="F527" s="21">
        <v>2.0162250824401902</v>
      </c>
      <c r="G527" s="4">
        <v>0.57799999999999996</v>
      </c>
      <c r="H527" s="4">
        <v>0.45088161209068001</v>
      </c>
      <c r="I527" s="4">
        <v>7.8E-2</v>
      </c>
      <c r="J527" s="4">
        <v>0.14299999999999999</v>
      </c>
      <c r="K527" s="5">
        <v>0</v>
      </c>
      <c r="L527" s="5">
        <v>100</v>
      </c>
      <c r="M527" s="5">
        <v>100</v>
      </c>
      <c r="N527" s="5">
        <v>100</v>
      </c>
      <c r="O527" s="2">
        <v>0.8627499649461251</v>
      </c>
      <c r="P527" s="2">
        <v>0.59944121789810123</v>
      </c>
      <c r="Q527" s="2">
        <v>8.1210055425543173E-2</v>
      </c>
      <c r="R527" s="2">
        <v>0.15431736038435728</v>
      </c>
    </row>
    <row r="528" spans="1:18" x14ac:dyDescent="0.3">
      <c r="A528" s="7">
        <v>577</v>
      </c>
      <c r="B528" s="7">
        <v>12</v>
      </c>
      <c r="C528" s="7">
        <v>0</v>
      </c>
      <c r="D528" s="7">
        <v>0</v>
      </c>
      <c r="E528" s="20" t="str">
        <f t="shared" si="8"/>
        <v>00</v>
      </c>
      <c r="F528" s="21">
        <v>2.0169821911662398</v>
      </c>
      <c r="G528" s="4">
        <v>0.29299999999999998</v>
      </c>
      <c r="H528" s="4">
        <v>0.28066528066528101</v>
      </c>
      <c r="I528" s="4">
        <v>0.15</v>
      </c>
      <c r="J528" s="4">
        <v>0.13100000000000001</v>
      </c>
      <c r="K528" s="5">
        <v>100</v>
      </c>
      <c r="L528" s="5">
        <v>100</v>
      </c>
      <c r="M528" s="5">
        <v>100</v>
      </c>
      <c r="N528" s="5">
        <v>100</v>
      </c>
      <c r="O528" s="2">
        <v>0.34672461308556418</v>
      </c>
      <c r="P528" s="2">
        <v>0.32942849504803734</v>
      </c>
      <c r="Q528" s="2">
        <v>0.16251892949777494</v>
      </c>
      <c r="R528" s="2">
        <v>0.14041215371674501</v>
      </c>
    </row>
    <row r="529" spans="1:18" x14ac:dyDescent="0.3">
      <c r="A529" s="7">
        <v>515</v>
      </c>
      <c r="B529" s="7">
        <v>284</v>
      </c>
      <c r="C529" s="7">
        <v>0</v>
      </c>
      <c r="D529" s="7">
        <v>0</v>
      </c>
      <c r="E529" s="20" t="str">
        <f t="shared" si="8"/>
        <v>00</v>
      </c>
      <c r="F529" s="21">
        <v>2.0314803414123399</v>
      </c>
      <c r="G529" s="4">
        <v>0.371</v>
      </c>
      <c r="H529" s="4">
        <v>0.26096997690531198</v>
      </c>
      <c r="I529" s="4">
        <v>0.14699999999999999</v>
      </c>
      <c r="J529" s="4">
        <v>0.14199999999999999</v>
      </c>
      <c r="K529" s="5">
        <v>100</v>
      </c>
      <c r="L529" s="5">
        <v>100</v>
      </c>
      <c r="M529" s="5">
        <v>100</v>
      </c>
      <c r="N529" s="5">
        <v>100</v>
      </c>
      <c r="O529" s="2">
        <v>0.46362402228169652</v>
      </c>
      <c r="P529" s="2">
        <v>0.3024167322087179</v>
      </c>
      <c r="Q529" s="2">
        <v>0.15899573149045795</v>
      </c>
      <c r="R529" s="2">
        <v>0.15315117949417478</v>
      </c>
    </row>
    <row r="530" spans="1:18" x14ac:dyDescent="0.3">
      <c r="A530" s="7">
        <v>995</v>
      </c>
      <c r="B530" s="7">
        <v>15</v>
      </c>
      <c r="C530" s="7">
        <v>0</v>
      </c>
      <c r="D530" s="7">
        <v>0</v>
      </c>
      <c r="E530" s="20" t="str">
        <f t="shared" si="8"/>
        <v>00</v>
      </c>
      <c r="F530" s="21">
        <v>2.0444125180170198</v>
      </c>
      <c r="G530" s="4">
        <v>0.376</v>
      </c>
      <c r="H530" s="4">
        <v>0.32321041214750501</v>
      </c>
      <c r="I530" s="4">
        <v>0.185</v>
      </c>
      <c r="J530" s="4">
        <v>0.17899999999999999</v>
      </c>
      <c r="K530" s="5">
        <v>100</v>
      </c>
      <c r="L530" s="5">
        <v>100</v>
      </c>
      <c r="M530" s="5">
        <v>100</v>
      </c>
      <c r="N530" s="5">
        <v>100</v>
      </c>
      <c r="O530" s="2">
        <v>0.47160491061270937</v>
      </c>
      <c r="P530" s="2">
        <v>0.39039485518716555</v>
      </c>
      <c r="Q530" s="2">
        <v>0.2045671657412744</v>
      </c>
      <c r="R530" s="2">
        <v>0.1972321695297089</v>
      </c>
    </row>
    <row r="531" spans="1:18" x14ac:dyDescent="0.3">
      <c r="A531" s="7">
        <v>521</v>
      </c>
      <c r="B531" s="7">
        <v>10</v>
      </c>
      <c r="C531" s="7">
        <v>0</v>
      </c>
      <c r="D531" s="7">
        <v>0</v>
      </c>
      <c r="E531" s="20" t="str">
        <f t="shared" si="8"/>
        <v>00</v>
      </c>
      <c r="F531" s="21">
        <v>2.0659747474888701</v>
      </c>
      <c r="G531" s="4">
        <v>0.35899999999999999</v>
      </c>
      <c r="H531" s="4">
        <v>0.34451901565995502</v>
      </c>
      <c r="I531" s="4">
        <v>0.16900000000000001</v>
      </c>
      <c r="J531" s="4">
        <v>0.13600000000000001</v>
      </c>
      <c r="K531" s="5">
        <v>100</v>
      </c>
      <c r="L531" s="5">
        <v>100</v>
      </c>
      <c r="M531" s="5">
        <v>100</v>
      </c>
      <c r="N531" s="5">
        <v>100</v>
      </c>
      <c r="O531" s="2">
        <v>0.44472582206146699</v>
      </c>
      <c r="P531" s="2">
        <v>0.42238598559650115</v>
      </c>
      <c r="Q531" s="2">
        <v>0.18512548412668892</v>
      </c>
      <c r="R531" s="2">
        <v>0.14618251017808145</v>
      </c>
    </row>
    <row r="532" spans="1:18" x14ac:dyDescent="0.3">
      <c r="A532" s="7">
        <v>494</v>
      </c>
      <c r="B532" s="7">
        <v>53</v>
      </c>
      <c r="C532" s="7">
        <v>0</v>
      </c>
      <c r="D532" s="7">
        <v>0</v>
      </c>
      <c r="E532" s="20" t="str">
        <f t="shared" si="8"/>
        <v>00</v>
      </c>
      <c r="F532" s="21">
        <v>2.1252663430680698</v>
      </c>
      <c r="G532" s="4">
        <v>0.377</v>
      </c>
      <c r="H532" s="4">
        <v>0.28636363636363599</v>
      </c>
      <c r="I532" s="4">
        <v>0.13100000000000001</v>
      </c>
      <c r="J532" s="4">
        <v>0.16</v>
      </c>
      <c r="K532" s="5">
        <v>100</v>
      </c>
      <c r="L532" s="5">
        <v>100</v>
      </c>
      <c r="M532" s="5">
        <v>100</v>
      </c>
      <c r="N532" s="5">
        <v>100</v>
      </c>
      <c r="O532" s="2">
        <v>0.47320876019468389</v>
      </c>
      <c r="P532" s="2">
        <v>0.33738174100405288</v>
      </c>
      <c r="Q532" s="2">
        <v>0.14041215371674501</v>
      </c>
      <c r="R532" s="2">
        <v>0.1743533871447778</v>
      </c>
    </row>
    <row r="533" spans="1:18" x14ac:dyDescent="0.3">
      <c r="A533" s="7">
        <v>2</v>
      </c>
      <c r="B533" s="7">
        <v>14</v>
      </c>
      <c r="C533" s="7">
        <v>0</v>
      </c>
      <c r="D533" s="7">
        <v>0</v>
      </c>
      <c r="E533" s="20" t="str">
        <f t="shared" si="8"/>
        <v>00</v>
      </c>
      <c r="F533" s="21">
        <v>2.1327874777724198</v>
      </c>
      <c r="G533" s="4">
        <v>0.35</v>
      </c>
      <c r="H533" s="4">
        <v>0.29550321199143498</v>
      </c>
      <c r="I533" s="4">
        <v>0.14299999999999999</v>
      </c>
      <c r="J533" s="4">
        <v>0.14299999999999999</v>
      </c>
      <c r="K533" s="5">
        <v>100</v>
      </c>
      <c r="L533" s="5">
        <v>100</v>
      </c>
      <c r="M533" s="5">
        <v>100</v>
      </c>
      <c r="N533" s="5">
        <v>100</v>
      </c>
      <c r="O533" s="2">
        <v>0.43078291609245423</v>
      </c>
      <c r="P533" s="2">
        <v>0.35027150690352576</v>
      </c>
      <c r="Q533" s="2">
        <v>0.15431736038435728</v>
      </c>
      <c r="R533" s="2">
        <v>0.15431736038435728</v>
      </c>
    </row>
    <row r="534" spans="1:18" x14ac:dyDescent="0.3">
      <c r="A534" s="7">
        <v>286</v>
      </c>
      <c r="B534" s="7">
        <v>47</v>
      </c>
      <c r="C534" s="7">
        <v>0</v>
      </c>
      <c r="D534" s="7">
        <v>0</v>
      </c>
      <c r="E534" s="20" t="str">
        <f t="shared" si="8"/>
        <v>00</v>
      </c>
      <c r="F534" s="21">
        <v>2.1941667075745199</v>
      </c>
      <c r="G534" s="4">
        <v>0.35199999999999998</v>
      </c>
      <c r="H534" s="4">
        <v>0.27861771058315299</v>
      </c>
      <c r="I534" s="4">
        <v>0.15</v>
      </c>
      <c r="J534" s="4">
        <v>0.151</v>
      </c>
      <c r="K534" s="5">
        <v>100</v>
      </c>
      <c r="L534" s="5">
        <v>100</v>
      </c>
      <c r="M534" s="5">
        <v>100</v>
      </c>
      <c r="N534" s="5">
        <v>100</v>
      </c>
      <c r="O534" s="2">
        <v>0.43386458262986233</v>
      </c>
      <c r="P534" s="2">
        <v>0.32658606110953314</v>
      </c>
      <c r="Q534" s="2">
        <v>0.16251892949777494</v>
      </c>
      <c r="R534" s="2">
        <v>0.16369609267078977</v>
      </c>
    </row>
    <row r="535" spans="1:18" x14ac:dyDescent="0.3">
      <c r="A535" s="7">
        <v>480</v>
      </c>
      <c r="B535" s="7">
        <v>258</v>
      </c>
      <c r="C535" s="7">
        <v>0</v>
      </c>
      <c r="D535" s="7">
        <v>0</v>
      </c>
      <c r="E535" s="20" t="str">
        <f t="shared" si="8"/>
        <v>00</v>
      </c>
      <c r="F535" s="21">
        <v>2.2661442200821198</v>
      </c>
      <c r="G535" s="4">
        <v>0.42499999999999999</v>
      </c>
      <c r="H535" s="4">
        <v>0.36942675159235699</v>
      </c>
      <c r="I535" s="4">
        <v>0.78300000000000003</v>
      </c>
      <c r="J535" s="4">
        <v>0.749</v>
      </c>
      <c r="K535" s="5">
        <v>100</v>
      </c>
      <c r="L535" s="5">
        <v>100</v>
      </c>
      <c r="M535" s="5">
        <v>0</v>
      </c>
      <c r="N535" s="5">
        <v>0</v>
      </c>
      <c r="O535" s="2">
        <v>0.55338523818478669</v>
      </c>
      <c r="P535" s="2">
        <v>0.46112595521371869</v>
      </c>
      <c r="Q535" s="2">
        <v>1.5278579254416775</v>
      </c>
      <c r="R535" s="2">
        <v>1.3823023398503531</v>
      </c>
    </row>
    <row r="536" spans="1:18" x14ac:dyDescent="0.3">
      <c r="A536" s="7">
        <v>877</v>
      </c>
      <c r="B536" s="7">
        <v>134</v>
      </c>
      <c r="C536" s="7">
        <v>0</v>
      </c>
      <c r="D536" s="7">
        <v>0</v>
      </c>
      <c r="E536" s="20" t="str">
        <f t="shared" si="8"/>
        <v>00</v>
      </c>
      <c r="F536" s="21">
        <v>2.2900874830370701</v>
      </c>
      <c r="G536" s="4">
        <v>0.40200000000000002</v>
      </c>
      <c r="H536" s="4">
        <v>0.23759791122715401</v>
      </c>
      <c r="I536" s="4">
        <v>0.14399999999999999</v>
      </c>
      <c r="J536" s="4">
        <v>0.14399999999999999</v>
      </c>
      <c r="K536" s="5">
        <v>100</v>
      </c>
      <c r="L536" s="5">
        <v>100</v>
      </c>
      <c r="M536" s="5">
        <v>100</v>
      </c>
      <c r="N536" s="5">
        <v>100</v>
      </c>
      <c r="O536" s="2">
        <v>0.51416452503150534</v>
      </c>
      <c r="P536" s="2">
        <v>0.27128118691236419</v>
      </c>
      <c r="Q536" s="2">
        <v>0.15548490284039498</v>
      </c>
      <c r="R536" s="2">
        <v>0.15548490284039498</v>
      </c>
    </row>
    <row r="537" spans="1:18" x14ac:dyDescent="0.3">
      <c r="A537" s="7">
        <v>804</v>
      </c>
      <c r="B537" s="7">
        <v>14</v>
      </c>
      <c r="C537" s="7">
        <v>0</v>
      </c>
      <c r="D537" s="7">
        <v>0</v>
      </c>
      <c r="E537" s="20" t="str">
        <f t="shared" si="8"/>
        <v>00</v>
      </c>
      <c r="F537" s="21">
        <v>2.3077354954970799</v>
      </c>
      <c r="G537" s="4">
        <v>0.42399999999999999</v>
      </c>
      <c r="H537" s="4">
        <v>0.34004474272930701</v>
      </c>
      <c r="I537" s="4">
        <v>0.245</v>
      </c>
      <c r="J537" s="4">
        <v>0.17</v>
      </c>
      <c r="K537" s="5">
        <v>100</v>
      </c>
      <c r="L537" s="5">
        <v>100</v>
      </c>
      <c r="M537" s="5">
        <v>100</v>
      </c>
      <c r="N537" s="5">
        <v>100</v>
      </c>
      <c r="O537" s="2">
        <v>0.55164761828624564</v>
      </c>
      <c r="P537" s="2">
        <v>0.41558323827374971</v>
      </c>
      <c r="Q537" s="2">
        <v>0.28103752973311236</v>
      </c>
      <c r="R537" s="2">
        <v>0.18632957819149348</v>
      </c>
    </row>
    <row r="538" spans="1:18" x14ac:dyDescent="0.3">
      <c r="A538" s="7">
        <v>165</v>
      </c>
      <c r="B538" s="7">
        <v>9</v>
      </c>
      <c r="C538" s="7">
        <v>0</v>
      </c>
      <c r="D538" s="7">
        <v>0</v>
      </c>
      <c r="E538" s="20" t="str">
        <f t="shared" si="8"/>
        <v>00</v>
      </c>
      <c r="F538" s="21">
        <v>2.35509630655429</v>
      </c>
      <c r="G538" s="4">
        <v>0.72899999999999998</v>
      </c>
      <c r="H538" s="4">
        <v>0.60182370820668696</v>
      </c>
      <c r="I538" s="4">
        <v>0.24099999999999999</v>
      </c>
      <c r="J538" s="4">
        <v>0.16900000000000001</v>
      </c>
      <c r="K538" s="5">
        <v>0</v>
      </c>
      <c r="L538" s="5">
        <v>0</v>
      </c>
      <c r="M538" s="5">
        <v>100</v>
      </c>
      <c r="N538" s="5">
        <v>100</v>
      </c>
      <c r="O538" s="2">
        <v>1.305636458102436</v>
      </c>
      <c r="P538" s="2">
        <v>0.92086042756422037</v>
      </c>
      <c r="Q538" s="2">
        <v>0.27575350158650713</v>
      </c>
      <c r="R538" s="2">
        <v>0.18512548412668892</v>
      </c>
    </row>
    <row r="539" spans="1:18" x14ac:dyDescent="0.3">
      <c r="A539" s="7">
        <v>654</v>
      </c>
      <c r="B539" s="7">
        <v>11</v>
      </c>
      <c r="C539" s="7">
        <v>0</v>
      </c>
      <c r="D539" s="7">
        <v>0</v>
      </c>
      <c r="E539" s="20" t="str">
        <f t="shared" si="8"/>
        <v>00</v>
      </c>
      <c r="F539" s="21">
        <v>2.3839188677157401</v>
      </c>
      <c r="G539" s="4">
        <v>0.254</v>
      </c>
      <c r="H539" s="4">
        <v>0.18942731277533001</v>
      </c>
      <c r="I539" s="4">
        <v>0.17899999999999999</v>
      </c>
      <c r="J539" s="4">
        <v>0.17</v>
      </c>
      <c r="K539" s="5">
        <v>100</v>
      </c>
      <c r="L539" s="5">
        <v>100</v>
      </c>
      <c r="M539" s="5">
        <v>100</v>
      </c>
      <c r="N539" s="5">
        <v>100</v>
      </c>
      <c r="O539" s="2">
        <v>0.29302967877837621</v>
      </c>
      <c r="P539" s="2">
        <v>0.21001425987241654</v>
      </c>
      <c r="Q539" s="2">
        <v>0.1972321695297089</v>
      </c>
      <c r="R539" s="2">
        <v>0.18632957819149348</v>
      </c>
    </row>
    <row r="540" spans="1:18" x14ac:dyDescent="0.3">
      <c r="A540" s="7">
        <v>157</v>
      </c>
      <c r="B540" s="7">
        <v>9</v>
      </c>
      <c r="C540" s="7">
        <v>0</v>
      </c>
      <c r="D540" s="7">
        <v>0</v>
      </c>
      <c r="E540" s="20" t="str">
        <f t="shared" si="8"/>
        <v>00</v>
      </c>
      <c r="F540" s="21">
        <v>2.4001923574812198</v>
      </c>
      <c r="G540" s="4">
        <v>0.251</v>
      </c>
      <c r="H540" s="4">
        <v>0.22406639004149401</v>
      </c>
      <c r="I540" s="4">
        <v>0.113</v>
      </c>
      <c r="J540" s="4">
        <v>0.04</v>
      </c>
      <c r="K540" s="5">
        <v>100</v>
      </c>
      <c r="L540" s="5">
        <v>100</v>
      </c>
      <c r="M540" s="5">
        <v>100</v>
      </c>
      <c r="N540" s="5">
        <v>100</v>
      </c>
      <c r="O540" s="2">
        <v>0.28901629546491758</v>
      </c>
      <c r="P540" s="2">
        <v>0.25368831663606861</v>
      </c>
      <c r="Q540" s="2">
        <v>0.11991029667255755</v>
      </c>
      <c r="R540" s="2">
        <v>4.0821994520255166E-2</v>
      </c>
    </row>
    <row r="541" spans="1:18" x14ac:dyDescent="0.3">
      <c r="A541" s="7">
        <v>331</v>
      </c>
      <c r="B541" s="7">
        <v>30</v>
      </c>
      <c r="C541" s="7">
        <v>0</v>
      </c>
      <c r="D541" s="7">
        <v>0</v>
      </c>
      <c r="E541" s="20" t="str">
        <f t="shared" si="8"/>
        <v>00</v>
      </c>
      <c r="F541" s="21">
        <v>2.4017406695430998</v>
      </c>
      <c r="G541" s="4">
        <v>0.54600000000000004</v>
      </c>
      <c r="H541" s="4">
        <v>0.435768261964736</v>
      </c>
      <c r="I541" s="4">
        <v>0.20799999999999999</v>
      </c>
      <c r="J541" s="4">
        <v>0.21</v>
      </c>
      <c r="K541" s="5">
        <v>0</v>
      </c>
      <c r="L541" s="5">
        <v>100</v>
      </c>
      <c r="M541" s="5">
        <v>100</v>
      </c>
      <c r="N541" s="5">
        <v>100</v>
      </c>
      <c r="O541" s="2">
        <v>0.78965808094078915</v>
      </c>
      <c r="P541" s="2">
        <v>0.57229022883215153</v>
      </c>
      <c r="Q541" s="2">
        <v>0.23319388716771114</v>
      </c>
      <c r="R541" s="2">
        <v>0.23572233352106983</v>
      </c>
    </row>
    <row r="542" spans="1:18" x14ac:dyDescent="0.3">
      <c r="A542" s="7">
        <v>903</v>
      </c>
      <c r="B542" s="7">
        <v>267</v>
      </c>
      <c r="C542" s="7">
        <v>0</v>
      </c>
      <c r="D542" s="7">
        <v>0</v>
      </c>
      <c r="E542" s="20" t="str">
        <f t="shared" si="8"/>
        <v>00</v>
      </c>
      <c r="F542" s="21">
        <v>2.4385689422733199</v>
      </c>
      <c r="G542" s="4">
        <v>0.46400000000000002</v>
      </c>
      <c r="H542" s="4">
        <v>0.39864864864864902</v>
      </c>
      <c r="I542" s="4">
        <v>0.188</v>
      </c>
      <c r="J542" s="4">
        <v>0.16500000000000001</v>
      </c>
      <c r="K542" s="5">
        <v>100</v>
      </c>
      <c r="L542" s="5">
        <v>100</v>
      </c>
      <c r="M542" s="5">
        <v>100</v>
      </c>
      <c r="N542" s="5">
        <v>100</v>
      </c>
      <c r="O542" s="2">
        <v>0.62362111791133501</v>
      </c>
      <c r="P542" s="2">
        <v>0.50857590403197583</v>
      </c>
      <c r="Q542" s="2">
        <v>0.20825493882045903</v>
      </c>
      <c r="R542" s="2">
        <v>0.18032355413128162</v>
      </c>
    </row>
    <row r="543" spans="1:18" x14ac:dyDescent="0.3">
      <c r="A543" s="7">
        <v>332</v>
      </c>
      <c r="B543" s="7">
        <v>51</v>
      </c>
      <c r="C543" s="7">
        <v>0</v>
      </c>
      <c r="D543" s="7">
        <v>0</v>
      </c>
      <c r="E543" s="20" t="str">
        <f t="shared" si="8"/>
        <v>00</v>
      </c>
      <c r="F543" s="21">
        <v>2.4693069752550301</v>
      </c>
      <c r="G543" s="4">
        <v>0.35699999999999998</v>
      </c>
      <c r="H543" s="4">
        <v>0.32780082987551901</v>
      </c>
      <c r="I543" s="4">
        <v>0.16500000000000001</v>
      </c>
      <c r="J543" s="4">
        <v>0.14299999999999999</v>
      </c>
      <c r="K543" s="5">
        <v>100</v>
      </c>
      <c r="L543" s="5">
        <v>100</v>
      </c>
      <c r="M543" s="5">
        <v>100</v>
      </c>
      <c r="N543" s="5">
        <v>100</v>
      </c>
      <c r="O543" s="2">
        <v>0.44161055474451766</v>
      </c>
      <c r="P543" s="2">
        <v>0.39720059825827148</v>
      </c>
      <c r="Q543" s="2">
        <v>0.18032355413128162</v>
      </c>
      <c r="R543" s="2">
        <v>0.15431736038435728</v>
      </c>
    </row>
    <row r="544" spans="1:18" x14ac:dyDescent="0.3">
      <c r="A544" s="7">
        <v>534</v>
      </c>
      <c r="B544" s="7">
        <v>12</v>
      </c>
      <c r="C544" s="7">
        <v>0</v>
      </c>
      <c r="D544" s="7">
        <v>0</v>
      </c>
      <c r="E544" s="20" t="str">
        <f t="shared" si="8"/>
        <v>00</v>
      </c>
      <c r="F544" s="21">
        <v>2.5066564321238798</v>
      </c>
      <c r="G544" s="4">
        <v>0.23300000000000001</v>
      </c>
      <c r="H544" s="4">
        <v>0.23155737704918</v>
      </c>
      <c r="I544" s="4">
        <v>0.191</v>
      </c>
      <c r="J544" s="4">
        <v>0.17</v>
      </c>
      <c r="K544" s="5">
        <v>100</v>
      </c>
      <c r="L544" s="5">
        <v>100</v>
      </c>
      <c r="M544" s="5">
        <v>100</v>
      </c>
      <c r="N544" s="5">
        <v>100</v>
      </c>
      <c r="O544" s="2">
        <v>0.26526847761488087</v>
      </c>
      <c r="P544" s="2">
        <v>0.26338937988273592</v>
      </c>
      <c r="Q544" s="2">
        <v>0.21195636192364545</v>
      </c>
      <c r="R544" s="2">
        <v>0.18632957819149348</v>
      </c>
    </row>
    <row r="545" spans="1:18" x14ac:dyDescent="0.3">
      <c r="A545" s="7">
        <v>178</v>
      </c>
      <c r="B545" s="7">
        <v>8</v>
      </c>
      <c r="C545" s="7">
        <v>0</v>
      </c>
      <c r="D545" s="7">
        <v>0</v>
      </c>
      <c r="E545" s="20" t="str">
        <f t="shared" si="8"/>
        <v>00</v>
      </c>
      <c r="F545" s="21">
        <v>2.6211509804203899</v>
      </c>
      <c r="G545" s="4">
        <v>0.36099999999999999</v>
      </c>
      <c r="H545" s="4">
        <v>0.34864300626304801</v>
      </c>
      <c r="I545" s="4">
        <v>0.183</v>
      </c>
      <c r="J545" s="4">
        <v>0.14099999999999999</v>
      </c>
      <c r="K545" s="5">
        <v>100</v>
      </c>
      <c r="L545" s="5">
        <v>100</v>
      </c>
      <c r="M545" s="5">
        <v>100</v>
      </c>
      <c r="N545" s="5">
        <v>100</v>
      </c>
      <c r="O545" s="2">
        <v>0.44785082460460224</v>
      </c>
      <c r="P545" s="2">
        <v>0.42869740960143288</v>
      </c>
      <c r="Q545" s="2">
        <v>0.20211618412213422</v>
      </c>
      <c r="R545" s="2">
        <v>0.15198635699788171</v>
      </c>
    </row>
    <row r="546" spans="1:18" x14ac:dyDescent="0.3">
      <c r="A546" s="7">
        <v>259</v>
      </c>
      <c r="B546" s="7">
        <v>7</v>
      </c>
      <c r="C546" s="7">
        <v>0</v>
      </c>
      <c r="D546" s="7">
        <v>0</v>
      </c>
      <c r="E546" s="20" t="str">
        <f t="shared" si="8"/>
        <v>00</v>
      </c>
      <c r="F546" s="21">
        <v>2.6554044175592</v>
      </c>
      <c r="G546" s="4">
        <v>0.307</v>
      </c>
      <c r="H546" s="4">
        <v>0.28425357873210599</v>
      </c>
      <c r="I546" s="4">
        <v>0.19500000000000001</v>
      </c>
      <c r="J546" s="4">
        <v>0.16300000000000001</v>
      </c>
      <c r="K546" s="5">
        <v>100</v>
      </c>
      <c r="L546" s="5">
        <v>100</v>
      </c>
      <c r="M546" s="5">
        <v>100</v>
      </c>
      <c r="N546" s="5">
        <v>100</v>
      </c>
      <c r="O546" s="2">
        <v>0.36672527979223374</v>
      </c>
      <c r="P546" s="2">
        <v>0.3344293349914122</v>
      </c>
      <c r="Q546" s="2">
        <v>0.21691300156357377</v>
      </c>
      <c r="R546" s="2">
        <v>0.17793120849266178</v>
      </c>
    </row>
    <row r="547" spans="1:18" x14ac:dyDescent="0.3">
      <c r="A547" s="7">
        <v>594</v>
      </c>
      <c r="B547" s="7">
        <v>383</v>
      </c>
      <c r="C547" s="7">
        <v>0</v>
      </c>
      <c r="D547" s="7">
        <v>0</v>
      </c>
      <c r="E547" s="20" t="str">
        <f t="shared" si="8"/>
        <v>00</v>
      </c>
      <c r="F547" s="21">
        <v>2.6670624367226501</v>
      </c>
      <c r="G547" s="4">
        <v>0.374</v>
      </c>
      <c r="H547" s="4">
        <v>0.319654427645788</v>
      </c>
      <c r="I547" s="4">
        <v>0.27500000000000002</v>
      </c>
      <c r="J547" s="4">
        <v>0.19500000000000001</v>
      </c>
      <c r="K547" s="5">
        <v>100</v>
      </c>
      <c r="L547" s="5">
        <v>100</v>
      </c>
      <c r="M547" s="5">
        <v>100</v>
      </c>
      <c r="N547" s="5">
        <v>100</v>
      </c>
      <c r="O547" s="2">
        <v>0.46840490788203853</v>
      </c>
      <c r="P547" s="2">
        <v>0.38515441526060051</v>
      </c>
      <c r="Q547" s="2">
        <v>0.32158362412746233</v>
      </c>
      <c r="R547" s="2">
        <v>0.21691300156357377</v>
      </c>
    </row>
    <row r="548" spans="1:18" x14ac:dyDescent="0.3">
      <c r="A548" s="7">
        <v>599</v>
      </c>
      <c r="B548" s="7">
        <v>107</v>
      </c>
      <c r="C548" s="7">
        <v>0</v>
      </c>
      <c r="D548" s="7">
        <v>0</v>
      </c>
      <c r="E548" s="20" t="str">
        <f t="shared" si="8"/>
        <v>00</v>
      </c>
      <c r="F548" s="21">
        <v>2.7040288860688002</v>
      </c>
      <c r="G548" s="4">
        <v>0.55300000000000005</v>
      </c>
      <c r="H548" s="4">
        <v>0.34834834834834799</v>
      </c>
      <c r="I548" s="4">
        <v>0.221</v>
      </c>
      <c r="J548" s="4">
        <v>0.16800000000000001</v>
      </c>
      <c r="K548" s="5">
        <v>0</v>
      </c>
      <c r="L548" s="5">
        <v>100</v>
      </c>
      <c r="M548" s="5">
        <v>100</v>
      </c>
      <c r="N548" s="5">
        <v>100</v>
      </c>
      <c r="O548" s="2">
        <v>0.80519668436856828</v>
      </c>
      <c r="P548" s="2">
        <v>0.4282451364399838</v>
      </c>
      <c r="Q548" s="2">
        <v>0.24974423311138874</v>
      </c>
      <c r="R548" s="2">
        <v>0.1839228381609285</v>
      </c>
    </row>
    <row r="549" spans="1:18" x14ac:dyDescent="0.3">
      <c r="A549" s="7">
        <v>491</v>
      </c>
      <c r="B549" s="7">
        <v>2</v>
      </c>
      <c r="C549" s="7">
        <v>0</v>
      </c>
      <c r="D549" s="7">
        <v>0</v>
      </c>
      <c r="E549" s="20" t="str">
        <f t="shared" si="8"/>
        <v>00</v>
      </c>
      <c r="F549" s="21">
        <v>2.9211865967278698</v>
      </c>
      <c r="G549" s="4">
        <v>0.60799999999999998</v>
      </c>
      <c r="H549" s="4">
        <v>0.46831955922864998</v>
      </c>
      <c r="I549" s="4">
        <v>0.86099999999999999</v>
      </c>
      <c r="J549" s="4">
        <v>0.74199999999999999</v>
      </c>
      <c r="K549" s="5">
        <v>0</v>
      </c>
      <c r="L549" s="5">
        <v>100</v>
      </c>
      <c r="M549" s="5">
        <v>0</v>
      </c>
      <c r="N549" s="5">
        <v>0</v>
      </c>
      <c r="O549" s="2">
        <v>0.93649343919167449</v>
      </c>
      <c r="P549" s="2">
        <v>0.63171264535996496</v>
      </c>
      <c r="Q549" s="2">
        <v>1.9732813458514451</v>
      </c>
      <c r="R549" s="2">
        <v>1.3547956940605197</v>
      </c>
    </row>
    <row r="550" spans="1:18" x14ac:dyDescent="0.3">
      <c r="A550" s="7">
        <v>130</v>
      </c>
      <c r="B550" s="7">
        <v>6</v>
      </c>
      <c r="C550" s="7">
        <v>0</v>
      </c>
      <c r="D550" s="7">
        <v>0</v>
      </c>
      <c r="E550" s="20" t="str">
        <f t="shared" si="8"/>
        <v>00</v>
      </c>
      <c r="F550" s="21">
        <v>2.92178144999796</v>
      </c>
      <c r="G550" s="4">
        <v>0.61799999999999999</v>
      </c>
      <c r="H550" s="4">
        <v>0.5</v>
      </c>
      <c r="I550" s="4">
        <v>0.27</v>
      </c>
      <c r="J550" s="4">
        <v>0.2</v>
      </c>
      <c r="K550" s="5">
        <v>0</v>
      </c>
      <c r="L550" s="5">
        <v>0</v>
      </c>
      <c r="M550" s="5">
        <v>100</v>
      </c>
      <c r="N550" s="5">
        <v>100</v>
      </c>
      <c r="O550" s="2">
        <v>0.96233467037556186</v>
      </c>
      <c r="P550" s="2">
        <v>0.69314718055994529</v>
      </c>
      <c r="Q550" s="2">
        <v>0.31471074483970024</v>
      </c>
      <c r="R550" s="2">
        <v>0.22314355131420971</v>
      </c>
    </row>
    <row r="551" spans="1:18" x14ac:dyDescent="0.3">
      <c r="A551" s="7">
        <v>63</v>
      </c>
      <c r="B551" s="7">
        <v>3</v>
      </c>
      <c r="C551" s="7">
        <v>0</v>
      </c>
      <c r="D551" s="7">
        <v>0</v>
      </c>
      <c r="E551" s="20" t="str">
        <f t="shared" si="8"/>
        <v>00</v>
      </c>
      <c r="F551" s="21">
        <v>3.0135419326127399</v>
      </c>
      <c r="G551" s="4">
        <v>0.504</v>
      </c>
      <c r="H551" s="4">
        <v>0.397022332506204</v>
      </c>
      <c r="I551" s="4">
        <v>0.68200000000000005</v>
      </c>
      <c r="J551" s="4">
        <v>0.78900000000000003</v>
      </c>
      <c r="K551" s="5">
        <v>0</v>
      </c>
      <c r="L551" s="5">
        <v>100</v>
      </c>
      <c r="M551" s="5">
        <v>0</v>
      </c>
      <c r="N551" s="5">
        <v>0</v>
      </c>
      <c r="O551" s="2">
        <v>0.70117935225720962</v>
      </c>
      <c r="P551" s="2">
        <v>0.50587511860613543</v>
      </c>
      <c r="Q551" s="2">
        <v>1.1457038962019603</v>
      </c>
      <c r="R551" s="2">
        <v>1.5558971455060706</v>
      </c>
    </row>
    <row r="552" spans="1:18" x14ac:dyDescent="0.3">
      <c r="A552" s="7">
        <v>194</v>
      </c>
      <c r="B552" s="7">
        <v>123</v>
      </c>
      <c r="C552" s="7">
        <v>0</v>
      </c>
      <c r="D552" s="7">
        <v>0</v>
      </c>
      <c r="E552" s="20" t="str">
        <f t="shared" si="8"/>
        <v>00</v>
      </c>
      <c r="F552" s="21">
        <v>3.01974468551682</v>
      </c>
      <c r="G552" s="4">
        <v>0.32200000000000001</v>
      </c>
      <c r="H552" s="4">
        <v>0.25376344086021502</v>
      </c>
      <c r="I552" s="4">
        <v>0.189</v>
      </c>
      <c r="J552" s="4">
        <v>0.16900000000000001</v>
      </c>
      <c r="K552" s="5">
        <v>100</v>
      </c>
      <c r="L552" s="5">
        <v>100</v>
      </c>
      <c r="M552" s="5">
        <v>100</v>
      </c>
      <c r="N552" s="5">
        <v>100</v>
      </c>
      <c r="O552" s="2">
        <v>0.3886079910417416</v>
      </c>
      <c r="P552" s="2">
        <v>0.29271262564049699</v>
      </c>
      <c r="Q552" s="2">
        <v>0.20948722486672419</v>
      </c>
      <c r="R552" s="2">
        <v>0.18512548412668892</v>
      </c>
    </row>
    <row r="553" spans="1:18" x14ac:dyDescent="0.3">
      <c r="A553" s="7">
        <v>552</v>
      </c>
      <c r="B553" s="7">
        <v>2</v>
      </c>
      <c r="C553" s="7">
        <v>0</v>
      </c>
      <c r="D553" s="7">
        <v>0</v>
      </c>
      <c r="E553" s="20" t="str">
        <f t="shared" si="8"/>
        <v>00</v>
      </c>
      <c r="F553" s="21">
        <v>3.2219495198627599</v>
      </c>
      <c r="G553" s="4">
        <v>0.36199999999999999</v>
      </c>
      <c r="H553" s="4">
        <v>0.32900432900432902</v>
      </c>
      <c r="I553" s="4">
        <v>0.54600000000000004</v>
      </c>
      <c r="J553" s="4">
        <v>0.38900000000000001</v>
      </c>
      <c r="K553" s="5">
        <v>100</v>
      </c>
      <c r="L553" s="5">
        <v>100</v>
      </c>
      <c r="M553" s="5">
        <v>0</v>
      </c>
      <c r="N553" s="5">
        <v>100</v>
      </c>
      <c r="O553" s="2">
        <v>0.44941699563734716</v>
      </c>
      <c r="P553" s="2">
        <v>0.39899259360254685</v>
      </c>
      <c r="Q553" s="2">
        <v>0.78965808094078915</v>
      </c>
      <c r="R553" s="2">
        <v>0.49265831981054176</v>
      </c>
    </row>
    <row r="554" spans="1:18" x14ac:dyDescent="0.3">
      <c r="A554" s="7">
        <v>955</v>
      </c>
      <c r="B554" s="7">
        <v>65</v>
      </c>
      <c r="C554" s="7">
        <v>0</v>
      </c>
      <c r="D554" s="7">
        <v>0</v>
      </c>
      <c r="E554" s="20" t="str">
        <f t="shared" si="8"/>
        <v>00</v>
      </c>
      <c r="F554" s="21">
        <v>3.4573274465526498</v>
      </c>
      <c r="G554" s="4">
        <v>0.253</v>
      </c>
      <c r="H554" s="4">
        <v>0.18393234672304401</v>
      </c>
      <c r="I554" s="4">
        <v>0.68899999999999995</v>
      </c>
      <c r="J554" s="4">
        <v>0.64</v>
      </c>
      <c r="K554" s="5">
        <v>100</v>
      </c>
      <c r="L554" s="5">
        <v>100</v>
      </c>
      <c r="M554" s="5">
        <v>0</v>
      </c>
      <c r="N554" s="5">
        <v>0</v>
      </c>
      <c r="O554" s="2">
        <v>0.29169009384931976</v>
      </c>
      <c r="P554" s="2">
        <v>0.20325801902710167</v>
      </c>
      <c r="Q554" s="2">
        <v>1.1679623668029027</v>
      </c>
      <c r="R554" s="2">
        <v>1.0216512475319814</v>
      </c>
    </row>
    <row r="555" spans="1:18" x14ac:dyDescent="0.3">
      <c r="A555" s="7">
        <v>97</v>
      </c>
      <c r="B555" s="7">
        <v>26</v>
      </c>
      <c r="C555" s="7">
        <v>0</v>
      </c>
      <c r="D555" s="7">
        <v>0</v>
      </c>
      <c r="E555" s="20" t="str">
        <f t="shared" si="8"/>
        <v>00</v>
      </c>
      <c r="F555" s="21">
        <v>3.47197455240731</v>
      </c>
      <c r="G555" s="4">
        <v>0.35299999999999998</v>
      </c>
      <c r="H555" s="4">
        <v>0.28222222222222199</v>
      </c>
      <c r="I555" s="4">
        <v>0.27600000000000002</v>
      </c>
      <c r="J555" s="4">
        <v>0.24399999999999999</v>
      </c>
      <c r="K555" s="5">
        <v>100</v>
      </c>
      <c r="L555" s="5">
        <v>100</v>
      </c>
      <c r="M555" s="5">
        <v>100</v>
      </c>
      <c r="N555" s="5">
        <v>100</v>
      </c>
      <c r="O555" s="2">
        <v>0.43540898448123644</v>
      </c>
      <c r="P555" s="2">
        <v>0.33159525954170849</v>
      </c>
      <c r="Q555" s="2">
        <v>0.32296388659642072</v>
      </c>
      <c r="R555" s="2">
        <v>0.27971390280260405</v>
      </c>
    </row>
    <row r="556" spans="1:18" x14ac:dyDescent="0.3">
      <c r="A556" s="7">
        <v>985</v>
      </c>
      <c r="B556" s="7">
        <v>1</v>
      </c>
      <c r="C556" s="7">
        <v>0</v>
      </c>
      <c r="D556" s="7">
        <v>0</v>
      </c>
      <c r="E556" s="20" t="str">
        <f t="shared" si="8"/>
        <v>00</v>
      </c>
      <c r="F556" s="21">
        <v>4.0395154176033596</v>
      </c>
      <c r="G556" s="4">
        <v>0.29499999999999998</v>
      </c>
      <c r="H556" s="4">
        <v>0.21318681318681301</v>
      </c>
      <c r="I556" s="4">
        <v>0.224</v>
      </c>
      <c r="J556" s="4">
        <v>0.189</v>
      </c>
      <c r="K556" s="5">
        <v>100</v>
      </c>
      <c r="L556" s="5">
        <v>100</v>
      </c>
      <c r="M556" s="5">
        <v>100</v>
      </c>
      <c r="N556" s="5">
        <v>100</v>
      </c>
      <c r="O556" s="2">
        <v>0.34955747616986832</v>
      </c>
      <c r="P556" s="2">
        <v>0.23976443255024985</v>
      </c>
      <c r="Q556" s="2">
        <v>0.25360275879891825</v>
      </c>
      <c r="R556" s="2">
        <v>0.20948722486672419</v>
      </c>
    </row>
    <row r="557" spans="1:18" x14ac:dyDescent="0.3">
      <c r="A557" s="7">
        <v>450</v>
      </c>
      <c r="B557" s="7">
        <v>16</v>
      </c>
      <c r="C557" s="7">
        <v>0</v>
      </c>
      <c r="D557" s="7">
        <v>0</v>
      </c>
      <c r="E557" s="20" t="str">
        <f t="shared" si="8"/>
        <v>00</v>
      </c>
      <c r="F557" s="21">
        <v>4.0665893330978502</v>
      </c>
      <c r="G557" s="4">
        <v>0.24399999999999999</v>
      </c>
      <c r="H557" s="4">
        <v>0.232032854209446</v>
      </c>
      <c r="I557" s="4">
        <v>0.22900000000000001</v>
      </c>
      <c r="J557" s="4">
        <v>0.20899999999999999</v>
      </c>
      <c r="K557" s="5">
        <v>100</v>
      </c>
      <c r="L557" s="5">
        <v>100</v>
      </c>
      <c r="M557" s="5">
        <v>100</v>
      </c>
      <c r="N557" s="5">
        <v>100</v>
      </c>
      <c r="O557" s="2">
        <v>0.27971390280260405</v>
      </c>
      <c r="P557" s="2">
        <v>0.26400832566805837</v>
      </c>
      <c r="Q557" s="2">
        <v>0.26006690541880756</v>
      </c>
      <c r="R557" s="2">
        <v>0.23445731121448313</v>
      </c>
    </row>
    <row r="558" spans="1:18" x14ac:dyDescent="0.3">
      <c r="A558" s="7">
        <v>203</v>
      </c>
      <c r="B558" s="7">
        <v>44</v>
      </c>
      <c r="C558" s="7">
        <v>0</v>
      </c>
      <c r="D558" s="7">
        <v>0</v>
      </c>
      <c r="E558" s="20" t="str">
        <f t="shared" si="8"/>
        <v>00</v>
      </c>
      <c r="F558" s="21">
        <v>4.1484089617222599</v>
      </c>
      <c r="G558" s="4">
        <v>0.28299999999999997</v>
      </c>
      <c r="H558" s="4">
        <v>0.27087576374745398</v>
      </c>
      <c r="I558" s="4">
        <v>0.26</v>
      </c>
      <c r="J558" s="4">
        <v>0.22900000000000001</v>
      </c>
      <c r="K558" s="5">
        <v>100</v>
      </c>
      <c r="L558" s="5">
        <v>100</v>
      </c>
      <c r="M558" s="5">
        <v>100</v>
      </c>
      <c r="N558" s="5">
        <v>100</v>
      </c>
      <c r="O558" s="2">
        <v>0.33267943838251657</v>
      </c>
      <c r="P558" s="2">
        <v>0.31591114139381993</v>
      </c>
      <c r="Q558" s="2">
        <v>0.30110509278392161</v>
      </c>
      <c r="R558" s="2">
        <v>0.26006690541880756</v>
      </c>
    </row>
    <row r="559" spans="1:18" x14ac:dyDescent="0.3">
      <c r="A559" s="7">
        <v>417</v>
      </c>
      <c r="B559" s="7">
        <v>10</v>
      </c>
      <c r="C559" s="7">
        <v>0</v>
      </c>
      <c r="D559" s="7">
        <v>0</v>
      </c>
      <c r="E559" s="20" t="str">
        <f t="shared" si="8"/>
        <v>00</v>
      </c>
      <c r="F559" s="21">
        <v>4.3145480550731596</v>
      </c>
      <c r="G559" s="4">
        <v>0.63700000000000001</v>
      </c>
      <c r="H559" s="4">
        <v>0.51206434316353899</v>
      </c>
      <c r="I559" s="4">
        <v>0.41899999999999998</v>
      </c>
      <c r="J559" s="4">
        <v>0.32400000000000001</v>
      </c>
      <c r="K559" s="5">
        <v>0</v>
      </c>
      <c r="L559" s="5">
        <v>0</v>
      </c>
      <c r="M559" s="5">
        <v>100</v>
      </c>
      <c r="N559" s="5">
        <v>100</v>
      </c>
      <c r="O559" s="2">
        <v>1.0133524447172864</v>
      </c>
      <c r="P559" s="2">
        <v>0.71757173256702045</v>
      </c>
      <c r="Q559" s="2">
        <v>0.54300452213022588</v>
      </c>
      <c r="R559" s="2">
        <v>0.39156220293917304</v>
      </c>
    </row>
    <row r="560" spans="1:18" x14ac:dyDescent="0.3">
      <c r="A560" s="7">
        <v>767</v>
      </c>
      <c r="B560" s="7">
        <v>29</v>
      </c>
      <c r="C560" s="7">
        <v>0</v>
      </c>
      <c r="D560" s="7">
        <v>0</v>
      </c>
      <c r="E560" s="20" t="str">
        <f t="shared" si="8"/>
        <v>00</v>
      </c>
      <c r="F560" s="21">
        <v>4.3550186596807796</v>
      </c>
      <c r="G560" s="4">
        <v>0.33100000000000002</v>
      </c>
      <c r="H560" s="4">
        <v>0.26898047722342699</v>
      </c>
      <c r="I560" s="4">
        <v>0.32400000000000001</v>
      </c>
      <c r="J560" s="4">
        <v>0.26300000000000001</v>
      </c>
      <c r="K560" s="5">
        <v>100</v>
      </c>
      <c r="L560" s="5">
        <v>100</v>
      </c>
      <c r="M560" s="5">
        <v>100</v>
      </c>
      <c r="N560" s="5">
        <v>100</v>
      </c>
      <c r="O560" s="2">
        <v>0.40197121885390852</v>
      </c>
      <c r="P560" s="2">
        <v>0.31331511264428635</v>
      </c>
      <c r="Q560" s="2">
        <v>0.39156220293917304</v>
      </c>
      <c r="R560" s="2">
        <v>0.30516738679280048</v>
      </c>
    </row>
    <row r="561" spans="1:18" x14ac:dyDescent="0.3">
      <c r="A561" s="7">
        <v>124</v>
      </c>
      <c r="B561" s="7">
        <v>499</v>
      </c>
      <c r="C561" s="7">
        <v>0</v>
      </c>
      <c r="D561" s="7">
        <v>1</v>
      </c>
      <c r="E561" s="20" t="str">
        <f t="shared" si="8"/>
        <v>01</v>
      </c>
      <c r="F561" s="21">
        <v>3.9402401841610602E-4</v>
      </c>
      <c r="G561" s="4">
        <v>0.48399999999999999</v>
      </c>
      <c r="H561" s="4">
        <v>0.386091127098321</v>
      </c>
      <c r="I561" s="4">
        <v>1</v>
      </c>
      <c r="J561" s="4">
        <v>1</v>
      </c>
      <c r="K561" s="5">
        <v>0</v>
      </c>
      <c r="L561" s="5">
        <v>0</v>
      </c>
      <c r="M561" s="5">
        <v>100</v>
      </c>
      <c r="N561" s="5">
        <v>100</v>
      </c>
      <c r="O561" s="2">
        <v>0.72567037226550535</v>
      </c>
      <c r="P561" s="2">
        <v>0.95168185681433937</v>
      </c>
      <c r="Q561" s="2">
        <v>1.0000050000287824E-5</v>
      </c>
      <c r="R561" s="2">
        <v>1.0000050000287824E-5</v>
      </c>
    </row>
    <row r="562" spans="1:18" x14ac:dyDescent="0.3">
      <c r="A562" s="7">
        <v>969</v>
      </c>
      <c r="B562" s="7">
        <v>500</v>
      </c>
      <c r="C562" s="7">
        <v>0</v>
      </c>
      <c r="D562" s="7">
        <v>1</v>
      </c>
      <c r="E562" s="20" t="str">
        <f t="shared" si="8"/>
        <v>01</v>
      </c>
      <c r="F562" s="21">
        <v>1.2009382272708299E-3</v>
      </c>
      <c r="G562" s="4">
        <v>0.60499999999999998</v>
      </c>
      <c r="H562" s="4">
        <v>0.53140096618357502</v>
      </c>
      <c r="I562" s="4">
        <v>1</v>
      </c>
      <c r="J562" s="4">
        <v>1</v>
      </c>
      <c r="K562" s="5">
        <v>100</v>
      </c>
      <c r="L562" s="5">
        <v>100</v>
      </c>
      <c r="M562" s="5">
        <v>100</v>
      </c>
      <c r="N562" s="5">
        <v>100</v>
      </c>
      <c r="O562" s="2">
        <v>0.50252682095129564</v>
      </c>
      <c r="P562" s="2">
        <v>0.63223842747295256</v>
      </c>
      <c r="Q562" s="2">
        <v>1.0000050000287824E-5</v>
      </c>
      <c r="R562" s="2">
        <v>1.0000050000287824E-5</v>
      </c>
    </row>
    <row r="563" spans="1:18" x14ac:dyDescent="0.3">
      <c r="A563" s="7">
        <v>271</v>
      </c>
      <c r="B563" s="7">
        <v>499</v>
      </c>
      <c r="C563" s="7">
        <v>0</v>
      </c>
      <c r="D563" s="7">
        <v>1</v>
      </c>
      <c r="E563" s="20" t="str">
        <f t="shared" si="8"/>
        <v>01</v>
      </c>
      <c r="F563" s="21">
        <v>3.1793008802088701E-3</v>
      </c>
      <c r="G563" s="4">
        <v>0.41</v>
      </c>
      <c r="H563" s="4">
        <v>0.39254385964912297</v>
      </c>
      <c r="I563" s="4">
        <v>1</v>
      </c>
      <c r="J563" s="4">
        <v>1</v>
      </c>
      <c r="K563" s="5">
        <v>0</v>
      </c>
      <c r="L563" s="5">
        <v>0</v>
      </c>
      <c r="M563" s="5">
        <v>100</v>
      </c>
      <c r="N563" s="5">
        <v>100</v>
      </c>
      <c r="O563" s="2">
        <v>0.89159811928378363</v>
      </c>
      <c r="P563" s="2">
        <v>0.93510700367363064</v>
      </c>
      <c r="Q563" s="2">
        <v>1.0000050000287824E-5</v>
      </c>
      <c r="R563" s="2">
        <v>1.0000050000287824E-5</v>
      </c>
    </row>
    <row r="564" spans="1:18" x14ac:dyDescent="0.3">
      <c r="A564" s="7">
        <v>598</v>
      </c>
      <c r="B564" s="7">
        <v>499</v>
      </c>
      <c r="C564" s="7">
        <v>0</v>
      </c>
      <c r="D564" s="7">
        <v>1</v>
      </c>
      <c r="E564" s="20" t="str">
        <f t="shared" si="8"/>
        <v>01</v>
      </c>
      <c r="F564" s="21">
        <v>4.9412452696546601E-3</v>
      </c>
      <c r="G564" s="4">
        <v>0.34899999999999998</v>
      </c>
      <c r="H564" s="4">
        <v>0.29933481152993302</v>
      </c>
      <c r="I564" s="4">
        <v>1</v>
      </c>
      <c r="J564" s="4">
        <v>1</v>
      </c>
      <c r="K564" s="5">
        <v>0</v>
      </c>
      <c r="L564" s="5">
        <v>0</v>
      </c>
      <c r="M564" s="5">
        <v>100</v>
      </c>
      <c r="N564" s="5">
        <v>100</v>
      </c>
      <c r="O564" s="2">
        <v>1.05268335677971</v>
      </c>
      <c r="P564" s="2">
        <v>1.2061925610642505</v>
      </c>
      <c r="Q564" s="2">
        <v>1.0000050000287824E-5</v>
      </c>
      <c r="R564" s="2">
        <v>1.0000050000287824E-5</v>
      </c>
    </row>
    <row r="565" spans="1:18" x14ac:dyDescent="0.3">
      <c r="A565" s="7">
        <v>200</v>
      </c>
      <c r="B565" s="7">
        <v>492</v>
      </c>
      <c r="C565" s="7">
        <v>0</v>
      </c>
      <c r="D565" s="7">
        <v>1</v>
      </c>
      <c r="E565" s="20" t="str">
        <f t="shared" si="8"/>
        <v>01</v>
      </c>
      <c r="F565" s="21">
        <v>6.6245953854670199E-3</v>
      </c>
      <c r="G565" s="4">
        <v>0.39700000000000002</v>
      </c>
      <c r="H565" s="4">
        <v>0.34557235421166299</v>
      </c>
      <c r="I565" s="4">
        <v>0.999</v>
      </c>
      <c r="J565" s="4">
        <v>0.997</v>
      </c>
      <c r="K565" s="5">
        <v>0</v>
      </c>
      <c r="L565" s="5">
        <v>0</v>
      </c>
      <c r="M565" s="5">
        <v>100</v>
      </c>
      <c r="N565" s="5">
        <v>100</v>
      </c>
      <c r="O565" s="2">
        <v>0.92381899829494663</v>
      </c>
      <c r="P565" s="2">
        <v>1.0625532388524073</v>
      </c>
      <c r="Q565" s="2">
        <v>1.0005003335835344E-3</v>
      </c>
      <c r="R565" s="2">
        <v>3.0045090202987243E-3</v>
      </c>
    </row>
    <row r="566" spans="1:18" x14ac:dyDescent="0.3">
      <c r="A566" s="7">
        <v>487</v>
      </c>
      <c r="B566" s="7">
        <v>495</v>
      </c>
      <c r="C566" s="7">
        <v>0</v>
      </c>
      <c r="D566" s="7">
        <v>1</v>
      </c>
      <c r="E566" s="20" t="str">
        <f t="shared" si="8"/>
        <v>01</v>
      </c>
      <c r="F566" s="21">
        <v>7.2184403150190504E-3</v>
      </c>
      <c r="G566" s="4">
        <v>0.40699999999999997</v>
      </c>
      <c r="H566" s="4">
        <v>0.37634408602150499</v>
      </c>
      <c r="I566" s="4">
        <v>1</v>
      </c>
      <c r="J566" s="4">
        <v>1</v>
      </c>
      <c r="K566" s="5">
        <v>0</v>
      </c>
      <c r="L566" s="5">
        <v>0</v>
      </c>
      <c r="M566" s="5">
        <v>100</v>
      </c>
      <c r="N566" s="5">
        <v>100</v>
      </c>
      <c r="O566" s="2">
        <v>0.89894209353954213</v>
      </c>
      <c r="P566" s="2">
        <v>0.97725143166384332</v>
      </c>
      <c r="Q566" s="2">
        <v>1.0000050000287824E-5</v>
      </c>
      <c r="R566" s="2">
        <v>1.0000050000287824E-5</v>
      </c>
    </row>
    <row r="567" spans="1:18" x14ac:dyDescent="0.3">
      <c r="A567" s="7">
        <v>644</v>
      </c>
      <c r="B567" s="7">
        <v>490</v>
      </c>
      <c r="C567" s="7">
        <v>0</v>
      </c>
      <c r="D567" s="7">
        <v>1</v>
      </c>
      <c r="E567" s="20" t="str">
        <f t="shared" si="8"/>
        <v>01</v>
      </c>
      <c r="F567" s="21">
        <v>1.22849009424701E-2</v>
      </c>
      <c r="G567" s="4">
        <v>0.73499999999999999</v>
      </c>
      <c r="H567" s="4">
        <v>0.629411764705882</v>
      </c>
      <c r="I567" s="4">
        <v>1</v>
      </c>
      <c r="J567" s="4">
        <v>1</v>
      </c>
      <c r="K567" s="5">
        <v>100</v>
      </c>
      <c r="L567" s="5">
        <v>100</v>
      </c>
      <c r="M567" s="5">
        <v>100</v>
      </c>
      <c r="N567" s="5">
        <v>100</v>
      </c>
      <c r="O567" s="2">
        <v>0.3078847797693004</v>
      </c>
      <c r="P567" s="2">
        <v>0.46296960258835612</v>
      </c>
      <c r="Q567" s="2">
        <v>1.0000050000287824E-5</v>
      </c>
      <c r="R567" s="2">
        <v>1.0000050000287824E-5</v>
      </c>
    </row>
    <row r="568" spans="1:18" x14ac:dyDescent="0.3">
      <c r="A568" s="7">
        <v>498</v>
      </c>
      <c r="B568" s="7">
        <v>495</v>
      </c>
      <c r="C568" s="7">
        <v>0</v>
      </c>
      <c r="D568" s="7">
        <v>1</v>
      </c>
      <c r="E568" s="20" t="str">
        <f t="shared" si="8"/>
        <v>01</v>
      </c>
      <c r="F568" s="21">
        <v>1.3420124770010399E-2</v>
      </c>
      <c r="G568" s="4">
        <v>0.38300000000000001</v>
      </c>
      <c r="H568" s="4">
        <v>0.319654427645788</v>
      </c>
      <c r="I568" s="4">
        <v>0.999</v>
      </c>
      <c r="J568" s="4">
        <v>0.999</v>
      </c>
      <c r="K568" s="5">
        <v>0</v>
      </c>
      <c r="L568" s="5">
        <v>0</v>
      </c>
      <c r="M568" s="5">
        <v>100</v>
      </c>
      <c r="N568" s="5">
        <v>100</v>
      </c>
      <c r="O568" s="2">
        <v>0.95972028980149104</v>
      </c>
      <c r="P568" s="2">
        <v>1.1405147803221201</v>
      </c>
      <c r="Q568" s="2">
        <v>1.0005003335835344E-3</v>
      </c>
      <c r="R568" s="2">
        <v>1.0005003335835344E-3</v>
      </c>
    </row>
    <row r="569" spans="1:18" x14ac:dyDescent="0.3">
      <c r="A569" s="7">
        <v>371</v>
      </c>
      <c r="B569" s="7">
        <v>482</v>
      </c>
      <c r="C569" s="7">
        <v>0</v>
      </c>
      <c r="D569" s="7">
        <v>1</v>
      </c>
      <c r="E569" s="20" t="str">
        <f t="shared" si="8"/>
        <v>01</v>
      </c>
      <c r="F569" s="21">
        <v>1.54094660502194E-2</v>
      </c>
      <c r="G569" s="4">
        <v>0.36899999999999999</v>
      </c>
      <c r="H569" s="4">
        <v>0.28507795100222699</v>
      </c>
      <c r="I569" s="4">
        <v>0.999</v>
      </c>
      <c r="J569" s="4">
        <v>0.999</v>
      </c>
      <c r="K569" s="5">
        <v>0</v>
      </c>
      <c r="L569" s="5">
        <v>0</v>
      </c>
      <c r="M569" s="5">
        <v>100</v>
      </c>
      <c r="N569" s="5">
        <v>100</v>
      </c>
      <c r="O569" s="2">
        <v>0.99695863494160986</v>
      </c>
      <c r="P569" s="2">
        <v>1.2549926238226377</v>
      </c>
      <c r="Q569" s="2">
        <v>1.0005003335835344E-3</v>
      </c>
      <c r="R569" s="2">
        <v>1.0005003335835344E-3</v>
      </c>
    </row>
    <row r="570" spans="1:18" x14ac:dyDescent="0.3">
      <c r="A570" s="7">
        <v>447</v>
      </c>
      <c r="B570" s="7">
        <v>484</v>
      </c>
      <c r="C570" s="7">
        <v>0</v>
      </c>
      <c r="D570" s="7">
        <v>1</v>
      </c>
      <c r="E570" s="20" t="str">
        <f t="shared" si="8"/>
        <v>01</v>
      </c>
      <c r="F570" s="21">
        <v>1.9086344688081E-2</v>
      </c>
      <c r="G570" s="4">
        <v>0.55100000000000005</v>
      </c>
      <c r="H570" s="4">
        <v>0.47991071428571402</v>
      </c>
      <c r="I570" s="4">
        <v>0.999</v>
      </c>
      <c r="J570" s="4">
        <v>0.99299999999999999</v>
      </c>
      <c r="K570" s="5">
        <v>100</v>
      </c>
      <c r="L570" s="5">
        <v>0</v>
      </c>
      <c r="M570" s="5">
        <v>100</v>
      </c>
      <c r="N570" s="5">
        <v>100</v>
      </c>
      <c r="O570" s="2">
        <v>0.59602046982922252</v>
      </c>
      <c r="P570" s="2">
        <v>0.73415520428732295</v>
      </c>
      <c r="Q570" s="2">
        <v>1.0005003335835344E-3</v>
      </c>
      <c r="R570" s="2">
        <v>7.0246149369644663E-3</v>
      </c>
    </row>
    <row r="571" spans="1:18" x14ac:dyDescent="0.3">
      <c r="A571" s="7">
        <v>243</v>
      </c>
      <c r="B571" s="7">
        <v>485</v>
      </c>
      <c r="C571" s="7">
        <v>0</v>
      </c>
      <c r="D571" s="7">
        <v>1</v>
      </c>
      <c r="E571" s="20" t="str">
        <f t="shared" si="8"/>
        <v>01</v>
      </c>
      <c r="F571" s="21">
        <v>2.13017716684911E-2</v>
      </c>
      <c r="G571" s="4">
        <v>0.49399999999999999</v>
      </c>
      <c r="H571" s="4">
        <v>0.405797101449275</v>
      </c>
      <c r="I571" s="4">
        <v>0.999</v>
      </c>
      <c r="J571" s="4">
        <v>0.999</v>
      </c>
      <c r="K571" s="5">
        <v>0</v>
      </c>
      <c r="L571" s="5">
        <v>0</v>
      </c>
      <c r="M571" s="5">
        <v>100</v>
      </c>
      <c r="N571" s="5">
        <v>100</v>
      </c>
      <c r="O571" s="2">
        <v>0.70521976179421453</v>
      </c>
      <c r="P571" s="2">
        <v>0.90190199442205632</v>
      </c>
      <c r="Q571" s="2">
        <v>1.0005003335835344E-3</v>
      </c>
      <c r="R571" s="2">
        <v>1.0005003335835344E-3</v>
      </c>
    </row>
    <row r="572" spans="1:18" x14ac:dyDescent="0.3">
      <c r="A572" s="7">
        <v>225</v>
      </c>
      <c r="B572" s="7">
        <v>483</v>
      </c>
      <c r="C572" s="7">
        <v>0</v>
      </c>
      <c r="D572" s="7">
        <v>1</v>
      </c>
      <c r="E572" s="20" t="str">
        <f t="shared" si="8"/>
        <v>01</v>
      </c>
      <c r="F572" s="21">
        <v>2.1923165920580499E-2</v>
      </c>
      <c r="G572" s="4">
        <v>0.21199999999999999</v>
      </c>
      <c r="H572" s="4">
        <v>0.191752577319588</v>
      </c>
      <c r="I572" s="4">
        <v>0.97799999999999998</v>
      </c>
      <c r="J572" s="4">
        <v>0.97199999999999998</v>
      </c>
      <c r="K572" s="5">
        <v>0</v>
      </c>
      <c r="L572" s="5">
        <v>0</v>
      </c>
      <c r="M572" s="5">
        <v>100</v>
      </c>
      <c r="N572" s="5">
        <v>100</v>
      </c>
      <c r="O572" s="2">
        <v>1.5511690043101247</v>
      </c>
      <c r="P572" s="2">
        <v>1.6515493977842253</v>
      </c>
      <c r="Q572" s="2">
        <v>2.2245608947319737E-2</v>
      </c>
      <c r="R572" s="2">
        <v>2.8399474521698002E-2</v>
      </c>
    </row>
    <row r="573" spans="1:18" x14ac:dyDescent="0.3">
      <c r="A573" s="7">
        <v>762</v>
      </c>
      <c r="B573" s="7">
        <v>485</v>
      </c>
      <c r="C573" s="7">
        <v>0</v>
      </c>
      <c r="D573" s="7">
        <v>1</v>
      </c>
      <c r="E573" s="20" t="str">
        <f t="shared" si="8"/>
        <v>01</v>
      </c>
      <c r="F573" s="21">
        <v>2.29105128782176E-2</v>
      </c>
      <c r="G573" s="4">
        <v>0.25</v>
      </c>
      <c r="H573" s="4">
        <v>0.225263157894737</v>
      </c>
      <c r="I573" s="4">
        <v>1</v>
      </c>
      <c r="J573" s="4">
        <v>0.999</v>
      </c>
      <c r="K573" s="5">
        <v>0</v>
      </c>
      <c r="L573" s="5">
        <v>0</v>
      </c>
      <c r="M573" s="5">
        <v>100</v>
      </c>
      <c r="N573" s="5">
        <v>100</v>
      </c>
      <c r="O573" s="2">
        <v>1.3862943611198906</v>
      </c>
      <c r="P573" s="2">
        <v>1.4904859695727344</v>
      </c>
      <c r="Q573" s="2">
        <v>1.0000050000287824E-5</v>
      </c>
      <c r="R573" s="2">
        <v>1.0005003335835344E-3</v>
      </c>
    </row>
    <row r="574" spans="1:18" x14ac:dyDescent="0.3">
      <c r="A574" s="7">
        <v>989</v>
      </c>
      <c r="B574" s="7">
        <v>468</v>
      </c>
      <c r="C574" s="7">
        <v>0</v>
      </c>
      <c r="D574" s="7">
        <v>1</v>
      </c>
      <c r="E574" s="20" t="str">
        <f t="shared" si="8"/>
        <v>01</v>
      </c>
      <c r="F574" s="21">
        <v>2.75415038515361E-2</v>
      </c>
      <c r="G574" s="4">
        <v>0.70799999999999996</v>
      </c>
      <c r="H574" s="4">
        <v>0.63260340632603396</v>
      </c>
      <c r="I574" s="4">
        <v>0.999</v>
      </c>
      <c r="J574" s="4">
        <v>0.996</v>
      </c>
      <c r="K574" s="5">
        <v>100</v>
      </c>
      <c r="L574" s="5">
        <v>100</v>
      </c>
      <c r="M574" s="5">
        <v>100</v>
      </c>
      <c r="N574" s="5">
        <v>100</v>
      </c>
      <c r="O574" s="2">
        <v>0.34531118528841737</v>
      </c>
      <c r="P574" s="2">
        <v>0.45791158348070704</v>
      </c>
      <c r="Q574" s="2">
        <v>1.0005003335835344E-3</v>
      </c>
      <c r="R574" s="2">
        <v>4.0080213975388218E-3</v>
      </c>
    </row>
    <row r="575" spans="1:18" x14ac:dyDescent="0.3">
      <c r="A575" s="7">
        <v>592</v>
      </c>
      <c r="B575" s="7">
        <v>462</v>
      </c>
      <c r="C575" s="7">
        <v>0</v>
      </c>
      <c r="D575" s="7">
        <v>1</v>
      </c>
      <c r="E575" s="20" t="str">
        <f t="shared" si="8"/>
        <v>01</v>
      </c>
      <c r="F575" s="21">
        <v>2.7641587082953702E-2</v>
      </c>
      <c r="G575" s="4">
        <v>0.65500000000000003</v>
      </c>
      <c r="H575" s="4">
        <v>0.54324324324324302</v>
      </c>
      <c r="I575" s="4">
        <v>0.997</v>
      </c>
      <c r="J575" s="4">
        <v>0.998</v>
      </c>
      <c r="K575" s="5">
        <v>100</v>
      </c>
      <c r="L575" s="5">
        <v>100</v>
      </c>
      <c r="M575" s="5">
        <v>100</v>
      </c>
      <c r="N575" s="5">
        <v>100</v>
      </c>
      <c r="O575" s="2">
        <v>0.42312004334688508</v>
      </c>
      <c r="P575" s="2">
        <v>0.61019809757919474</v>
      </c>
      <c r="Q575" s="2">
        <v>3.0045090202987243E-3</v>
      </c>
      <c r="R575" s="2">
        <v>2.0020026706730793E-3</v>
      </c>
    </row>
    <row r="576" spans="1:18" x14ac:dyDescent="0.3">
      <c r="A576" s="7">
        <v>227</v>
      </c>
      <c r="B576" s="7">
        <v>480</v>
      </c>
      <c r="C576" s="7">
        <v>0</v>
      </c>
      <c r="D576" s="7">
        <v>1</v>
      </c>
      <c r="E576" s="20" t="str">
        <f t="shared" si="8"/>
        <v>01</v>
      </c>
      <c r="F576" s="21">
        <v>2.8746313377984799E-2</v>
      </c>
      <c r="G576" s="4">
        <v>0.46500000000000002</v>
      </c>
      <c r="H576" s="4">
        <v>0.34515366430260003</v>
      </c>
      <c r="I576" s="4">
        <v>0.99199999999999999</v>
      </c>
      <c r="J576" s="4">
        <v>0.997</v>
      </c>
      <c r="K576" s="5">
        <v>0</v>
      </c>
      <c r="L576" s="5">
        <v>0</v>
      </c>
      <c r="M576" s="5">
        <v>100</v>
      </c>
      <c r="N576" s="5">
        <v>100</v>
      </c>
      <c r="O576" s="2">
        <v>0.7657178733947807</v>
      </c>
      <c r="P576" s="2">
        <v>1.0637655573379428</v>
      </c>
      <c r="Q576" s="2">
        <v>8.0321716972642666E-3</v>
      </c>
      <c r="R576" s="2">
        <v>3.0045090202987243E-3</v>
      </c>
    </row>
    <row r="577" spans="1:18" x14ac:dyDescent="0.3">
      <c r="A577" s="7">
        <v>481</v>
      </c>
      <c r="B577" s="7">
        <v>469</v>
      </c>
      <c r="C577" s="7">
        <v>0</v>
      </c>
      <c r="D577" s="7">
        <v>1</v>
      </c>
      <c r="E577" s="20" t="str">
        <f t="shared" si="8"/>
        <v>01</v>
      </c>
      <c r="F577" s="21">
        <v>2.9010542981803101E-2</v>
      </c>
      <c r="G577" s="4">
        <v>0.33500000000000002</v>
      </c>
      <c r="H577" s="4">
        <v>0.29777777777777797</v>
      </c>
      <c r="I577" s="4">
        <v>0.995</v>
      </c>
      <c r="J577" s="4">
        <v>0.996</v>
      </c>
      <c r="K577" s="5">
        <v>0</v>
      </c>
      <c r="L577" s="5">
        <v>0</v>
      </c>
      <c r="M577" s="5">
        <v>100</v>
      </c>
      <c r="N577" s="5">
        <v>100</v>
      </c>
      <c r="O577" s="2">
        <v>1.0936247471570706</v>
      </c>
      <c r="P577" s="2">
        <v>1.2114077828134535</v>
      </c>
      <c r="Q577" s="2">
        <v>5.0125418235442863E-3</v>
      </c>
      <c r="R577" s="2">
        <v>4.0080213975388218E-3</v>
      </c>
    </row>
    <row r="578" spans="1:18" x14ac:dyDescent="0.3">
      <c r="A578" s="7">
        <v>9</v>
      </c>
      <c r="B578" s="7">
        <v>480</v>
      </c>
      <c r="C578" s="7">
        <v>0</v>
      </c>
      <c r="D578" s="7">
        <v>1</v>
      </c>
      <c r="E578" s="20" t="str">
        <f t="shared" ref="E578:E641" si="9">_xlfn.CONCAT(C578,D578)</f>
        <v>01</v>
      </c>
      <c r="F578" s="21">
        <v>3.3099371598480899E-2</v>
      </c>
      <c r="G578" s="4">
        <v>0.22800000000000001</v>
      </c>
      <c r="H578" s="4">
        <v>0.18672199170124501</v>
      </c>
      <c r="I578" s="4">
        <v>1</v>
      </c>
      <c r="J578" s="4">
        <v>0.998</v>
      </c>
      <c r="K578" s="5">
        <v>0</v>
      </c>
      <c r="L578" s="5">
        <v>0</v>
      </c>
      <c r="M578" s="5">
        <v>100</v>
      </c>
      <c r="N578" s="5">
        <v>100</v>
      </c>
      <c r="O578" s="2">
        <v>1.4784096500276962</v>
      </c>
      <c r="P578" s="2">
        <v>1.6781344437203343</v>
      </c>
      <c r="Q578" s="2">
        <v>1.0000050000287824E-5</v>
      </c>
      <c r="R578" s="2">
        <v>2.0020026706730793E-3</v>
      </c>
    </row>
    <row r="579" spans="1:18" x14ac:dyDescent="0.3">
      <c r="A579" s="7">
        <v>220</v>
      </c>
      <c r="B579" s="7">
        <v>459</v>
      </c>
      <c r="C579" s="7">
        <v>0</v>
      </c>
      <c r="D579" s="7">
        <v>1</v>
      </c>
      <c r="E579" s="20" t="str">
        <f t="shared" si="9"/>
        <v>01</v>
      </c>
      <c r="F579" s="21">
        <v>3.6484799023152603E-2</v>
      </c>
      <c r="G579" s="4">
        <v>0.36499999999999999</v>
      </c>
      <c r="H579" s="4">
        <v>0.33041575492341402</v>
      </c>
      <c r="I579" s="4">
        <v>0.99299999999999999</v>
      </c>
      <c r="J579" s="4">
        <v>0.996</v>
      </c>
      <c r="K579" s="5">
        <v>0</v>
      </c>
      <c r="L579" s="5">
        <v>0</v>
      </c>
      <c r="M579" s="5">
        <v>100</v>
      </c>
      <c r="N579" s="5">
        <v>100</v>
      </c>
      <c r="O579" s="2">
        <v>1.0078579253996456</v>
      </c>
      <c r="P579" s="2">
        <v>1.107403554079279</v>
      </c>
      <c r="Q579" s="2">
        <v>7.0246149369644663E-3</v>
      </c>
      <c r="R579" s="2">
        <v>4.0080213975388218E-3</v>
      </c>
    </row>
    <row r="580" spans="1:18" x14ac:dyDescent="0.3">
      <c r="A580" s="7">
        <v>775</v>
      </c>
      <c r="B580" s="7">
        <v>456</v>
      </c>
      <c r="C580" s="7">
        <v>0</v>
      </c>
      <c r="D580" s="7">
        <v>1</v>
      </c>
      <c r="E580" s="20" t="str">
        <f t="shared" si="9"/>
        <v>01</v>
      </c>
      <c r="F580" s="21">
        <v>3.6940456360820897E-2</v>
      </c>
      <c r="G580" s="4">
        <v>0.44900000000000001</v>
      </c>
      <c r="H580" s="4">
        <v>0.31043256997455498</v>
      </c>
      <c r="I580" s="4">
        <v>0.96699999999999997</v>
      </c>
      <c r="J580" s="4">
        <v>0.97099999999999997</v>
      </c>
      <c r="K580" s="5">
        <v>0</v>
      </c>
      <c r="L580" s="5">
        <v>0</v>
      </c>
      <c r="M580" s="5">
        <v>100</v>
      </c>
      <c r="N580" s="5">
        <v>100</v>
      </c>
      <c r="O580" s="2">
        <v>0.80073239123988271</v>
      </c>
      <c r="P580" s="2">
        <v>1.1697885671360038</v>
      </c>
      <c r="Q580" s="2">
        <v>3.3556783528842754E-2</v>
      </c>
      <c r="R580" s="2">
        <v>2.9428810690812168E-2</v>
      </c>
    </row>
    <row r="581" spans="1:18" x14ac:dyDescent="0.3">
      <c r="A581" s="7">
        <v>346</v>
      </c>
      <c r="B581" s="7">
        <v>457</v>
      </c>
      <c r="C581" s="7">
        <v>0</v>
      </c>
      <c r="D581" s="7">
        <v>1</v>
      </c>
      <c r="E581" s="20" t="str">
        <f t="shared" si="9"/>
        <v>01</v>
      </c>
      <c r="F581" s="21">
        <v>4.1580269464998099E-2</v>
      </c>
      <c r="G581" s="4">
        <v>0.33700000000000002</v>
      </c>
      <c r="H581" s="4">
        <v>0.28540772532188802</v>
      </c>
      <c r="I581" s="4">
        <v>0.996</v>
      </c>
      <c r="J581" s="4">
        <v>0.99199999999999999</v>
      </c>
      <c r="K581" s="5">
        <v>0</v>
      </c>
      <c r="L581" s="5">
        <v>0</v>
      </c>
      <c r="M581" s="5">
        <v>100</v>
      </c>
      <c r="N581" s="5">
        <v>100</v>
      </c>
      <c r="O581" s="2">
        <v>1.0876723486297752</v>
      </c>
      <c r="P581" s="2">
        <v>1.2538365059038934</v>
      </c>
      <c r="Q581" s="2">
        <v>4.0080213975388218E-3</v>
      </c>
      <c r="R581" s="2">
        <v>8.0321716972642666E-3</v>
      </c>
    </row>
    <row r="582" spans="1:18" x14ac:dyDescent="0.3">
      <c r="A582" s="7">
        <v>596</v>
      </c>
      <c r="B582" s="7">
        <v>461</v>
      </c>
      <c r="C582" s="7">
        <v>0</v>
      </c>
      <c r="D582" s="7">
        <v>1</v>
      </c>
      <c r="E582" s="20" t="str">
        <f t="shared" si="9"/>
        <v>01</v>
      </c>
      <c r="F582" s="21">
        <v>4.2143290322853799E-2</v>
      </c>
      <c r="G582" s="4">
        <v>0.26600000000000001</v>
      </c>
      <c r="H582" s="4">
        <v>0.23395445134575599</v>
      </c>
      <c r="I582" s="4">
        <v>0.997</v>
      </c>
      <c r="J582" s="4">
        <v>0.997</v>
      </c>
      <c r="K582" s="5">
        <v>0</v>
      </c>
      <c r="L582" s="5">
        <v>0</v>
      </c>
      <c r="M582" s="5">
        <v>100</v>
      </c>
      <c r="N582" s="5">
        <v>100</v>
      </c>
      <c r="O582" s="2">
        <v>1.3242589702004379</v>
      </c>
      <c r="P582" s="2">
        <v>1.4526288349402308</v>
      </c>
      <c r="Q582" s="2">
        <v>3.0045090202987243E-3</v>
      </c>
      <c r="R582" s="2">
        <v>3.0045090202987243E-3</v>
      </c>
    </row>
    <row r="583" spans="1:18" x14ac:dyDescent="0.3">
      <c r="A583" s="7">
        <v>16</v>
      </c>
      <c r="B583" s="7">
        <v>456</v>
      </c>
      <c r="C583" s="7">
        <v>0</v>
      </c>
      <c r="D583" s="7">
        <v>1</v>
      </c>
      <c r="E583" s="20" t="str">
        <f t="shared" si="9"/>
        <v>01</v>
      </c>
      <c r="F583" s="21">
        <v>4.2834299112416797E-2</v>
      </c>
      <c r="G583" s="4">
        <v>0.56499999999999995</v>
      </c>
      <c r="H583" s="4">
        <v>0.510112359550562</v>
      </c>
      <c r="I583" s="4">
        <v>0.999</v>
      </c>
      <c r="J583" s="4">
        <v>0.998</v>
      </c>
      <c r="K583" s="5">
        <v>100</v>
      </c>
      <c r="L583" s="5">
        <v>100</v>
      </c>
      <c r="M583" s="5">
        <v>100</v>
      </c>
      <c r="N583" s="5">
        <v>100</v>
      </c>
      <c r="O583" s="2">
        <v>0.57092954783569616</v>
      </c>
      <c r="P583" s="2">
        <v>0.6731242646848371</v>
      </c>
      <c r="Q583" s="2">
        <v>1.0005003335835344E-3</v>
      </c>
      <c r="R583" s="2">
        <v>2.0020026706730793E-3</v>
      </c>
    </row>
    <row r="584" spans="1:18" x14ac:dyDescent="0.3">
      <c r="A584" s="7">
        <v>440</v>
      </c>
      <c r="B584" s="7">
        <v>464</v>
      </c>
      <c r="C584" s="7">
        <v>0</v>
      </c>
      <c r="D584" s="7">
        <v>1</v>
      </c>
      <c r="E584" s="20" t="str">
        <f t="shared" si="9"/>
        <v>01</v>
      </c>
      <c r="F584" s="21">
        <v>4.42361127835601E-2</v>
      </c>
      <c r="G584" s="4">
        <v>0.432</v>
      </c>
      <c r="H584" s="4">
        <v>0.30499999999999999</v>
      </c>
      <c r="I584" s="4">
        <v>0.753</v>
      </c>
      <c r="J584" s="4">
        <v>0.73699999999999999</v>
      </c>
      <c r="K584" s="5">
        <v>0</v>
      </c>
      <c r="L584" s="5">
        <v>0</v>
      </c>
      <c r="M584" s="5">
        <v>100</v>
      </c>
      <c r="N584" s="5">
        <v>100</v>
      </c>
      <c r="O584" s="2">
        <v>0.83932969073802677</v>
      </c>
      <c r="P584" s="2">
        <v>1.1874435023747254</v>
      </c>
      <c r="Q584" s="2">
        <v>0.2836900511822435</v>
      </c>
      <c r="R584" s="2">
        <v>0.30516738679280048</v>
      </c>
    </row>
    <row r="585" spans="1:18" x14ac:dyDescent="0.3">
      <c r="A585" s="7">
        <v>475</v>
      </c>
      <c r="B585" s="7">
        <v>455</v>
      </c>
      <c r="C585" s="7">
        <v>0</v>
      </c>
      <c r="D585" s="7">
        <v>1</v>
      </c>
      <c r="E585" s="20" t="str">
        <f t="shared" si="9"/>
        <v>01</v>
      </c>
      <c r="F585" s="21">
        <v>4.4549063486401398E-2</v>
      </c>
      <c r="G585" s="4">
        <v>0.46400000000000002</v>
      </c>
      <c r="H585" s="4">
        <v>0.391891891891892</v>
      </c>
      <c r="I585" s="4">
        <v>0.99</v>
      </c>
      <c r="J585" s="4">
        <v>0.99399999999999999</v>
      </c>
      <c r="K585" s="5">
        <v>0</v>
      </c>
      <c r="L585" s="5">
        <v>0</v>
      </c>
      <c r="M585" s="5">
        <v>100</v>
      </c>
      <c r="N585" s="5">
        <v>100</v>
      </c>
      <c r="O585" s="2">
        <v>0.76787072675588175</v>
      </c>
      <c r="P585" s="2">
        <v>0.93676926321769549</v>
      </c>
      <c r="Q585" s="2">
        <v>1.0050335853501451E-2</v>
      </c>
      <c r="R585" s="2">
        <v>6.0180723255630212E-3</v>
      </c>
    </row>
    <row r="586" spans="1:18" x14ac:dyDescent="0.3">
      <c r="A586" s="7">
        <v>420</v>
      </c>
      <c r="B586" s="7">
        <v>463</v>
      </c>
      <c r="C586" s="7">
        <v>0</v>
      </c>
      <c r="D586" s="7">
        <v>1</v>
      </c>
      <c r="E586" s="20" t="str">
        <f t="shared" si="9"/>
        <v>01</v>
      </c>
      <c r="F586" s="21">
        <v>5.07048819610912E-2</v>
      </c>
      <c r="G586" s="4">
        <v>0.41599999999999998</v>
      </c>
      <c r="H586" s="4">
        <v>0.33483146067415698</v>
      </c>
      <c r="I586" s="4">
        <v>0.97799999999999998</v>
      </c>
      <c r="J586" s="4">
        <v>0.96499999999999997</v>
      </c>
      <c r="K586" s="5">
        <v>0</v>
      </c>
      <c r="L586" s="5">
        <v>0</v>
      </c>
      <c r="M586" s="5">
        <v>100</v>
      </c>
      <c r="N586" s="5">
        <v>100</v>
      </c>
      <c r="O586" s="2">
        <v>0.87707001872087387</v>
      </c>
      <c r="P586" s="2">
        <v>1.0941279762207821</v>
      </c>
      <c r="Q586" s="2">
        <v>2.2245608947319737E-2</v>
      </c>
      <c r="R586" s="2">
        <v>3.562717764315116E-2</v>
      </c>
    </row>
    <row r="587" spans="1:18" x14ac:dyDescent="0.3">
      <c r="A587" s="7">
        <v>289</v>
      </c>
      <c r="B587" s="7">
        <v>458</v>
      </c>
      <c r="C587" s="7">
        <v>0</v>
      </c>
      <c r="D587" s="7">
        <v>1</v>
      </c>
      <c r="E587" s="20" t="str">
        <f t="shared" si="9"/>
        <v>01</v>
      </c>
      <c r="F587" s="21">
        <v>5.2992360275405097E-2</v>
      </c>
      <c r="G587" s="4">
        <v>0.749</v>
      </c>
      <c r="H587" s="4">
        <v>0.61073825503355705</v>
      </c>
      <c r="I587" s="4">
        <v>1</v>
      </c>
      <c r="J587" s="4">
        <v>0.99099999999999999</v>
      </c>
      <c r="K587" s="5">
        <v>100</v>
      </c>
      <c r="L587" s="5">
        <v>100</v>
      </c>
      <c r="M587" s="5">
        <v>100</v>
      </c>
      <c r="N587" s="5">
        <v>100</v>
      </c>
      <c r="O587" s="2">
        <v>0.28901629546491758</v>
      </c>
      <c r="P587" s="2">
        <v>0.49308679942860911</v>
      </c>
      <c r="Q587" s="2">
        <v>1.0000050000287824E-5</v>
      </c>
      <c r="R587" s="2">
        <v>9.0407446521490707E-3</v>
      </c>
    </row>
    <row r="588" spans="1:18" x14ac:dyDescent="0.3">
      <c r="A588" s="7">
        <v>626</v>
      </c>
      <c r="B588" s="7">
        <v>448</v>
      </c>
      <c r="C588" s="7">
        <v>0</v>
      </c>
      <c r="D588" s="7">
        <v>1</v>
      </c>
      <c r="E588" s="20" t="str">
        <f t="shared" si="9"/>
        <v>01</v>
      </c>
      <c r="F588" s="21">
        <v>5.4853105225711699E-2</v>
      </c>
      <c r="G588" s="4">
        <v>0.35499999999999998</v>
      </c>
      <c r="H588" s="4">
        <v>0.31856540084388202</v>
      </c>
      <c r="I588" s="4">
        <v>0.997</v>
      </c>
      <c r="J588" s="4">
        <v>0.997</v>
      </c>
      <c r="K588" s="5">
        <v>0</v>
      </c>
      <c r="L588" s="5">
        <v>0</v>
      </c>
      <c r="M588" s="5">
        <v>100</v>
      </c>
      <c r="N588" s="5">
        <v>100</v>
      </c>
      <c r="O588" s="2">
        <v>1.0356374895067213</v>
      </c>
      <c r="P588" s="2">
        <v>1.1439274848801517</v>
      </c>
      <c r="Q588" s="2">
        <v>3.0045090202987243E-3</v>
      </c>
      <c r="R588" s="2">
        <v>3.0045090202987243E-3</v>
      </c>
    </row>
    <row r="589" spans="1:18" x14ac:dyDescent="0.3">
      <c r="A589" s="7">
        <v>495</v>
      </c>
      <c r="B589" s="7">
        <v>450</v>
      </c>
      <c r="C589" s="7">
        <v>0</v>
      </c>
      <c r="D589" s="7">
        <v>1</v>
      </c>
      <c r="E589" s="20" t="str">
        <f t="shared" si="9"/>
        <v>01</v>
      </c>
      <c r="F589" s="21">
        <v>5.6491675969239402E-2</v>
      </c>
      <c r="G589" s="4">
        <v>0.56999999999999995</v>
      </c>
      <c r="H589" s="4">
        <v>0.50113378684807297</v>
      </c>
      <c r="I589" s="4">
        <v>0.995</v>
      </c>
      <c r="J589" s="4">
        <v>0.997</v>
      </c>
      <c r="K589" s="5">
        <v>100</v>
      </c>
      <c r="L589" s="5">
        <v>100</v>
      </c>
      <c r="M589" s="5">
        <v>100</v>
      </c>
      <c r="N589" s="5">
        <v>100</v>
      </c>
      <c r="O589" s="2">
        <v>0.56211891815354131</v>
      </c>
      <c r="P589" s="2">
        <v>0.69088217392909235</v>
      </c>
      <c r="Q589" s="2">
        <v>5.0125418235442863E-3</v>
      </c>
      <c r="R589" s="2">
        <v>3.0045090202987243E-3</v>
      </c>
    </row>
    <row r="590" spans="1:18" x14ac:dyDescent="0.3">
      <c r="A590" s="7">
        <v>956</v>
      </c>
      <c r="B590" s="7">
        <v>456</v>
      </c>
      <c r="C590" s="7">
        <v>0</v>
      </c>
      <c r="D590" s="7">
        <v>1</v>
      </c>
      <c r="E590" s="20" t="str">
        <f t="shared" si="9"/>
        <v>01</v>
      </c>
      <c r="F590" s="21">
        <v>5.7795348521181303E-2</v>
      </c>
      <c r="G590" s="4">
        <v>0.34899999999999998</v>
      </c>
      <c r="H590" s="4">
        <v>0.327083333333333</v>
      </c>
      <c r="I590" s="4">
        <v>0.999</v>
      </c>
      <c r="J590" s="4">
        <v>0.995</v>
      </c>
      <c r="K590" s="5">
        <v>0</v>
      </c>
      <c r="L590" s="5">
        <v>0</v>
      </c>
      <c r="M590" s="5">
        <v>100</v>
      </c>
      <c r="N590" s="5">
        <v>100</v>
      </c>
      <c r="O590" s="2">
        <v>1.05268335677971</v>
      </c>
      <c r="P590" s="2">
        <v>1.1175402985536296</v>
      </c>
      <c r="Q590" s="2">
        <v>1.0005003335835344E-3</v>
      </c>
      <c r="R590" s="2">
        <v>5.0125418235442863E-3</v>
      </c>
    </row>
    <row r="591" spans="1:18" x14ac:dyDescent="0.3">
      <c r="A591" s="7">
        <v>239</v>
      </c>
      <c r="B591" s="7">
        <v>447</v>
      </c>
      <c r="C591" s="7">
        <v>0</v>
      </c>
      <c r="D591" s="7">
        <v>1</v>
      </c>
      <c r="E591" s="20" t="str">
        <f t="shared" si="9"/>
        <v>01</v>
      </c>
      <c r="F591" s="21">
        <v>5.7889056232253801E-2</v>
      </c>
      <c r="G591" s="4">
        <v>0.23499999999999999</v>
      </c>
      <c r="H591" s="4">
        <v>0.210300429184549</v>
      </c>
      <c r="I591" s="4">
        <v>0.95399999999999996</v>
      </c>
      <c r="J591" s="4">
        <v>0.95599999999999996</v>
      </c>
      <c r="K591" s="5">
        <v>0</v>
      </c>
      <c r="L591" s="5">
        <v>0</v>
      </c>
      <c r="M591" s="5">
        <v>100</v>
      </c>
      <c r="N591" s="5">
        <v>100</v>
      </c>
      <c r="O591" s="2">
        <v>1.4481697648379781</v>
      </c>
      <c r="P591" s="2">
        <v>1.5592181554550757</v>
      </c>
      <c r="Q591" s="2">
        <v>4.7091607533850569E-2</v>
      </c>
      <c r="R591" s="2">
        <v>4.4997365930735805E-2</v>
      </c>
    </row>
    <row r="592" spans="1:18" x14ac:dyDescent="0.3">
      <c r="A592" s="7">
        <v>582</v>
      </c>
      <c r="B592" s="7">
        <v>455</v>
      </c>
      <c r="C592" s="7">
        <v>0</v>
      </c>
      <c r="D592" s="7">
        <v>1</v>
      </c>
      <c r="E592" s="20" t="str">
        <f t="shared" si="9"/>
        <v>01</v>
      </c>
      <c r="F592" s="21">
        <v>6.2228744536769499E-2</v>
      </c>
      <c r="G592" s="4">
        <v>0.71899999999999997</v>
      </c>
      <c r="H592" s="4">
        <v>0.62944162436548201</v>
      </c>
      <c r="I592" s="4">
        <v>0.997</v>
      </c>
      <c r="J592" s="4">
        <v>0.99399999999999999</v>
      </c>
      <c r="K592" s="5">
        <v>100</v>
      </c>
      <c r="L592" s="5">
        <v>100</v>
      </c>
      <c r="M592" s="5">
        <v>100</v>
      </c>
      <c r="N592" s="5">
        <v>100</v>
      </c>
      <c r="O592" s="2">
        <v>0.32989392126109041</v>
      </c>
      <c r="P592" s="2">
        <v>0.46292216313295198</v>
      </c>
      <c r="Q592" s="2">
        <v>3.0045090202987243E-3</v>
      </c>
      <c r="R592" s="2">
        <v>6.0180723255630212E-3</v>
      </c>
    </row>
    <row r="593" spans="1:18" x14ac:dyDescent="0.3">
      <c r="A593" s="7">
        <v>416</v>
      </c>
      <c r="B593" s="7">
        <v>429</v>
      </c>
      <c r="C593" s="7">
        <v>0</v>
      </c>
      <c r="D593" s="7">
        <v>1</v>
      </c>
      <c r="E593" s="20" t="str">
        <f t="shared" si="9"/>
        <v>01</v>
      </c>
      <c r="F593" s="21">
        <v>6.2847255871145993E-2</v>
      </c>
      <c r="G593" s="4">
        <v>0.45600000000000002</v>
      </c>
      <c r="H593" s="4">
        <v>0.44</v>
      </c>
      <c r="I593" s="4">
        <v>0.998</v>
      </c>
      <c r="J593" s="4">
        <v>0.996</v>
      </c>
      <c r="K593" s="5">
        <v>0</v>
      </c>
      <c r="L593" s="5">
        <v>0</v>
      </c>
      <c r="M593" s="5">
        <v>100</v>
      </c>
      <c r="N593" s="5">
        <v>100</v>
      </c>
      <c r="O593" s="2">
        <v>0.78526246946775091</v>
      </c>
      <c r="P593" s="2">
        <v>0.82098055206983023</v>
      </c>
      <c r="Q593" s="2">
        <v>2.0020026706730793E-3</v>
      </c>
      <c r="R593" s="2">
        <v>4.0080213975388218E-3</v>
      </c>
    </row>
    <row r="594" spans="1:18" x14ac:dyDescent="0.3">
      <c r="A594" s="7">
        <v>984</v>
      </c>
      <c r="B594" s="7">
        <v>447</v>
      </c>
      <c r="C594" s="7">
        <v>0</v>
      </c>
      <c r="D594" s="7">
        <v>1</v>
      </c>
      <c r="E594" s="20" t="str">
        <f t="shared" si="9"/>
        <v>01</v>
      </c>
      <c r="F594" s="21">
        <v>6.28478773933277E-2</v>
      </c>
      <c r="G594" s="4">
        <v>0.752</v>
      </c>
      <c r="H594" s="4">
        <v>0.52549019607843095</v>
      </c>
      <c r="I594" s="4">
        <v>0.997</v>
      </c>
      <c r="J594" s="4">
        <v>0.996</v>
      </c>
      <c r="K594" s="5">
        <v>100</v>
      </c>
      <c r="L594" s="5">
        <v>100</v>
      </c>
      <c r="M594" s="5">
        <v>100</v>
      </c>
      <c r="N594" s="5">
        <v>100</v>
      </c>
      <c r="O594" s="2">
        <v>0.28501895503229724</v>
      </c>
      <c r="P594" s="2">
        <v>0.64342374520751555</v>
      </c>
      <c r="Q594" s="2">
        <v>3.0045090202987243E-3</v>
      </c>
      <c r="R594" s="2">
        <v>4.0080213975388218E-3</v>
      </c>
    </row>
    <row r="595" spans="1:18" x14ac:dyDescent="0.3">
      <c r="A595" s="7">
        <v>634</v>
      </c>
      <c r="B595" s="7">
        <v>439</v>
      </c>
      <c r="C595" s="7">
        <v>0</v>
      </c>
      <c r="D595" s="7">
        <v>1</v>
      </c>
      <c r="E595" s="20" t="str">
        <f t="shared" si="9"/>
        <v>01</v>
      </c>
      <c r="F595" s="21">
        <v>6.3849190794060304E-2</v>
      </c>
      <c r="G595" s="4">
        <v>0.47199999999999998</v>
      </c>
      <c r="H595" s="4">
        <v>0.37757437070938199</v>
      </c>
      <c r="I595" s="4">
        <v>0.99</v>
      </c>
      <c r="J595" s="4">
        <v>0.999</v>
      </c>
      <c r="K595" s="5">
        <v>0</v>
      </c>
      <c r="L595" s="5">
        <v>0</v>
      </c>
      <c r="M595" s="5">
        <v>100</v>
      </c>
      <c r="N595" s="5">
        <v>100</v>
      </c>
      <c r="O595" s="2">
        <v>0.7507762933965817</v>
      </c>
      <c r="P595" s="2">
        <v>0.97398772119500998</v>
      </c>
      <c r="Q595" s="2">
        <v>1.0050335853501451E-2</v>
      </c>
      <c r="R595" s="2">
        <v>1.0005003335835344E-3</v>
      </c>
    </row>
    <row r="596" spans="1:18" x14ac:dyDescent="0.3">
      <c r="A596" s="7">
        <v>237</v>
      </c>
      <c r="B596" s="7">
        <v>439</v>
      </c>
      <c r="C596" s="7">
        <v>0</v>
      </c>
      <c r="D596" s="7">
        <v>1</v>
      </c>
      <c r="E596" s="20" t="str">
        <f t="shared" si="9"/>
        <v>01</v>
      </c>
      <c r="F596" s="21">
        <v>6.5536030409339197E-2</v>
      </c>
      <c r="G596" s="4">
        <v>0.61</v>
      </c>
      <c r="H596" s="4">
        <v>0.52825552825552802</v>
      </c>
      <c r="I596" s="4">
        <v>0.79700000000000004</v>
      </c>
      <c r="J596" s="4">
        <v>0.81399999999999995</v>
      </c>
      <c r="K596" s="5">
        <v>100</v>
      </c>
      <c r="L596" s="5">
        <v>100</v>
      </c>
      <c r="M596" s="5">
        <v>100</v>
      </c>
      <c r="N596" s="5">
        <v>100</v>
      </c>
      <c r="O596" s="2">
        <v>0.49429632181478012</v>
      </c>
      <c r="P596" s="2">
        <v>0.63817515731493268</v>
      </c>
      <c r="Q596" s="2">
        <v>0.22690060019192196</v>
      </c>
      <c r="R596" s="2">
        <v>0.20579491297959682</v>
      </c>
    </row>
    <row r="597" spans="1:18" x14ac:dyDescent="0.3">
      <c r="A597" s="7">
        <v>697</v>
      </c>
      <c r="B597" s="7">
        <v>423</v>
      </c>
      <c r="C597" s="7">
        <v>0</v>
      </c>
      <c r="D597" s="7">
        <v>1</v>
      </c>
      <c r="E597" s="20" t="str">
        <f t="shared" si="9"/>
        <v>01</v>
      </c>
      <c r="F597" s="21">
        <v>6.6876162749608906E-2</v>
      </c>
      <c r="G597" s="4">
        <v>0.52400000000000002</v>
      </c>
      <c r="H597" s="4">
        <v>0.459396751740139</v>
      </c>
      <c r="I597" s="4">
        <v>0.995</v>
      </c>
      <c r="J597" s="4">
        <v>0.998</v>
      </c>
      <c r="K597" s="5">
        <v>100</v>
      </c>
      <c r="L597" s="5">
        <v>0</v>
      </c>
      <c r="M597" s="5">
        <v>100</v>
      </c>
      <c r="N597" s="5">
        <v>100</v>
      </c>
      <c r="O597" s="2">
        <v>0.64626359466109484</v>
      </c>
      <c r="P597" s="2">
        <v>0.777841059409213</v>
      </c>
      <c r="Q597" s="2">
        <v>5.0125418235442863E-3</v>
      </c>
      <c r="R597" s="2">
        <v>2.0020026706730793E-3</v>
      </c>
    </row>
    <row r="598" spans="1:18" x14ac:dyDescent="0.3">
      <c r="A598" s="7">
        <v>461</v>
      </c>
      <c r="B598" s="7">
        <v>430</v>
      </c>
      <c r="C598" s="7">
        <v>0</v>
      </c>
      <c r="D598" s="7">
        <v>1</v>
      </c>
      <c r="E598" s="20" t="str">
        <f t="shared" si="9"/>
        <v>01</v>
      </c>
      <c r="F598" s="21">
        <v>6.7855070194470596E-2</v>
      </c>
      <c r="G598" s="4">
        <v>0.56499999999999995</v>
      </c>
      <c r="H598" s="4">
        <v>0.46818181818181798</v>
      </c>
      <c r="I598" s="4">
        <v>0.996</v>
      </c>
      <c r="J598" s="4">
        <v>0.999</v>
      </c>
      <c r="K598" s="5">
        <v>100</v>
      </c>
      <c r="L598" s="5">
        <v>0</v>
      </c>
      <c r="M598" s="5">
        <v>100</v>
      </c>
      <c r="N598" s="5">
        <v>100</v>
      </c>
      <c r="O598" s="2">
        <v>0.57092954783569616</v>
      </c>
      <c r="P598" s="2">
        <v>0.75889855812272622</v>
      </c>
      <c r="Q598" s="2">
        <v>4.0080213975388218E-3</v>
      </c>
      <c r="R598" s="2">
        <v>1.0005003335835344E-3</v>
      </c>
    </row>
    <row r="599" spans="1:18" x14ac:dyDescent="0.3">
      <c r="A599" s="7">
        <v>774</v>
      </c>
      <c r="B599" s="7">
        <v>440</v>
      </c>
      <c r="C599" s="7">
        <v>0</v>
      </c>
      <c r="D599" s="7">
        <v>1</v>
      </c>
      <c r="E599" s="20" t="str">
        <f t="shared" si="9"/>
        <v>01</v>
      </c>
      <c r="F599" s="21">
        <v>6.8230303635073097E-2</v>
      </c>
      <c r="G599" s="4">
        <v>0.38200000000000001</v>
      </c>
      <c r="H599" s="4">
        <v>0.33114035087719301</v>
      </c>
      <c r="I599" s="4">
        <v>0.94399999999999995</v>
      </c>
      <c r="J599" s="4">
        <v>0.95099999999999996</v>
      </c>
      <c r="K599" s="5">
        <v>0</v>
      </c>
      <c r="L599" s="5">
        <v>0</v>
      </c>
      <c r="M599" s="5">
        <v>100</v>
      </c>
      <c r="N599" s="5">
        <v>100</v>
      </c>
      <c r="O599" s="2">
        <v>0.96233467037556186</v>
      </c>
      <c r="P599" s="2">
        <v>1.1052129726994617</v>
      </c>
      <c r="Q599" s="2">
        <v>5.7629112836636416E-2</v>
      </c>
      <c r="R599" s="2">
        <v>5.024121643674679E-2</v>
      </c>
    </row>
    <row r="600" spans="1:18" x14ac:dyDescent="0.3">
      <c r="A600" s="7">
        <v>463</v>
      </c>
      <c r="B600" s="7">
        <v>440</v>
      </c>
      <c r="C600" s="7">
        <v>0</v>
      </c>
      <c r="D600" s="7">
        <v>1</v>
      </c>
      <c r="E600" s="20" t="str">
        <f t="shared" si="9"/>
        <v>01</v>
      </c>
      <c r="F600" s="21">
        <v>6.9839184802995599E-2</v>
      </c>
      <c r="G600" s="4">
        <v>0.30199999999999999</v>
      </c>
      <c r="H600" s="4">
        <v>0.27157894736842098</v>
      </c>
      <c r="I600" s="4">
        <v>0.94799999999999995</v>
      </c>
      <c r="J600" s="4">
        <v>0.93799999999999994</v>
      </c>
      <c r="K600" s="5">
        <v>0</v>
      </c>
      <c r="L600" s="5">
        <v>0</v>
      </c>
      <c r="M600" s="5">
        <v>100</v>
      </c>
      <c r="N600" s="5">
        <v>100</v>
      </c>
      <c r="O600" s="2">
        <v>1.1973282616072674</v>
      </c>
      <c r="P600" s="2">
        <v>1.3035023996729693</v>
      </c>
      <c r="Q600" s="2">
        <v>5.3400776727115296E-2</v>
      </c>
      <c r="R600" s="2">
        <v>6.4005329975912434E-2</v>
      </c>
    </row>
    <row r="601" spans="1:18" x14ac:dyDescent="0.3">
      <c r="A601" s="7">
        <v>150</v>
      </c>
      <c r="B601" s="7">
        <v>448</v>
      </c>
      <c r="C601" s="7">
        <v>0</v>
      </c>
      <c r="D601" s="7">
        <v>1</v>
      </c>
      <c r="E601" s="20" t="str">
        <f t="shared" si="9"/>
        <v>01</v>
      </c>
      <c r="F601" s="21">
        <v>7.0442088336924405E-2</v>
      </c>
      <c r="G601" s="4">
        <v>0.41799999999999998</v>
      </c>
      <c r="H601" s="4">
        <v>0.34666666666666701</v>
      </c>
      <c r="I601" s="4">
        <v>0.998</v>
      </c>
      <c r="J601" s="4">
        <v>0.99199999999999999</v>
      </c>
      <c r="K601" s="5">
        <v>0</v>
      </c>
      <c r="L601" s="5">
        <v>0</v>
      </c>
      <c r="M601" s="5">
        <v>100</v>
      </c>
      <c r="N601" s="5">
        <v>100</v>
      </c>
      <c r="O601" s="2">
        <v>0.87227384645738082</v>
      </c>
      <c r="P601" s="2">
        <v>1.0593915755148273</v>
      </c>
      <c r="Q601" s="2">
        <v>2.0020026706730793E-3</v>
      </c>
      <c r="R601" s="2">
        <v>8.0321716972642666E-3</v>
      </c>
    </row>
    <row r="602" spans="1:18" x14ac:dyDescent="0.3">
      <c r="A602" s="7">
        <v>624</v>
      </c>
      <c r="B602" s="7">
        <v>449</v>
      </c>
      <c r="C602" s="7">
        <v>0</v>
      </c>
      <c r="D602" s="7">
        <v>1</v>
      </c>
      <c r="E602" s="20" t="str">
        <f t="shared" si="9"/>
        <v>01</v>
      </c>
      <c r="F602" s="21">
        <v>7.3101355902272694E-2</v>
      </c>
      <c r="G602" s="4">
        <v>0.44800000000000001</v>
      </c>
      <c r="H602" s="4">
        <v>0.34466019417475702</v>
      </c>
      <c r="I602" s="4">
        <v>0.99199999999999999</v>
      </c>
      <c r="J602" s="4">
        <v>0.99099999999999999</v>
      </c>
      <c r="K602" s="5">
        <v>0</v>
      </c>
      <c r="L602" s="5">
        <v>0</v>
      </c>
      <c r="M602" s="5">
        <v>100</v>
      </c>
      <c r="N602" s="5">
        <v>100</v>
      </c>
      <c r="O602" s="2">
        <v>0.80296204656715187</v>
      </c>
      <c r="P602" s="2">
        <v>1.0651962917482665</v>
      </c>
      <c r="Q602" s="2">
        <v>8.0321716972642666E-3</v>
      </c>
      <c r="R602" s="2">
        <v>9.0407446521490707E-3</v>
      </c>
    </row>
    <row r="603" spans="1:18" x14ac:dyDescent="0.3">
      <c r="A603" s="7">
        <v>568</v>
      </c>
      <c r="B603" s="7">
        <v>434</v>
      </c>
      <c r="C603" s="7">
        <v>0</v>
      </c>
      <c r="D603" s="7">
        <v>1</v>
      </c>
      <c r="E603" s="20" t="str">
        <f t="shared" si="9"/>
        <v>01</v>
      </c>
      <c r="F603" s="21">
        <v>7.7649327643543903E-2</v>
      </c>
      <c r="G603" s="4">
        <v>0.35799999999999998</v>
      </c>
      <c r="H603" s="4">
        <v>0.214285714285714</v>
      </c>
      <c r="I603" s="4">
        <v>0.998</v>
      </c>
      <c r="J603" s="4">
        <v>0.99199999999999999</v>
      </c>
      <c r="K603" s="5">
        <v>0</v>
      </c>
      <c r="L603" s="5">
        <v>0</v>
      </c>
      <c r="M603" s="5">
        <v>100</v>
      </c>
      <c r="N603" s="5">
        <v>100</v>
      </c>
      <c r="O603" s="2">
        <v>1.0272222925814367</v>
      </c>
      <c r="P603" s="2">
        <v>1.5404450409471502</v>
      </c>
      <c r="Q603" s="2">
        <v>2.0020026706730793E-3</v>
      </c>
      <c r="R603" s="2">
        <v>8.0321716972642666E-3</v>
      </c>
    </row>
    <row r="604" spans="1:18" x14ac:dyDescent="0.3">
      <c r="A604" s="7">
        <v>497</v>
      </c>
      <c r="B604" s="7">
        <v>455</v>
      </c>
      <c r="C604" s="7">
        <v>0</v>
      </c>
      <c r="D604" s="7">
        <v>1</v>
      </c>
      <c r="E604" s="20" t="str">
        <f t="shared" si="9"/>
        <v>01</v>
      </c>
      <c r="F604" s="21">
        <v>7.8987150482732194E-2</v>
      </c>
      <c r="G604" s="4">
        <v>0.40899999999999997</v>
      </c>
      <c r="H604" s="4">
        <v>0.39211618257261399</v>
      </c>
      <c r="I604" s="4">
        <v>0.99099999999999999</v>
      </c>
      <c r="J604" s="4">
        <v>0.995</v>
      </c>
      <c r="K604" s="5">
        <v>0</v>
      </c>
      <c r="L604" s="5">
        <v>0</v>
      </c>
      <c r="M604" s="5">
        <v>100</v>
      </c>
      <c r="N604" s="5">
        <v>100</v>
      </c>
      <c r="O604" s="2">
        <v>0.89404012293933532</v>
      </c>
      <c r="P604" s="2">
        <v>0.93619709899095827</v>
      </c>
      <c r="Q604" s="2">
        <v>9.0407446521490707E-3</v>
      </c>
      <c r="R604" s="2">
        <v>5.0125418235442863E-3</v>
      </c>
    </row>
    <row r="605" spans="1:18" x14ac:dyDescent="0.3">
      <c r="A605" s="7">
        <v>192</v>
      </c>
      <c r="B605" s="7">
        <v>435</v>
      </c>
      <c r="C605" s="7">
        <v>0</v>
      </c>
      <c r="D605" s="7">
        <v>1</v>
      </c>
      <c r="E605" s="20" t="str">
        <f t="shared" si="9"/>
        <v>01</v>
      </c>
      <c r="F605" s="21">
        <v>8.47903771751638E-2</v>
      </c>
      <c r="G605" s="4">
        <v>0.375</v>
      </c>
      <c r="H605" s="4">
        <v>0.22222222222222199</v>
      </c>
      <c r="I605" s="4">
        <v>0.999</v>
      </c>
      <c r="J605" s="4">
        <v>0.995</v>
      </c>
      <c r="K605" s="5">
        <v>0</v>
      </c>
      <c r="L605" s="5">
        <v>0</v>
      </c>
      <c r="M605" s="5">
        <v>100</v>
      </c>
      <c r="N605" s="5">
        <v>100</v>
      </c>
      <c r="O605" s="2">
        <v>0.98082925301172619</v>
      </c>
      <c r="P605" s="2">
        <v>1.5040773967762751</v>
      </c>
      <c r="Q605" s="2">
        <v>1.0005003335835344E-3</v>
      </c>
      <c r="R605" s="2">
        <v>5.0125418235442863E-3</v>
      </c>
    </row>
    <row r="606" spans="1:18" x14ac:dyDescent="0.3">
      <c r="A606" s="7">
        <v>147</v>
      </c>
      <c r="B606" s="7">
        <v>447</v>
      </c>
      <c r="C606" s="7">
        <v>0</v>
      </c>
      <c r="D606" s="7">
        <v>1</v>
      </c>
      <c r="E606" s="20" t="str">
        <f t="shared" si="9"/>
        <v>01</v>
      </c>
      <c r="F606" s="21">
        <v>8.8071680095771696E-2</v>
      </c>
      <c r="G606" s="4">
        <v>0.51400000000000001</v>
      </c>
      <c r="H606" s="4">
        <v>0.43165467625899301</v>
      </c>
      <c r="I606" s="4">
        <v>0.99399999999999999</v>
      </c>
      <c r="J606" s="4">
        <v>0.99099999999999999</v>
      </c>
      <c r="K606" s="5">
        <v>100</v>
      </c>
      <c r="L606" s="5">
        <v>0</v>
      </c>
      <c r="M606" s="5">
        <v>100</v>
      </c>
      <c r="N606" s="5">
        <v>100</v>
      </c>
      <c r="O606" s="2">
        <v>0.66553201352697189</v>
      </c>
      <c r="P606" s="2">
        <v>0.84012937090859063</v>
      </c>
      <c r="Q606" s="2">
        <v>6.0180723255630212E-3</v>
      </c>
      <c r="R606" s="2">
        <v>9.0407446521490707E-3</v>
      </c>
    </row>
    <row r="607" spans="1:18" x14ac:dyDescent="0.3">
      <c r="A607" s="7">
        <v>202</v>
      </c>
      <c r="B607" s="7">
        <v>433</v>
      </c>
      <c r="C607" s="7">
        <v>0</v>
      </c>
      <c r="D607" s="7">
        <v>1</v>
      </c>
      <c r="E607" s="20" t="str">
        <f t="shared" si="9"/>
        <v>01</v>
      </c>
      <c r="F607" s="21">
        <v>9.0513470884677302E-2</v>
      </c>
      <c r="G607" s="4">
        <v>0.59799999999999998</v>
      </c>
      <c r="H607" s="4">
        <v>0.48979591836734698</v>
      </c>
      <c r="I607" s="4">
        <v>0.5</v>
      </c>
      <c r="J607" s="4">
        <v>0.49399999999999999</v>
      </c>
      <c r="K607" s="5">
        <v>100</v>
      </c>
      <c r="L607" s="5">
        <v>0</v>
      </c>
      <c r="M607" s="5">
        <v>0</v>
      </c>
      <c r="N607" s="5">
        <v>0</v>
      </c>
      <c r="O607" s="2">
        <v>0.51416452503150534</v>
      </c>
      <c r="P607" s="2">
        <v>0.71376646776268093</v>
      </c>
      <c r="Q607" s="2">
        <v>0.69314718055994529</v>
      </c>
      <c r="R607" s="2">
        <v>0.70521976179421453</v>
      </c>
    </row>
    <row r="608" spans="1:18" x14ac:dyDescent="0.3">
      <c r="A608" s="7">
        <v>504</v>
      </c>
      <c r="B608" s="7">
        <v>400</v>
      </c>
      <c r="C608" s="7">
        <v>0</v>
      </c>
      <c r="D608" s="7">
        <v>1</v>
      </c>
      <c r="E608" s="20" t="str">
        <f t="shared" si="9"/>
        <v>01</v>
      </c>
      <c r="F608" s="21">
        <v>9.2833040772968597E-2</v>
      </c>
      <c r="G608" s="4">
        <v>0.56100000000000005</v>
      </c>
      <c r="H608" s="4">
        <v>0.49665924276169299</v>
      </c>
      <c r="I608" s="4">
        <v>0.99</v>
      </c>
      <c r="J608" s="4">
        <v>0.99199999999999999</v>
      </c>
      <c r="K608" s="5">
        <v>100</v>
      </c>
      <c r="L608" s="5">
        <v>0</v>
      </c>
      <c r="M608" s="5">
        <v>100</v>
      </c>
      <c r="N608" s="5">
        <v>100</v>
      </c>
      <c r="O608" s="2">
        <v>0.57803437345944064</v>
      </c>
      <c r="P608" s="2">
        <v>0.69985111628213481</v>
      </c>
      <c r="Q608" s="2">
        <v>1.0050335853501451E-2</v>
      </c>
      <c r="R608" s="2">
        <v>8.0321716972642666E-3</v>
      </c>
    </row>
    <row r="609" spans="1:18" x14ac:dyDescent="0.3">
      <c r="A609" s="7">
        <v>739</v>
      </c>
      <c r="B609" s="7">
        <v>422</v>
      </c>
      <c r="C609" s="7">
        <v>0</v>
      </c>
      <c r="D609" s="7">
        <v>1</v>
      </c>
      <c r="E609" s="20" t="str">
        <f t="shared" si="9"/>
        <v>01</v>
      </c>
      <c r="F609" s="21">
        <v>9.7599261507014104E-2</v>
      </c>
      <c r="G609" s="4">
        <v>0.66200000000000003</v>
      </c>
      <c r="H609" s="4">
        <v>0.51978891820580497</v>
      </c>
      <c r="I609" s="4">
        <v>0.996</v>
      </c>
      <c r="J609" s="4">
        <v>0.98499999999999999</v>
      </c>
      <c r="K609" s="5">
        <v>100</v>
      </c>
      <c r="L609" s="5">
        <v>100</v>
      </c>
      <c r="M609" s="5">
        <v>100</v>
      </c>
      <c r="N609" s="5">
        <v>100</v>
      </c>
      <c r="O609" s="2">
        <v>0.41248972304512882</v>
      </c>
      <c r="P609" s="2">
        <v>0.65433247634443736</v>
      </c>
      <c r="Q609" s="2">
        <v>4.0080213975388218E-3</v>
      </c>
      <c r="R609" s="2">
        <v>1.5113637810048184E-2</v>
      </c>
    </row>
    <row r="610" spans="1:18" x14ac:dyDescent="0.3">
      <c r="A610" s="7">
        <v>283</v>
      </c>
      <c r="B610" s="7">
        <v>428</v>
      </c>
      <c r="C610" s="7">
        <v>0</v>
      </c>
      <c r="D610" s="7">
        <v>1</v>
      </c>
      <c r="E610" s="20" t="str">
        <f t="shared" si="9"/>
        <v>01</v>
      </c>
      <c r="F610" s="21">
        <v>0.10019903351832</v>
      </c>
      <c r="G610" s="4">
        <v>0.22</v>
      </c>
      <c r="H610" s="4">
        <v>0.20944558521560599</v>
      </c>
      <c r="I610" s="4">
        <v>0.98899999999999999</v>
      </c>
      <c r="J610" s="4">
        <v>0.99099999999999999</v>
      </c>
      <c r="K610" s="5">
        <v>0</v>
      </c>
      <c r="L610" s="5">
        <v>0</v>
      </c>
      <c r="M610" s="5">
        <v>100</v>
      </c>
      <c r="N610" s="5">
        <v>100</v>
      </c>
      <c r="O610" s="2">
        <v>1.5141277326297755</v>
      </c>
      <c r="P610" s="2">
        <v>1.5632913097983174</v>
      </c>
      <c r="Q610" s="2">
        <v>1.1060947359424948E-2</v>
      </c>
      <c r="R610" s="2">
        <v>9.0407446521490707E-3</v>
      </c>
    </row>
    <row r="611" spans="1:18" x14ac:dyDescent="0.3">
      <c r="A611" s="7">
        <v>37</v>
      </c>
      <c r="B611" s="7">
        <v>433</v>
      </c>
      <c r="C611" s="7">
        <v>0</v>
      </c>
      <c r="D611" s="7">
        <v>1</v>
      </c>
      <c r="E611" s="20" t="str">
        <f t="shared" si="9"/>
        <v>01</v>
      </c>
      <c r="F611" s="21">
        <v>0.100557658541252</v>
      </c>
      <c r="G611" s="4">
        <v>0.32100000000000001</v>
      </c>
      <c r="H611" s="4">
        <v>0.26724137931034497</v>
      </c>
      <c r="I611" s="4">
        <v>0.98099999999999998</v>
      </c>
      <c r="J611" s="4">
        <v>0.98799999999999999</v>
      </c>
      <c r="K611" s="5">
        <v>0</v>
      </c>
      <c r="L611" s="5">
        <v>0</v>
      </c>
      <c r="M611" s="5">
        <v>100</v>
      </c>
      <c r="N611" s="5">
        <v>100</v>
      </c>
      <c r="O611" s="2">
        <v>1.1363141558521213</v>
      </c>
      <c r="P611" s="2">
        <v>1.3196029866212178</v>
      </c>
      <c r="Q611" s="2">
        <v>1.9182819416773987E-2</v>
      </c>
      <c r="R611" s="2">
        <v>1.2072581234269249E-2</v>
      </c>
    </row>
    <row r="612" spans="1:18" x14ac:dyDescent="0.3">
      <c r="A612" s="7">
        <v>355</v>
      </c>
      <c r="B612" s="7">
        <v>421</v>
      </c>
      <c r="C612" s="7">
        <v>0</v>
      </c>
      <c r="D612" s="7">
        <v>1</v>
      </c>
      <c r="E612" s="20" t="str">
        <f t="shared" si="9"/>
        <v>01</v>
      </c>
      <c r="F612" s="21">
        <v>0.101970828770753</v>
      </c>
      <c r="G612" s="4">
        <v>0.378</v>
      </c>
      <c r="H612" s="4">
        <v>0.23557692307692299</v>
      </c>
      <c r="I612" s="4">
        <v>1</v>
      </c>
      <c r="J612" s="4">
        <v>0.98599999999999999</v>
      </c>
      <c r="K612" s="5">
        <v>0</v>
      </c>
      <c r="L612" s="5">
        <v>0</v>
      </c>
      <c r="M612" s="5">
        <v>100</v>
      </c>
      <c r="N612" s="5">
        <v>100</v>
      </c>
      <c r="O612" s="2">
        <v>0.97286108336254939</v>
      </c>
      <c r="P612" s="2">
        <v>1.4457177815906916</v>
      </c>
      <c r="Q612" s="2">
        <v>1.0000050000287824E-5</v>
      </c>
      <c r="R612" s="2">
        <v>1.4098924379501648E-2</v>
      </c>
    </row>
    <row r="613" spans="1:18" x14ac:dyDescent="0.3">
      <c r="A613" s="7">
        <v>7</v>
      </c>
      <c r="B613" s="7">
        <v>418</v>
      </c>
      <c r="C613" s="7">
        <v>0</v>
      </c>
      <c r="D613" s="7">
        <v>1</v>
      </c>
      <c r="E613" s="20" t="str">
        <f t="shared" si="9"/>
        <v>01</v>
      </c>
      <c r="F613" s="21">
        <v>0.10225883726026699</v>
      </c>
      <c r="G613" s="4">
        <v>0.45</v>
      </c>
      <c r="H613" s="4">
        <v>0.36590909090909102</v>
      </c>
      <c r="I613" s="4">
        <v>0.99299999999999999</v>
      </c>
      <c r="J613" s="4">
        <v>0.99299999999999999</v>
      </c>
      <c r="K613" s="5">
        <v>0</v>
      </c>
      <c r="L613" s="5">
        <v>0</v>
      </c>
      <c r="M613" s="5">
        <v>100</v>
      </c>
      <c r="N613" s="5">
        <v>100</v>
      </c>
      <c r="O613" s="2">
        <v>0.79850769621777162</v>
      </c>
      <c r="P613" s="2">
        <v>1.0053703619278436</v>
      </c>
      <c r="Q613" s="2">
        <v>7.0246149369644663E-3</v>
      </c>
      <c r="R613" s="2">
        <v>7.0246149369644663E-3</v>
      </c>
    </row>
    <row r="614" spans="1:18" x14ac:dyDescent="0.3">
      <c r="A614" s="7">
        <v>519</v>
      </c>
      <c r="B614" s="7">
        <v>421</v>
      </c>
      <c r="C614" s="7">
        <v>0</v>
      </c>
      <c r="D614" s="7">
        <v>1</v>
      </c>
      <c r="E614" s="20" t="str">
        <f t="shared" si="9"/>
        <v>01</v>
      </c>
      <c r="F614" s="21">
        <v>0.103012696964876</v>
      </c>
      <c r="G614" s="4">
        <v>0.46300000000000002</v>
      </c>
      <c r="H614" s="4">
        <v>0.38386308068459701</v>
      </c>
      <c r="I614" s="4">
        <v>0.98899999999999999</v>
      </c>
      <c r="J614" s="4">
        <v>0.98299999999999998</v>
      </c>
      <c r="K614" s="5">
        <v>0</v>
      </c>
      <c r="L614" s="5">
        <v>0</v>
      </c>
      <c r="M614" s="5">
        <v>100</v>
      </c>
      <c r="N614" s="5">
        <v>100</v>
      </c>
      <c r="O614" s="2">
        <v>0.77002822489590295</v>
      </c>
      <c r="P614" s="2">
        <v>0.95746935069449257</v>
      </c>
      <c r="Q614" s="2">
        <v>1.1060947359424948E-2</v>
      </c>
      <c r="R614" s="2">
        <v>1.7146158834970514E-2</v>
      </c>
    </row>
    <row r="615" spans="1:18" x14ac:dyDescent="0.3">
      <c r="A615" s="7">
        <v>528</v>
      </c>
      <c r="B615" s="7">
        <v>409</v>
      </c>
      <c r="C615" s="7">
        <v>0</v>
      </c>
      <c r="D615" s="7">
        <v>1</v>
      </c>
      <c r="E615" s="20" t="str">
        <f t="shared" si="9"/>
        <v>01</v>
      </c>
      <c r="F615" s="21">
        <v>0.104270534522723</v>
      </c>
      <c r="G615" s="4">
        <v>0.4</v>
      </c>
      <c r="H615" s="4">
        <v>0.266331658291457</v>
      </c>
      <c r="I615" s="4">
        <v>0.99399999999999999</v>
      </c>
      <c r="J615" s="4">
        <v>0.98799999999999999</v>
      </c>
      <c r="K615" s="5">
        <v>0</v>
      </c>
      <c r="L615" s="5">
        <v>0</v>
      </c>
      <c r="M615" s="5">
        <v>100</v>
      </c>
      <c r="N615" s="5">
        <v>100</v>
      </c>
      <c r="O615" s="2">
        <v>0.916290731874155</v>
      </c>
      <c r="P615" s="2">
        <v>1.3230129111723716</v>
      </c>
      <c r="Q615" s="2">
        <v>6.0180723255630212E-3</v>
      </c>
      <c r="R615" s="2">
        <v>1.2072581234269249E-2</v>
      </c>
    </row>
    <row r="616" spans="1:18" x14ac:dyDescent="0.3">
      <c r="A616" s="7">
        <v>958</v>
      </c>
      <c r="B616" s="7">
        <v>398</v>
      </c>
      <c r="C616" s="7">
        <v>0</v>
      </c>
      <c r="D616" s="7">
        <v>1</v>
      </c>
      <c r="E616" s="20" t="str">
        <f t="shared" si="9"/>
        <v>01</v>
      </c>
      <c r="F616" s="21">
        <v>0.105838189269243</v>
      </c>
      <c r="G616" s="4">
        <v>0.49</v>
      </c>
      <c r="H616" s="4">
        <v>0.46304347826087</v>
      </c>
      <c r="I616" s="4">
        <v>0.996</v>
      </c>
      <c r="J616" s="4">
        <v>0.996</v>
      </c>
      <c r="K616" s="5">
        <v>0</v>
      </c>
      <c r="L616" s="5">
        <v>0</v>
      </c>
      <c r="M616" s="5">
        <v>100</v>
      </c>
      <c r="N616" s="5">
        <v>100</v>
      </c>
      <c r="O616" s="2">
        <v>0.71334988787746478</v>
      </c>
      <c r="P616" s="2">
        <v>0.76993432377371462</v>
      </c>
      <c r="Q616" s="2">
        <v>4.0080213975388218E-3</v>
      </c>
      <c r="R616" s="2">
        <v>4.0080213975388218E-3</v>
      </c>
    </row>
    <row r="617" spans="1:18" x14ac:dyDescent="0.3">
      <c r="A617" s="7">
        <v>81</v>
      </c>
      <c r="B617" s="7">
        <v>425</v>
      </c>
      <c r="C617" s="7">
        <v>0</v>
      </c>
      <c r="D617" s="7">
        <v>1</v>
      </c>
      <c r="E617" s="20" t="str">
        <f t="shared" si="9"/>
        <v>01</v>
      </c>
      <c r="F617" s="21">
        <v>0.10931017175362499</v>
      </c>
      <c r="G617" s="4">
        <v>0.316</v>
      </c>
      <c r="H617" s="4">
        <v>0.27941176470588203</v>
      </c>
      <c r="I617" s="4">
        <v>0.995</v>
      </c>
      <c r="J617" s="4">
        <v>0.99199999999999999</v>
      </c>
      <c r="K617" s="5">
        <v>0</v>
      </c>
      <c r="L617" s="5">
        <v>0</v>
      </c>
      <c r="M617" s="5">
        <v>100</v>
      </c>
      <c r="N617" s="5">
        <v>100</v>
      </c>
      <c r="O617" s="2">
        <v>1.152013065395225</v>
      </c>
      <c r="P617" s="2">
        <v>1.2750687260096674</v>
      </c>
      <c r="Q617" s="2">
        <v>5.0125418235442863E-3</v>
      </c>
      <c r="R617" s="2">
        <v>8.0321716972642666E-3</v>
      </c>
    </row>
    <row r="618" spans="1:18" x14ac:dyDescent="0.3">
      <c r="A618" s="7">
        <v>875</v>
      </c>
      <c r="B618" s="7">
        <v>423</v>
      </c>
      <c r="C618" s="7">
        <v>0</v>
      </c>
      <c r="D618" s="7">
        <v>1</v>
      </c>
      <c r="E618" s="20" t="str">
        <f t="shared" si="9"/>
        <v>01</v>
      </c>
      <c r="F618" s="21">
        <v>0.111997730677875</v>
      </c>
      <c r="G618" s="4">
        <v>0.38700000000000001</v>
      </c>
      <c r="H618" s="4">
        <v>0.379746835443038</v>
      </c>
      <c r="I618" s="4">
        <v>0.90900000000000003</v>
      </c>
      <c r="J618" s="4">
        <v>0.88600000000000001</v>
      </c>
      <c r="K618" s="5">
        <v>0</v>
      </c>
      <c r="L618" s="5">
        <v>0</v>
      </c>
      <c r="M618" s="5">
        <v>100</v>
      </c>
      <c r="N618" s="5">
        <v>100</v>
      </c>
      <c r="O618" s="2">
        <v>0.9493305859523552</v>
      </c>
      <c r="P618" s="2">
        <v>0.96825047080486604</v>
      </c>
      <c r="Q618" s="2">
        <v>9.5410184804658182E-2</v>
      </c>
      <c r="R618" s="2">
        <v>0.1210383283770561</v>
      </c>
    </row>
    <row r="619" spans="1:18" x14ac:dyDescent="0.3">
      <c r="A619" s="7">
        <v>540</v>
      </c>
      <c r="B619" s="7">
        <v>420</v>
      </c>
      <c r="C619" s="7">
        <v>0</v>
      </c>
      <c r="D619" s="7">
        <v>1</v>
      </c>
      <c r="E619" s="20" t="str">
        <f t="shared" si="9"/>
        <v>01</v>
      </c>
      <c r="F619" s="21">
        <v>0.112322501885361</v>
      </c>
      <c r="G619" s="4">
        <v>0.46500000000000002</v>
      </c>
      <c r="H619" s="4">
        <v>0.32843137254902</v>
      </c>
      <c r="I619" s="4">
        <v>0.94199999999999995</v>
      </c>
      <c r="J619" s="4">
        <v>0.89900000000000002</v>
      </c>
      <c r="K619" s="5">
        <v>0</v>
      </c>
      <c r="L619" s="5">
        <v>0</v>
      </c>
      <c r="M619" s="5">
        <v>100</v>
      </c>
      <c r="N619" s="5">
        <v>100</v>
      </c>
      <c r="O619" s="2">
        <v>0.7657178733947807</v>
      </c>
      <c r="P619" s="2">
        <v>1.1134273744532492</v>
      </c>
      <c r="Q619" s="2">
        <v>5.9750004405774049E-2</v>
      </c>
      <c r="R619" s="2">
        <v>0.10647224451051676</v>
      </c>
    </row>
    <row r="620" spans="1:18" x14ac:dyDescent="0.3">
      <c r="A620" s="7">
        <v>554</v>
      </c>
      <c r="B620" s="7">
        <v>396</v>
      </c>
      <c r="C620" s="7">
        <v>0</v>
      </c>
      <c r="D620" s="7">
        <v>1</v>
      </c>
      <c r="E620" s="20" t="str">
        <f t="shared" si="9"/>
        <v>01</v>
      </c>
      <c r="F620" s="21">
        <v>0.114099388801299</v>
      </c>
      <c r="G620" s="4">
        <v>0.51900000000000002</v>
      </c>
      <c r="H620" s="4">
        <v>0.46347031963470298</v>
      </c>
      <c r="I620" s="4">
        <v>0.98699999999999999</v>
      </c>
      <c r="J620" s="4">
        <v>0.99299999999999999</v>
      </c>
      <c r="K620" s="5">
        <v>100</v>
      </c>
      <c r="L620" s="5">
        <v>0</v>
      </c>
      <c r="M620" s="5">
        <v>100</v>
      </c>
      <c r="N620" s="5">
        <v>100</v>
      </c>
      <c r="O620" s="2">
        <v>0.65585139581624841</v>
      </c>
      <c r="P620" s="2">
        <v>0.76901293133465931</v>
      </c>
      <c r="Q620" s="2">
        <v>1.3085239548655481E-2</v>
      </c>
      <c r="R620" s="2">
        <v>7.0246149369644663E-3</v>
      </c>
    </row>
    <row r="621" spans="1:18" x14ac:dyDescent="0.3">
      <c r="A621" s="7">
        <v>301</v>
      </c>
      <c r="B621" s="7">
        <v>422</v>
      </c>
      <c r="C621" s="7">
        <v>0</v>
      </c>
      <c r="D621" s="7">
        <v>1</v>
      </c>
      <c r="E621" s="20" t="str">
        <f t="shared" si="9"/>
        <v>01</v>
      </c>
      <c r="F621" s="21">
        <v>0.11655868884701601</v>
      </c>
      <c r="G621" s="4">
        <v>0.36</v>
      </c>
      <c r="H621" s="4">
        <v>0.29910714285714302</v>
      </c>
      <c r="I621" s="4">
        <v>0.98599999999999999</v>
      </c>
      <c r="J621" s="4">
        <v>0.98399999999999999</v>
      </c>
      <c r="K621" s="5">
        <v>0</v>
      </c>
      <c r="L621" s="5">
        <v>0</v>
      </c>
      <c r="M621" s="5">
        <v>100</v>
      </c>
      <c r="N621" s="5">
        <v>100</v>
      </c>
      <c r="O621" s="2">
        <v>1.0216512475319814</v>
      </c>
      <c r="P621" s="2">
        <v>1.2069534324640732</v>
      </c>
      <c r="Q621" s="2">
        <v>1.4098924379501648E-2</v>
      </c>
      <c r="R621" s="2">
        <v>1.6129381929883644E-2</v>
      </c>
    </row>
    <row r="622" spans="1:18" x14ac:dyDescent="0.3">
      <c r="A622" s="7">
        <v>940</v>
      </c>
      <c r="B622" s="7">
        <v>407</v>
      </c>
      <c r="C622" s="7">
        <v>0</v>
      </c>
      <c r="D622" s="7">
        <v>1</v>
      </c>
      <c r="E622" s="20" t="str">
        <f t="shared" si="9"/>
        <v>01</v>
      </c>
      <c r="F622" s="21">
        <v>0.117019547572512</v>
      </c>
      <c r="G622" s="4">
        <v>0.42799999999999999</v>
      </c>
      <c r="H622" s="4">
        <v>0.32541567695961998</v>
      </c>
      <c r="I622" s="4">
        <v>0.99</v>
      </c>
      <c r="J622" s="4">
        <v>0.99</v>
      </c>
      <c r="K622" s="5">
        <v>0</v>
      </c>
      <c r="L622" s="5">
        <v>0</v>
      </c>
      <c r="M622" s="5">
        <v>100</v>
      </c>
      <c r="N622" s="5">
        <v>100</v>
      </c>
      <c r="O622" s="2">
        <v>0.84863208340034024</v>
      </c>
      <c r="P622" s="2">
        <v>1.1226519078542565</v>
      </c>
      <c r="Q622" s="2">
        <v>1.0050335853501451E-2</v>
      </c>
      <c r="R622" s="2">
        <v>1.0050335853501451E-2</v>
      </c>
    </row>
    <row r="623" spans="1:18" x14ac:dyDescent="0.3">
      <c r="A623" s="7">
        <v>175</v>
      </c>
      <c r="B623" s="7">
        <v>405</v>
      </c>
      <c r="C623" s="7">
        <v>0</v>
      </c>
      <c r="D623" s="7">
        <v>1</v>
      </c>
      <c r="E623" s="20" t="str">
        <f t="shared" si="9"/>
        <v>01</v>
      </c>
      <c r="F623" s="21">
        <v>0.117881337119441</v>
      </c>
      <c r="G623" s="4">
        <v>0.48399999999999999</v>
      </c>
      <c r="H623" s="4">
        <v>0.44201312910284501</v>
      </c>
      <c r="I623" s="4">
        <v>0.98699999999999999</v>
      </c>
      <c r="J623" s="4">
        <v>0.98899999999999999</v>
      </c>
      <c r="K623" s="5">
        <v>0</v>
      </c>
      <c r="L623" s="5">
        <v>0</v>
      </c>
      <c r="M623" s="5">
        <v>100</v>
      </c>
      <c r="N623" s="5">
        <v>100</v>
      </c>
      <c r="O623" s="2">
        <v>0.72567037226550535</v>
      </c>
      <c r="P623" s="2">
        <v>0.81641569349299914</v>
      </c>
      <c r="Q623" s="2">
        <v>1.3085239548655481E-2</v>
      </c>
      <c r="R623" s="2">
        <v>1.1060947359424948E-2</v>
      </c>
    </row>
    <row r="624" spans="1:18" x14ac:dyDescent="0.3">
      <c r="A624" s="7">
        <v>182</v>
      </c>
      <c r="B624" s="7">
        <v>400</v>
      </c>
      <c r="C624" s="7">
        <v>0</v>
      </c>
      <c r="D624" s="7">
        <v>1</v>
      </c>
      <c r="E624" s="20" t="str">
        <f t="shared" si="9"/>
        <v>01</v>
      </c>
      <c r="F624" s="21">
        <v>0.11892028841303599</v>
      </c>
      <c r="G624" s="4">
        <v>0.66800000000000004</v>
      </c>
      <c r="H624" s="4">
        <v>0.439024390243902</v>
      </c>
      <c r="I624" s="4">
        <v>0.96</v>
      </c>
      <c r="J624" s="4">
        <v>0.95199999999999996</v>
      </c>
      <c r="K624" s="5">
        <v>100</v>
      </c>
      <c r="L624" s="5">
        <v>0</v>
      </c>
      <c r="M624" s="5">
        <v>100</v>
      </c>
      <c r="N624" s="5">
        <v>100</v>
      </c>
      <c r="O624" s="2">
        <v>0.40346710544549125</v>
      </c>
      <c r="P624" s="2">
        <v>0.8232003088081441</v>
      </c>
      <c r="Q624" s="2">
        <v>4.0821994520255166E-2</v>
      </c>
      <c r="R624" s="2">
        <v>4.9190244190771781E-2</v>
      </c>
    </row>
    <row r="625" spans="1:18" x14ac:dyDescent="0.3">
      <c r="A625" s="7">
        <v>162</v>
      </c>
      <c r="B625" s="7">
        <v>418</v>
      </c>
      <c r="C625" s="7">
        <v>0</v>
      </c>
      <c r="D625" s="7">
        <v>1</v>
      </c>
      <c r="E625" s="20" t="str">
        <f t="shared" si="9"/>
        <v>01</v>
      </c>
      <c r="F625" s="21">
        <v>0.11905729694836201</v>
      </c>
      <c r="G625" s="4">
        <v>0.154</v>
      </c>
      <c r="H625" s="4">
        <v>0.117894736842105</v>
      </c>
      <c r="I625" s="4">
        <v>0.97899999999999998</v>
      </c>
      <c r="J625" s="4">
        <v>0.97299999999999998</v>
      </c>
      <c r="K625" s="5">
        <v>0</v>
      </c>
      <c r="L625" s="5">
        <v>0</v>
      </c>
      <c r="M625" s="5">
        <v>100</v>
      </c>
      <c r="N625" s="5">
        <v>100</v>
      </c>
      <c r="O625" s="2">
        <v>1.870802676568508</v>
      </c>
      <c r="P625" s="2">
        <v>2.1379631132994943</v>
      </c>
      <c r="Q625" s="2">
        <v>2.1223636451626688E-2</v>
      </c>
      <c r="R625" s="2">
        <v>2.7371196796132015E-2</v>
      </c>
    </row>
    <row r="626" spans="1:18" x14ac:dyDescent="0.3">
      <c r="A626" s="7">
        <v>959</v>
      </c>
      <c r="B626" s="7">
        <v>430</v>
      </c>
      <c r="C626" s="7">
        <v>0</v>
      </c>
      <c r="D626" s="7">
        <v>1</v>
      </c>
      <c r="E626" s="20" t="str">
        <f t="shared" si="9"/>
        <v>01</v>
      </c>
      <c r="F626" s="21">
        <v>0.119095296564627</v>
      </c>
      <c r="G626" s="4">
        <v>0.38</v>
      </c>
      <c r="H626" s="4">
        <v>0.36225596529284199</v>
      </c>
      <c r="I626" s="4">
        <v>0.98899999999999999</v>
      </c>
      <c r="J626" s="4">
        <v>0.99299999999999999</v>
      </c>
      <c r="K626" s="5">
        <v>0</v>
      </c>
      <c r="L626" s="5">
        <v>0</v>
      </c>
      <c r="M626" s="5">
        <v>100</v>
      </c>
      <c r="N626" s="5">
        <v>100</v>
      </c>
      <c r="O626" s="2">
        <v>0.96758402626170559</v>
      </c>
      <c r="P626" s="2">
        <v>1.0154042305798925</v>
      </c>
      <c r="Q626" s="2">
        <v>1.1060947359424948E-2</v>
      </c>
      <c r="R626" s="2">
        <v>7.0246149369644663E-3</v>
      </c>
    </row>
    <row r="627" spans="1:18" x14ac:dyDescent="0.3">
      <c r="A627" s="7">
        <v>65</v>
      </c>
      <c r="B627" s="7">
        <v>394</v>
      </c>
      <c r="C627" s="7">
        <v>0</v>
      </c>
      <c r="D627" s="7">
        <v>1</v>
      </c>
      <c r="E627" s="20" t="str">
        <f t="shared" si="9"/>
        <v>01</v>
      </c>
      <c r="F627" s="21">
        <v>0.121147586483372</v>
      </c>
      <c r="G627" s="4">
        <v>0.504</v>
      </c>
      <c r="H627" s="4">
        <v>0.40972222222222199</v>
      </c>
      <c r="I627" s="4">
        <v>0.98799999999999999</v>
      </c>
      <c r="J627" s="4">
        <v>0.98699999999999999</v>
      </c>
      <c r="K627" s="5">
        <v>100</v>
      </c>
      <c r="L627" s="5">
        <v>0</v>
      </c>
      <c r="M627" s="5">
        <v>100</v>
      </c>
      <c r="N627" s="5">
        <v>100</v>
      </c>
      <c r="O627" s="2">
        <v>0.68517901091076838</v>
      </c>
      <c r="P627" s="2">
        <v>0.89227585567028178</v>
      </c>
      <c r="Q627" s="2">
        <v>1.2072581234269249E-2</v>
      </c>
      <c r="R627" s="2">
        <v>1.3085239548655481E-2</v>
      </c>
    </row>
    <row r="628" spans="1:18" x14ac:dyDescent="0.3">
      <c r="A628" s="7">
        <v>394</v>
      </c>
      <c r="B628" s="7">
        <v>394</v>
      </c>
      <c r="C628" s="7">
        <v>0</v>
      </c>
      <c r="D628" s="7">
        <v>1</v>
      </c>
      <c r="E628" s="20" t="str">
        <f t="shared" si="9"/>
        <v>01</v>
      </c>
      <c r="F628" s="21">
        <v>0.13936519406864001</v>
      </c>
      <c r="G628" s="4">
        <v>0.32400000000000001</v>
      </c>
      <c r="H628" s="4">
        <v>0.22757111597374199</v>
      </c>
      <c r="I628" s="4">
        <v>0.99299999999999999</v>
      </c>
      <c r="J628" s="4">
        <v>0.99</v>
      </c>
      <c r="K628" s="5">
        <v>0</v>
      </c>
      <c r="L628" s="5">
        <v>0</v>
      </c>
      <c r="M628" s="5">
        <v>100</v>
      </c>
      <c r="N628" s="5">
        <v>100</v>
      </c>
      <c r="O628" s="2">
        <v>1.1270117631898076</v>
      </c>
      <c r="P628" s="2">
        <v>1.4802924917528311</v>
      </c>
      <c r="Q628" s="2">
        <v>7.0246149369644663E-3</v>
      </c>
      <c r="R628" s="2">
        <v>1.0050335853501451E-2</v>
      </c>
    </row>
    <row r="629" spans="1:18" x14ac:dyDescent="0.3">
      <c r="A629" s="7">
        <v>973</v>
      </c>
      <c r="B629" s="7">
        <v>399</v>
      </c>
      <c r="C629" s="7">
        <v>0</v>
      </c>
      <c r="D629" s="7">
        <v>1</v>
      </c>
      <c r="E629" s="20" t="str">
        <f t="shared" si="9"/>
        <v>01</v>
      </c>
      <c r="F629" s="21">
        <v>0.14034509380872401</v>
      </c>
      <c r="G629" s="4">
        <v>0.27800000000000002</v>
      </c>
      <c r="H629" s="4">
        <v>0.18117647058823499</v>
      </c>
      <c r="I629" s="4">
        <v>0.995</v>
      </c>
      <c r="J629" s="4">
        <v>0.99299999999999999</v>
      </c>
      <c r="K629" s="5">
        <v>0</v>
      </c>
      <c r="L629" s="5">
        <v>0</v>
      </c>
      <c r="M629" s="5">
        <v>100</v>
      </c>
      <c r="N629" s="5">
        <v>100</v>
      </c>
      <c r="O629" s="2">
        <v>1.2801341652914999</v>
      </c>
      <c r="P629" s="2">
        <v>1.7082837470707346</v>
      </c>
      <c r="Q629" s="2">
        <v>5.0125418235442863E-3</v>
      </c>
      <c r="R629" s="2">
        <v>7.0246149369644663E-3</v>
      </c>
    </row>
    <row r="630" spans="1:18" x14ac:dyDescent="0.3">
      <c r="A630" s="7">
        <v>107</v>
      </c>
      <c r="B630" s="7">
        <v>391</v>
      </c>
      <c r="C630" s="7">
        <v>0</v>
      </c>
      <c r="D630" s="7">
        <v>1</v>
      </c>
      <c r="E630" s="20" t="str">
        <f t="shared" si="9"/>
        <v>01</v>
      </c>
      <c r="F630" s="21">
        <v>0.140776462807048</v>
      </c>
      <c r="G630" s="4">
        <v>0.48199999999999998</v>
      </c>
      <c r="H630" s="4">
        <v>0.41898148148148101</v>
      </c>
      <c r="I630" s="4">
        <v>0.99</v>
      </c>
      <c r="J630" s="4">
        <v>0.98699999999999999</v>
      </c>
      <c r="K630" s="5">
        <v>0</v>
      </c>
      <c r="L630" s="5">
        <v>0</v>
      </c>
      <c r="M630" s="5">
        <v>100</v>
      </c>
      <c r="N630" s="5">
        <v>100</v>
      </c>
      <c r="O630" s="2">
        <v>0.72981116493153675</v>
      </c>
      <c r="P630" s="2">
        <v>0.86992855697828564</v>
      </c>
      <c r="Q630" s="2">
        <v>1.0050335853501451E-2</v>
      </c>
      <c r="R630" s="2">
        <v>1.3085239548655481E-2</v>
      </c>
    </row>
    <row r="631" spans="1:18" x14ac:dyDescent="0.3">
      <c r="A631" s="7">
        <v>798</v>
      </c>
      <c r="B631" s="7">
        <v>367</v>
      </c>
      <c r="C631" s="7">
        <v>0</v>
      </c>
      <c r="D631" s="7">
        <v>1</v>
      </c>
      <c r="E631" s="20" t="str">
        <f t="shared" si="9"/>
        <v>01</v>
      </c>
      <c r="F631" s="21">
        <v>0.14758591722123501</v>
      </c>
      <c r="G631" s="4">
        <v>0.59899999999999998</v>
      </c>
      <c r="H631" s="4">
        <v>0.55681818181818199</v>
      </c>
      <c r="I631" s="4">
        <v>1.7999999999999999E-2</v>
      </c>
      <c r="J631" s="4">
        <v>0.02</v>
      </c>
      <c r="K631" s="5">
        <v>100</v>
      </c>
      <c r="L631" s="5">
        <v>100</v>
      </c>
      <c r="M631" s="5">
        <v>0</v>
      </c>
      <c r="N631" s="5">
        <v>0</v>
      </c>
      <c r="O631" s="2">
        <v>0.51249368086668778</v>
      </c>
      <c r="P631" s="2">
        <v>0.58551651636757951</v>
      </c>
      <c r="Q631" s="2">
        <v>4.0173835210859723</v>
      </c>
      <c r="R631" s="2">
        <v>3.912023005428146</v>
      </c>
    </row>
    <row r="632" spans="1:18" x14ac:dyDescent="0.3">
      <c r="A632" s="7">
        <v>374</v>
      </c>
      <c r="B632" s="7">
        <v>401</v>
      </c>
      <c r="C632" s="7">
        <v>0</v>
      </c>
      <c r="D632" s="7">
        <v>1</v>
      </c>
      <c r="E632" s="20" t="str">
        <f t="shared" si="9"/>
        <v>01</v>
      </c>
      <c r="F632" s="21">
        <v>0.14927114971059799</v>
      </c>
      <c r="G632" s="4">
        <v>0.55600000000000005</v>
      </c>
      <c r="H632" s="4">
        <v>0.47477064220183501</v>
      </c>
      <c r="I632" s="4">
        <v>0.99199999999999999</v>
      </c>
      <c r="J632" s="4">
        <v>0.98699999999999999</v>
      </c>
      <c r="K632" s="5">
        <v>100</v>
      </c>
      <c r="L632" s="5">
        <v>0</v>
      </c>
      <c r="M632" s="5">
        <v>100</v>
      </c>
      <c r="N632" s="5">
        <v>100</v>
      </c>
      <c r="O632" s="2">
        <v>0.58698698473155464</v>
      </c>
      <c r="P632" s="2">
        <v>0.7449234500836649</v>
      </c>
      <c r="Q632" s="2">
        <v>8.0321716972642666E-3</v>
      </c>
      <c r="R632" s="2">
        <v>1.3085239548655481E-2</v>
      </c>
    </row>
    <row r="633" spans="1:18" x14ac:dyDescent="0.3">
      <c r="A633" s="7">
        <v>214</v>
      </c>
      <c r="B633" s="7">
        <v>399</v>
      </c>
      <c r="C633" s="7">
        <v>0</v>
      </c>
      <c r="D633" s="7">
        <v>1</v>
      </c>
      <c r="E633" s="20" t="str">
        <f t="shared" si="9"/>
        <v>01</v>
      </c>
      <c r="F633" s="21">
        <v>0.150526587139693</v>
      </c>
      <c r="G633" s="4">
        <v>0.48399999999999999</v>
      </c>
      <c r="H633" s="4">
        <v>0.45744680851063801</v>
      </c>
      <c r="I633" s="4">
        <v>0.98199999999999998</v>
      </c>
      <c r="J633" s="4">
        <v>0.99099999999999999</v>
      </c>
      <c r="K633" s="5">
        <v>0</v>
      </c>
      <c r="L633" s="5">
        <v>0</v>
      </c>
      <c r="M633" s="5">
        <v>100</v>
      </c>
      <c r="N633" s="5">
        <v>100</v>
      </c>
      <c r="O633" s="2">
        <v>0.72567037226550535</v>
      </c>
      <c r="P633" s="2">
        <v>0.78209466657644211</v>
      </c>
      <c r="Q633" s="2">
        <v>1.816397062767118E-2</v>
      </c>
      <c r="R633" s="2">
        <v>9.0407446521490707E-3</v>
      </c>
    </row>
    <row r="634" spans="1:18" x14ac:dyDescent="0.3">
      <c r="A634" s="7">
        <v>303</v>
      </c>
      <c r="B634" s="7">
        <v>395</v>
      </c>
      <c r="C634" s="7">
        <v>0</v>
      </c>
      <c r="D634" s="7">
        <v>1</v>
      </c>
      <c r="E634" s="20" t="str">
        <f t="shared" si="9"/>
        <v>01</v>
      </c>
      <c r="F634" s="21">
        <v>0.15224069928254899</v>
      </c>
      <c r="G634" s="4">
        <v>0.61599999999999999</v>
      </c>
      <c r="H634" s="4">
        <v>0.42937853107344598</v>
      </c>
      <c r="I634" s="4">
        <v>0.99399999999999999</v>
      </c>
      <c r="J634" s="4">
        <v>0.98799999999999999</v>
      </c>
      <c r="K634" s="5">
        <v>100</v>
      </c>
      <c r="L634" s="5">
        <v>0</v>
      </c>
      <c r="M634" s="5">
        <v>100</v>
      </c>
      <c r="N634" s="5">
        <v>100</v>
      </c>
      <c r="O634" s="2">
        <v>0.48450831544861728</v>
      </c>
      <c r="P634" s="2">
        <v>0.84541639228749887</v>
      </c>
      <c r="Q634" s="2">
        <v>6.0180723255630212E-3</v>
      </c>
      <c r="R634" s="2">
        <v>1.2072581234269249E-2</v>
      </c>
    </row>
    <row r="635" spans="1:18" x14ac:dyDescent="0.3">
      <c r="A635" s="7">
        <v>510</v>
      </c>
      <c r="B635" s="7">
        <v>361</v>
      </c>
      <c r="C635" s="7">
        <v>0</v>
      </c>
      <c r="D635" s="7">
        <v>1</v>
      </c>
      <c r="E635" s="20" t="str">
        <f t="shared" si="9"/>
        <v>01</v>
      </c>
      <c r="F635" s="21">
        <v>0.15521877442701801</v>
      </c>
      <c r="G635" s="4">
        <v>0.61199999999999999</v>
      </c>
      <c r="H635" s="4">
        <v>0.51767676767676796</v>
      </c>
      <c r="I635" s="4">
        <v>0.99199999999999999</v>
      </c>
      <c r="J635" s="4">
        <v>0.98899999999999999</v>
      </c>
      <c r="K635" s="5">
        <v>100</v>
      </c>
      <c r="L635" s="5">
        <v>100</v>
      </c>
      <c r="M635" s="5">
        <v>100</v>
      </c>
      <c r="N635" s="5">
        <v>100</v>
      </c>
      <c r="O635" s="2">
        <v>0.49102299646981101</v>
      </c>
      <c r="P635" s="2">
        <v>0.6584042321160718</v>
      </c>
      <c r="Q635" s="2">
        <v>8.0321716972642666E-3</v>
      </c>
      <c r="R635" s="2">
        <v>1.1060947359424948E-2</v>
      </c>
    </row>
    <row r="636" spans="1:18" x14ac:dyDescent="0.3">
      <c r="A636" s="7">
        <v>116</v>
      </c>
      <c r="B636" s="7">
        <v>365</v>
      </c>
      <c r="C636" s="7">
        <v>0</v>
      </c>
      <c r="D636" s="7">
        <v>1</v>
      </c>
      <c r="E636" s="20" t="str">
        <f t="shared" si="9"/>
        <v>01</v>
      </c>
      <c r="F636" s="21">
        <v>0.15531707770855699</v>
      </c>
      <c r="G636" s="4">
        <v>0.23100000000000001</v>
      </c>
      <c r="H636" s="4">
        <v>0.18640350877192999</v>
      </c>
      <c r="I636" s="4">
        <v>0.998</v>
      </c>
      <c r="J636" s="4">
        <v>0.995</v>
      </c>
      <c r="K636" s="5">
        <v>0</v>
      </c>
      <c r="L636" s="5">
        <v>0</v>
      </c>
      <c r="M636" s="5">
        <v>100</v>
      </c>
      <c r="N636" s="5">
        <v>100</v>
      </c>
      <c r="O636" s="2">
        <v>1.4653375684603434</v>
      </c>
      <c r="P636" s="2">
        <v>1.6798415530240687</v>
      </c>
      <c r="Q636" s="2">
        <v>2.0020026706730793E-3</v>
      </c>
      <c r="R636" s="2">
        <v>5.0125418235442863E-3</v>
      </c>
    </row>
    <row r="637" spans="1:18" x14ac:dyDescent="0.3">
      <c r="A637" s="7">
        <v>338</v>
      </c>
      <c r="B637" s="7">
        <v>391</v>
      </c>
      <c r="C637" s="7">
        <v>0</v>
      </c>
      <c r="D637" s="7">
        <v>1</v>
      </c>
      <c r="E637" s="20" t="str">
        <f t="shared" si="9"/>
        <v>01</v>
      </c>
      <c r="F637" s="21">
        <v>0.15569564972779601</v>
      </c>
      <c r="G637" s="4">
        <v>0.54</v>
      </c>
      <c r="H637" s="4">
        <v>0.41102756892230602</v>
      </c>
      <c r="I637" s="4">
        <v>0.99</v>
      </c>
      <c r="J637" s="4">
        <v>0.98699999999999999</v>
      </c>
      <c r="K637" s="5">
        <v>100</v>
      </c>
      <c r="L637" s="5">
        <v>0</v>
      </c>
      <c r="M637" s="5">
        <v>100</v>
      </c>
      <c r="N637" s="5">
        <v>100</v>
      </c>
      <c r="O637" s="2">
        <v>0.61618613942381695</v>
      </c>
      <c r="P637" s="2">
        <v>0.88909498906566442</v>
      </c>
      <c r="Q637" s="2">
        <v>1.0050335853501451E-2</v>
      </c>
      <c r="R637" s="2">
        <v>1.3085239548655481E-2</v>
      </c>
    </row>
    <row r="638" spans="1:18" x14ac:dyDescent="0.3">
      <c r="A638" s="7">
        <v>154</v>
      </c>
      <c r="B638" s="7">
        <v>385</v>
      </c>
      <c r="C638" s="7">
        <v>0</v>
      </c>
      <c r="D638" s="7">
        <v>1</v>
      </c>
      <c r="E638" s="20" t="str">
        <f t="shared" si="9"/>
        <v>01</v>
      </c>
      <c r="F638" s="21">
        <v>0.16628849759532199</v>
      </c>
      <c r="G638" s="4">
        <v>0.38500000000000001</v>
      </c>
      <c r="H638" s="4">
        <v>0.31096196868008902</v>
      </c>
      <c r="I638" s="4">
        <v>0.98</v>
      </c>
      <c r="J638" s="4">
        <v>0.98199999999999998</v>
      </c>
      <c r="K638" s="5">
        <v>0</v>
      </c>
      <c r="L638" s="5">
        <v>0</v>
      </c>
      <c r="M638" s="5">
        <v>100</v>
      </c>
      <c r="N638" s="5">
        <v>100</v>
      </c>
      <c r="O638" s="2">
        <v>0.95451194469435285</v>
      </c>
      <c r="P638" s="2">
        <v>1.1680846614828786</v>
      </c>
      <c r="Q638" s="2">
        <v>2.0202707317519466E-2</v>
      </c>
      <c r="R638" s="2">
        <v>1.816397062767118E-2</v>
      </c>
    </row>
    <row r="639" spans="1:18" x14ac:dyDescent="0.3">
      <c r="A639" s="7">
        <v>729</v>
      </c>
      <c r="B639" s="7">
        <v>371</v>
      </c>
      <c r="C639" s="7">
        <v>0</v>
      </c>
      <c r="D639" s="7">
        <v>1</v>
      </c>
      <c r="E639" s="20" t="str">
        <f t="shared" si="9"/>
        <v>01</v>
      </c>
      <c r="F639" s="21">
        <v>0.16654433113491701</v>
      </c>
      <c r="G639" s="4">
        <v>0.35799999999999998</v>
      </c>
      <c r="H639" s="4">
        <v>0.324210526315789</v>
      </c>
      <c r="I639" s="4">
        <v>0.99099999999999999</v>
      </c>
      <c r="J639" s="4">
        <v>0.99299999999999999</v>
      </c>
      <c r="K639" s="5">
        <v>0</v>
      </c>
      <c r="L639" s="5">
        <v>0</v>
      </c>
      <c r="M639" s="5">
        <v>100</v>
      </c>
      <c r="N639" s="5">
        <v>100</v>
      </c>
      <c r="O639" s="2">
        <v>1.0272222925814367</v>
      </c>
      <c r="P639" s="2">
        <v>1.1263622016210135</v>
      </c>
      <c r="Q639" s="2">
        <v>9.0407446521490707E-3</v>
      </c>
      <c r="R639" s="2">
        <v>7.0246149369644663E-3</v>
      </c>
    </row>
    <row r="640" spans="1:18" x14ac:dyDescent="0.3">
      <c r="A640" s="7">
        <v>859</v>
      </c>
      <c r="B640" s="7">
        <v>382</v>
      </c>
      <c r="C640" s="7">
        <v>0</v>
      </c>
      <c r="D640" s="7">
        <v>1</v>
      </c>
      <c r="E640" s="20" t="str">
        <f t="shared" si="9"/>
        <v>01</v>
      </c>
      <c r="F640" s="21">
        <v>0.16812872468088499</v>
      </c>
      <c r="G640" s="4">
        <v>0.65600000000000003</v>
      </c>
      <c r="H640" s="4">
        <v>0.55970149253731305</v>
      </c>
      <c r="I640" s="4">
        <v>0.98399999999999999</v>
      </c>
      <c r="J640" s="4">
        <v>0.98799999999999999</v>
      </c>
      <c r="K640" s="5">
        <v>100</v>
      </c>
      <c r="L640" s="5">
        <v>100</v>
      </c>
      <c r="M640" s="5">
        <v>100</v>
      </c>
      <c r="N640" s="5">
        <v>100</v>
      </c>
      <c r="O640" s="2">
        <v>0.42159449003804794</v>
      </c>
      <c r="P640" s="2">
        <v>0.58035168641460166</v>
      </c>
      <c r="Q640" s="2">
        <v>1.6129381929883644E-2</v>
      </c>
      <c r="R640" s="2">
        <v>1.2072581234269249E-2</v>
      </c>
    </row>
    <row r="641" spans="1:18" x14ac:dyDescent="0.3">
      <c r="A641" s="7">
        <v>356</v>
      </c>
      <c r="B641" s="7">
        <v>379</v>
      </c>
      <c r="C641" s="7">
        <v>0</v>
      </c>
      <c r="D641" s="7">
        <v>1</v>
      </c>
      <c r="E641" s="20" t="str">
        <f t="shared" si="9"/>
        <v>01</v>
      </c>
      <c r="F641" s="21">
        <v>0.168387412447706</v>
      </c>
      <c r="G641" s="4">
        <v>0.26100000000000001</v>
      </c>
      <c r="H641" s="4">
        <v>0.25154639175257698</v>
      </c>
      <c r="I641" s="4">
        <v>0.88600000000000001</v>
      </c>
      <c r="J641" s="4">
        <v>0.88200000000000001</v>
      </c>
      <c r="K641" s="5">
        <v>0</v>
      </c>
      <c r="L641" s="5">
        <v>0</v>
      </c>
      <c r="M641" s="5">
        <v>100</v>
      </c>
      <c r="N641" s="5">
        <v>100</v>
      </c>
      <c r="O641" s="2">
        <v>1.3432348716594436</v>
      </c>
      <c r="P641" s="2">
        <v>1.3801278462042279</v>
      </c>
      <c r="Q641" s="2">
        <v>0.1210383283770561</v>
      </c>
      <c r="R641" s="2">
        <v>0.12556322297534575</v>
      </c>
    </row>
    <row r="642" spans="1:18" x14ac:dyDescent="0.3">
      <c r="A642" s="7">
        <v>151</v>
      </c>
      <c r="B642" s="7">
        <v>395</v>
      </c>
      <c r="C642" s="7">
        <v>0</v>
      </c>
      <c r="D642" s="7">
        <v>1</v>
      </c>
      <c r="E642" s="20" t="str">
        <f t="shared" ref="E642:E705" si="10">_xlfn.CONCAT(C642,D642)</f>
        <v>01</v>
      </c>
      <c r="F642" s="21">
        <v>0.170898222386027</v>
      </c>
      <c r="G642" s="4">
        <v>0.505</v>
      </c>
      <c r="H642" s="4">
        <v>0.44321329639889201</v>
      </c>
      <c r="I642" s="4">
        <v>0.98699999999999999</v>
      </c>
      <c r="J642" s="4">
        <v>0.98599999999999999</v>
      </c>
      <c r="K642" s="5">
        <v>100</v>
      </c>
      <c r="L642" s="5">
        <v>0</v>
      </c>
      <c r="M642" s="5">
        <v>100</v>
      </c>
      <c r="N642" s="5">
        <v>100</v>
      </c>
      <c r="O642" s="2">
        <v>0.68319684970677719</v>
      </c>
      <c r="P642" s="2">
        <v>0.81370414309905392</v>
      </c>
      <c r="Q642" s="2">
        <v>1.3085239548655481E-2</v>
      </c>
      <c r="R642" s="2">
        <v>1.4098924379501648E-2</v>
      </c>
    </row>
    <row r="643" spans="1:18" x14ac:dyDescent="0.3">
      <c r="A643" s="7">
        <v>500</v>
      </c>
      <c r="B643" s="7">
        <v>357</v>
      </c>
      <c r="C643" s="7">
        <v>0</v>
      </c>
      <c r="D643" s="7">
        <v>1</v>
      </c>
      <c r="E643" s="20" t="str">
        <f t="shared" si="10"/>
        <v>01</v>
      </c>
      <c r="F643" s="21">
        <v>0.177188711885018</v>
      </c>
      <c r="G643" s="4">
        <v>0.54500000000000004</v>
      </c>
      <c r="H643" s="4">
        <v>0.49220489977728299</v>
      </c>
      <c r="I643" s="4">
        <v>0.98799999999999999</v>
      </c>
      <c r="J643" s="4">
        <v>0.98299999999999998</v>
      </c>
      <c r="K643" s="5">
        <v>100</v>
      </c>
      <c r="L643" s="5">
        <v>0</v>
      </c>
      <c r="M643" s="5">
        <v>100</v>
      </c>
      <c r="N643" s="5">
        <v>100</v>
      </c>
      <c r="O643" s="2">
        <v>0.60696948431889286</v>
      </c>
      <c r="P643" s="2">
        <v>0.7088601862245012</v>
      </c>
      <c r="Q643" s="2">
        <v>1.2072581234269249E-2</v>
      </c>
      <c r="R643" s="2">
        <v>1.7146158834970514E-2</v>
      </c>
    </row>
    <row r="644" spans="1:18" x14ac:dyDescent="0.3">
      <c r="A644" s="7">
        <v>880</v>
      </c>
      <c r="B644" s="7">
        <v>361</v>
      </c>
      <c r="C644" s="7">
        <v>0</v>
      </c>
      <c r="D644" s="7">
        <v>1</v>
      </c>
      <c r="E644" s="20" t="str">
        <f t="shared" si="10"/>
        <v>01</v>
      </c>
      <c r="F644" s="21">
        <v>0.178720259590988</v>
      </c>
      <c r="G644" s="4">
        <v>0.27500000000000002</v>
      </c>
      <c r="H644" s="4">
        <v>0.233545647558386</v>
      </c>
      <c r="I644" s="4">
        <v>0.98299999999999998</v>
      </c>
      <c r="J644" s="4">
        <v>0.98199999999999998</v>
      </c>
      <c r="K644" s="5">
        <v>0</v>
      </c>
      <c r="L644" s="5">
        <v>0</v>
      </c>
      <c r="M644" s="5">
        <v>100</v>
      </c>
      <c r="N644" s="5">
        <v>100</v>
      </c>
      <c r="O644" s="2">
        <v>1.2909841813155656</v>
      </c>
      <c r="P644" s="2">
        <v>1.4543777282240034</v>
      </c>
      <c r="Q644" s="2">
        <v>1.7146158834970514E-2</v>
      </c>
      <c r="R644" s="2">
        <v>1.816397062767118E-2</v>
      </c>
    </row>
    <row r="645" spans="1:18" x14ac:dyDescent="0.3">
      <c r="A645" s="7">
        <v>617</v>
      </c>
      <c r="B645" s="7">
        <v>359</v>
      </c>
      <c r="C645" s="7">
        <v>0</v>
      </c>
      <c r="D645" s="7">
        <v>1</v>
      </c>
      <c r="E645" s="20" t="str">
        <f t="shared" si="10"/>
        <v>01</v>
      </c>
      <c r="F645" s="21">
        <v>0.18243609248074499</v>
      </c>
      <c r="G645" s="4">
        <v>0.28699999999999998</v>
      </c>
      <c r="H645" s="4">
        <v>0.24788135593220301</v>
      </c>
      <c r="I645" s="4">
        <v>0.1</v>
      </c>
      <c r="J645" s="4">
        <v>0.11</v>
      </c>
      <c r="K645" s="5">
        <v>0</v>
      </c>
      <c r="L645" s="5">
        <v>0</v>
      </c>
      <c r="M645" s="5">
        <v>0</v>
      </c>
      <c r="N645" s="5">
        <v>0</v>
      </c>
      <c r="O645" s="2">
        <v>1.2482730632225161</v>
      </c>
      <c r="P645" s="2">
        <v>1.3948050507878007</v>
      </c>
      <c r="Q645" s="2">
        <v>2.3025850929940455</v>
      </c>
      <c r="R645" s="2">
        <v>2.2072749131897207</v>
      </c>
    </row>
    <row r="646" spans="1:18" x14ac:dyDescent="0.3">
      <c r="A646" s="7">
        <v>453</v>
      </c>
      <c r="B646" s="7">
        <v>348</v>
      </c>
      <c r="C646" s="7">
        <v>0</v>
      </c>
      <c r="D646" s="7">
        <v>1</v>
      </c>
      <c r="E646" s="20" t="str">
        <f t="shared" si="10"/>
        <v>01</v>
      </c>
      <c r="F646" s="21">
        <v>0.18380768494758501</v>
      </c>
      <c r="G646" s="4">
        <v>0.35399999999999998</v>
      </c>
      <c r="H646" s="4">
        <v>0.338947368421053</v>
      </c>
      <c r="I646" s="4">
        <v>0.98799999999999999</v>
      </c>
      <c r="J646" s="4">
        <v>0.98499999999999999</v>
      </c>
      <c r="K646" s="5">
        <v>0</v>
      </c>
      <c r="L646" s="5">
        <v>0</v>
      </c>
      <c r="M646" s="5">
        <v>100</v>
      </c>
      <c r="N646" s="5">
        <v>100</v>
      </c>
      <c r="O646" s="2">
        <v>1.0384583658483626</v>
      </c>
      <c r="P646" s="2">
        <v>1.081910439050177</v>
      </c>
      <c r="Q646" s="2">
        <v>1.2072581234269249E-2</v>
      </c>
      <c r="R646" s="2">
        <v>1.5113637810048184E-2</v>
      </c>
    </row>
    <row r="647" spans="1:18" x14ac:dyDescent="0.3">
      <c r="A647" s="7">
        <v>588</v>
      </c>
      <c r="B647" s="7">
        <v>367</v>
      </c>
      <c r="C647" s="7">
        <v>0</v>
      </c>
      <c r="D647" s="7">
        <v>1</v>
      </c>
      <c r="E647" s="20" t="str">
        <f t="shared" si="10"/>
        <v>01</v>
      </c>
      <c r="F647" s="21">
        <v>0.18955770711629899</v>
      </c>
      <c r="G647" s="4">
        <v>0.42599999999999999</v>
      </c>
      <c r="H647" s="4">
        <v>0.360178970917226</v>
      </c>
      <c r="I647" s="4">
        <v>0.98599999999999999</v>
      </c>
      <c r="J647" s="4">
        <v>0.98299999999999998</v>
      </c>
      <c r="K647" s="5">
        <v>0</v>
      </c>
      <c r="L647" s="5">
        <v>0</v>
      </c>
      <c r="M647" s="5">
        <v>100</v>
      </c>
      <c r="N647" s="5">
        <v>100</v>
      </c>
      <c r="O647" s="2">
        <v>0.85331593271276662</v>
      </c>
      <c r="P647" s="2">
        <v>1.0211542296291056</v>
      </c>
      <c r="Q647" s="2">
        <v>1.4098924379501648E-2</v>
      </c>
      <c r="R647" s="2">
        <v>1.7146158834970514E-2</v>
      </c>
    </row>
    <row r="648" spans="1:18" x14ac:dyDescent="0.3">
      <c r="A648" s="7">
        <v>573</v>
      </c>
      <c r="B648" s="7">
        <v>361</v>
      </c>
      <c r="C648" s="7">
        <v>0</v>
      </c>
      <c r="D648" s="7">
        <v>1</v>
      </c>
      <c r="E648" s="20" t="str">
        <f t="shared" si="10"/>
        <v>01</v>
      </c>
      <c r="F648" s="21">
        <v>0.19140964373899699</v>
      </c>
      <c r="G648" s="4">
        <v>0.36599999999999999</v>
      </c>
      <c r="H648" s="4">
        <v>0.32365145228215803</v>
      </c>
      <c r="I648" s="4">
        <v>1.6E-2</v>
      </c>
      <c r="J648" s="4">
        <v>1.2E-2</v>
      </c>
      <c r="K648" s="5">
        <v>0</v>
      </c>
      <c r="L648" s="5">
        <v>0</v>
      </c>
      <c r="M648" s="5">
        <v>0</v>
      </c>
      <c r="N648" s="5">
        <v>0</v>
      </c>
      <c r="O648" s="2">
        <v>1.0051219455807707</v>
      </c>
      <c r="P648" s="2">
        <v>1.1280881068010622</v>
      </c>
      <c r="Q648" s="2">
        <v>4.1351665567423561</v>
      </c>
      <c r="R648" s="2">
        <v>4.4228486291941369</v>
      </c>
    </row>
    <row r="649" spans="1:18" x14ac:dyDescent="0.3">
      <c r="A649" s="7">
        <v>651</v>
      </c>
      <c r="B649" s="7">
        <v>433</v>
      </c>
      <c r="C649" s="7">
        <v>0</v>
      </c>
      <c r="D649" s="7">
        <v>1</v>
      </c>
      <c r="E649" s="20" t="str">
        <f t="shared" si="10"/>
        <v>01</v>
      </c>
      <c r="F649" s="21">
        <v>0.19421589852194901</v>
      </c>
      <c r="G649" s="4">
        <v>0.27400000000000002</v>
      </c>
      <c r="H649" s="4">
        <v>0.23779193205944801</v>
      </c>
      <c r="I649" s="4">
        <v>0.98499999999999999</v>
      </c>
      <c r="J649" s="4">
        <v>0.98599999999999999</v>
      </c>
      <c r="K649" s="5">
        <v>0</v>
      </c>
      <c r="L649" s="5">
        <v>0</v>
      </c>
      <c r="M649" s="5">
        <v>100</v>
      </c>
      <c r="N649" s="5">
        <v>100</v>
      </c>
      <c r="O649" s="2">
        <v>1.2946271725940668</v>
      </c>
      <c r="P649" s="2">
        <v>1.4363592227213231</v>
      </c>
      <c r="Q649" s="2">
        <v>1.5113637810048184E-2</v>
      </c>
      <c r="R649" s="2">
        <v>1.4098924379501648E-2</v>
      </c>
    </row>
    <row r="650" spans="1:18" x14ac:dyDescent="0.3">
      <c r="A650" s="7">
        <v>585</v>
      </c>
      <c r="B650" s="7">
        <v>359</v>
      </c>
      <c r="C650" s="7">
        <v>0</v>
      </c>
      <c r="D650" s="7">
        <v>1</v>
      </c>
      <c r="E650" s="20" t="str">
        <f t="shared" si="10"/>
        <v>01</v>
      </c>
      <c r="F650" s="21">
        <v>0.19487253859807499</v>
      </c>
      <c r="G650" s="4">
        <v>0.246</v>
      </c>
      <c r="H650" s="4">
        <v>0.22821576763485499</v>
      </c>
      <c r="I650" s="4">
        <v>0.33400000000000002</v>
      </c>
      <c r="J650" s="4">
        <v>0.315</v>
      </c>
      <c r="K650" s="5">
        <v>0</v>
      </c>
      <c r="L650" s="5">
        <v>0</v>
      </c>
      <c r="M650" s="5">
        <v>0</v>
      </c>
      <c r="N650" s="5">
        <v>0</v>
      </c>
      <c r="O650" s="2">
        <v>1.4024237430497744</v>
      </c>
      <c r="P650" s="2">
        <v>1.4774637482581832</v>
      </c>
      <c r="Q650" s="2">
        <v>1.0966142860054366</v>
      </c>
      <c r="R650" s="2">
        <v>1.155182640156504</v>
      </c>
    </row>
    <row r="651" spans="1:18" x14ac:dyDescent="0.3">
      <c r="A651" s="7">
        <v>951</v>
      </c>
      <c r="B651" s="7">
        <v>378</v>
      </c>
      <c r="C651" s="7">
        <v>0</v>
      </c>
      <c r="D651" s="7">
        <v>1</v>
      </c>
      <c r="E651" s="20" t="str">
        <f t="shared" si="10"/>
        <v>01</v>
      </c>
      <c r="F651" s="21">
        <v>0.19643963540602</v>
      </c>
      <c r="G651" s="4">
        <v>0.59099999999999997</v>
      </c>
      <c r="H651" s="4">
        <v>0.51716247139588101</v>
      </c>
      <c r="I651" s="4">
        <v>0.98099999999999998</v>
      </c>
      <c r="J651" s="4">
        <v>0.98799999999999999</v>
      </c>
      <c r="K651" s="5">
        <v>100</v>
      </c>
      <c r="L651" s="5">
        <v>100</v>
      </c>
      <c r="M651" s="5">
        <v>100</v>
      </c>
      <c r="N651" s="5">
        <v>100</v>
      </c>
      <c r="O651" s="2">
        <v>0.52593926157603887</v>
      </c>
      <c r="P651" s="2">
        <v>0.65939819582330428</v>
      </c>
      <c r="Q651" s="2">
        <v>1.9182819416773987E-2</v>
      </c>
      <c r="R651" s="2">
        <v>1.2072581234269249E-2</v>
      </c>
    </row>
    <row r="652" spans="1:18" x14ac:dyDescent="0.3">
      <c r="A652" s="7">
        <v>892</v>
      </c>
      <c r="B652" s="7">
        <v>349</v>
      </c>
      <c r="C652" s="7">
        <v>0</v>
      </c>
      <c r="D652" s="7">
        <v>1</v>
      </c>
      <c r="E652" s="20" t="str">
        <f t="shared" si="10"/>
        <v>01</v>
      </c>
      <c r="F652" s="21">
        <v>0.197891945710784</v>
      </c>
      <c r="G652" s="4">
        <v>0.34899999999999998</v>
      </c>
      <c r="H652" s="4">
        <v>0.33191489361702098</v>
      </c>
      <c r="I652" s="4">
        <v>0.92500000000000004</v>
      </c>
      <c r="J652" s="4">
        <v>0.92200000000000004</v>
      </c>
      <c r="K652" s="5">
        <v>0</v>
      </c>
      <c r="L652" s="5">
        <v>0</v>
      </c>
      <c r="M652" s="5">
        <v>100</v>
      </c>
      <c r="N652" s="5">
        <v>100</v>
      </c>
      <c r="O652" s="2">
        <v>1.05268335677971</v>
      </c>
      <c r="P652" s="2">
        <v>1.1028766874545681</v>
      </c>
      <c r="Q652" s="2">
        <v>7.7961541469711806E-2</v>
      </c>
      <c r="R652" s="2">
        <v>8.1210055425543173E-2</v>
      </c>
    </row>
    <row r="653" spans="1:18" x14ac:dyDescent="0.3">
      <c r="A653" s="7">
        <v>429</v>
      </c>
      <c r="B653" s="7">
        <v>361</v>
      </c>
      <c r="C653" s="7">
        <v>0</v>
      </c>
      <c r="D653" s="7">
        <v>1</v>
      </c>
      <c r="E653" s="20" t="str">
        <f t="shared" si="10"/>
        <v>01</v>
      </c>
      <c r="F653" s="21">
        <v>0.20050919039062501</v>
      </c>
      <c r="G653" s="4">
        <v>0.49</v>
      </c>
      <c r="H653" s="4">
        <v>0.34673366834170899</v>
      </c>
      <c r="I653" s="4">
        <v>0.98599999999999999</v>
      </c>
      <c r="J653" s="4">
        <v>0.97499999999999998</v>
      </c>
      <c r="K653" s="5">
        <v>0</v>
      </c>
      <c r="L653" s="5">
        <v>0</v>
      </c>
      <c r="M653" s="5">
        <v>100</v>
      </c>
      <c r="N653" s="5">
        <v>100</v>
      </c>
      <c r="O653" s="2">
        <v>0.71334988787746478</v>
      </c>
      <c r="P653" s="2">
        <v>1.0591983201272317</v>
      </c>
      <c r="Q653" s="2">
        <v>1.4098924379501648E-2</v>
      </c>
      <c r="R653" s="2">
        <v>2.5317807984289897E-2</v>
      </c>
    </row>
    <row r="654" spans="1:18" x14ac:dyDescent="0.3">
      <c r="A654" s="7">
        <v>532</v>
      </c>
      <c r="B654" s="7">
        <v>377</v>
      </c>
      <c r="C654" s="7">
        <v>0</v>
      </c>
      <c r="D654" s="7">
        <v>1</v>
      </c>
      <c r="E654" s="20" t="str">
        <f t="shared" si="10"/>
        <v>01</v>
      </c>
      <c r="F654" s="21">
        <v>0.201060350644163</v>
      </c>
      <c r="G654" s="4">
        <v>0.25800000000000001</v>
      </c>
      <c r="H654" s="4">
        <v>0.26078028747433302</v>
      </c>
      <c r="I654" s="4">
        <v>0.97799999999999998</v>
      </c>
      <c r="J654" s="4">
        <v>0.98099999999999998</v>
      </c>
      <c r="K654" s="5">
        <v>0</v>
      </c>
      <c r="L654" s="5">
        <v>0</v>
      </c>
      <c r="M654" s="5">
        <v>100</v>
      </c>
      <c r="N654" s="5">
        <v>100</v>
      </c>
      <c r="O654" s="2">
        <v>1.3547956940605197</v>
      </c>
      <c r="P654" s="2">
        <v>1.3440770366239971</v>
      </c>
      <c r="Q654" s="2">
        <v>2.2245608947319737E-2</v>
      </c>
      <c r="R654" s="2">
        <v>1.9182819416773987E-2</v>
      </c>
    </row>
    <row r="655" spans="1:18" x14ac:dyDescent="0.3">
      <c r="A655" s="7">
        <v>231</v>
      </c>
      <c r="B655" s="7">
        <v>386</v>
      </c>
      <c r="C655" s="7">
        <v>0</v>
      </c>
      <c r="D655" s="7">
        <v>1</v>
      </c>
      <c r="E655" s="20" t="str">
        <f t="shared" si="10"/>
        <v>01</v>
      </c>
      <c r="F655" s="21">
        <v>0.202690465501144</v>
      </c>
      <c r="G655" s="4">
        <v>0.49</v>
      </c>
      <c r="H655" s="4">
        <v>0.427966101694915</v>
      </c>
      <c r="I655" s="4">
        <v>1.7999999999999999E-2</v>
      </c>
      <c r="J655" s="4">
        <v>1.7999999999999999E-2</v>
      </c>
      <c r="K655" s="5">
        <v>0</v>
      </c>
      <c r="L655" s="5">
        <v>0</v>
      </c>
      <c r="M655" s="5">
        <v>0</v>
      </c>
      <c r="N655" s="5">
        <v>0</v>
      </c>
      <c r="O655" s="2">
        <v>0.71334988787746478</v>
      </c>
      <c r="P655" s="2">
        <v>0.84871128818435115</v>
      </c>
      <c r="Q655" s="2">
        <v>4.0173835210859723</v>
      </c>
      <c r="R655" s="2">
        <v>4.0173835210859723</v>
      </c>
    </row>
    <row r="656" spans="1:18" x14ac:dyDescent="0.3">
      <c r="A656" s="7">
        <v>827</v>
      </c>
      <c r="B656" s="7">
        <v>338</v>
      </c>
      <c r="C656" s="7">
        <v>0</v>
      </c>
      <c r="D656" s="7">
        <v>1</v>
      </c>
      <c r="E656" s="20" t="str">
        <f t="shared" si="10"/>
        <v>01</v>
      </c>
      <c r="F656" s="21">
        <v>0.20610658932302101</v>
      </c>
      <c r="G656" s="4">
        <v>0.495</v>
      </c>
      <c r="H656" s="4">
        <v>0.42298850574712599</v>
      </c>
      <c r="I656" s="4">
        <v>0.98399999999999999</v>
      </c>
      <c r="J656" s="4">
        <v>0.98</v>
      </c>
      <c r="K656" s="5">
        <v>0</v>
      </c>
      <c r="L656" s="5">
        <v>0</v>
      </c>
      <c r="M656" s="5">
        <v>100</v>
      </c>
      <c r="N656" s="5">
        <v>100</v>
      </c>
      <c r="O656" s="2">
        <v>0.70319751641344674</v>
      </c>
      <c r="P656" s="2">
        <v>0.86041027347969956</v>
      </c>
      <c r="Q656" s="2">
        <v>1.6129381929883644E-2</v>
      </c>
      <c r="R656" s="2">
        <v>2.0202707317519466E-2</v>
      </c>
    </row>
    <row r="657" spans="1:18" x14ac:dyDescent="0.3">
      <c r="A657" s="7">
        <v>388</v>
      </c>
      <c r="B657" s="7">
        <v>351</v>
      </c>
      <c r="C657" s="7">
        <v>0</v>
      </c>
      <c r="D657" s="7">
        <v>1</v>
      </c>
      <c r="E657" s="20" t="str">
        <f t="shared" si="10"/>
        <v>01</v>
      </c>
      <c r="F657" s="21">
        <v>0.20776137299981001</v>
      </c>
      <c r="G657" s="4">
        <v>0.51600000000000001</v>
      </c>
      <c r="H657" s="4">
        <v>0.34453781512604997</v>
      </c>
      <c r="I657" s="4">
        <v>0.99</v>
      </c>
      <c r="J657" s="4">
        <v>0.98799999999999999</v>
      </c>
      <c r="K657" s="5">
        <v>100</v>
      </c>
      <c r="L657" s="5">
        <v>0</v>
      </c>
      <c r="M657" s="5">
        <v>100</v>
      </c>
      <c r="N657" s="5">
        <v>100</v>
      </c>
      <c r="O657" s="2">
        <v>0.6616485135005743</v>
      </c>
      <c r="P657" s="2">
        <v>1.0655514264072228</v>
      </c>
      <c r="Q657" s="2">
        <v>1.0050335853501451E-2</v>
      </c>
      <c r="R657" s="2">
        <v>1.2072581234269249E-2</v>
      </c>
    </row>
    <row r="658" spans="1:18" x14ac:dyDescent="0.3">
      <c r="A658" s="7">
        <v>777</v>
      </c>
      <c r="B658" s="7">
        <v>343</v>
      </c>
      <c r="C658" s="7">
        <v>0</v>
      </c>
      <c r="D658" s="7">
        <v>1</v>
      </c>
      <c r="E658" s="20" t="str">
        <f t="shared" si="10"/>
        <v>01</v>
      </c>
      <c r="F658" s="21">
        <v>0.211331332862496</v>
      </c>
      <c r="G658" s="4">
        <v>0.376</v>
      </c>
      <c r="H658" s="4">
        <v>0.326710816777042</v>
      </c>
      <c r="I658" s="4">
        <v>0.97699999999999998</v>
      </c>
      <c r="J658" s="4">
        <v>0.98099999999999998</v>
      </c>
      <c r="K658" s="5">
        <v>0</v>
      </c>
      <c r="L658" s="5">
        <v>0</v>
      </c>
      <c r="M658" s="5">
        <v>100</v>
      </c>
      <c r="N658" s="5">
        <v>100</v>
      </c>
      <c r="O658" s="2">
        <v>0.97816613559224252</v>
      </c>
      <c r="P658" s="2">
        <v>1.1186798517189187</v>
      </c>
      <c r="Q658" s="2">
        <v>2.3268626939354331E-2</v>
      </c>
      <c r="R658" s="2">
        <v>1.9182819416773987E-2</v>
      </c>
    </row>
    <row r="659" spans="1:18" x14ac:dyDescent="0.3">
      <c r="A659" s="7">
        <v>718</v>
      </c>
      <c r="B659" s="7">
        <v>336</v>
      </c>
      <c r="C659" s="7">
        <v>0</v>
      </c>
      <c r="D659" s="7">
        <v>1</v>
      </c>
      <c r="E659" s="20" t="str">
        <f t="shared" si="10"/>
        <v>01</v>
      </c>
      <c r="F659" s="21">
        <v>0.21391201013113101</v>
      </c>
      <c r="G659" s="4">
        <v>0.34300000000000003</v>
      </c>
      <c r="H659" s="4">
        <v>0.325773195876289</v>
      </c>
      <c r="I659" s="4">
        <v>0.99299999999999999</v>
      </c>
      <c r="J659" s="4">
        <v>0.98099999999999998</v>
      </c>
      <c r="K659" s="5">
        <v>0</v>
      </c>
      <c r="L659" s="5">
        <v>0</v>
      </c>
      <c r="M659" s="5">
        <v>100</v>
      </c>
      <c r="N659" s="5">
        <v>100</v>
      </c>
      <c r="O659" s="2">
        <v>1.0700248318161971</v>
      </c>
      <c r="P659" s="2">
        <v>1.1215538579105153</v>
      </c>
      <c r="Q659" s="2">
        <v>7.0246149369644663E-3</v>
      </c>
      <c r="R659" s="2">
        <v>1.9182819416773987E-2</v>
      </c>
    </row>
    <row r="660" spans="1:18" x14ac:dyDescent="0.3">
      <c r="A660" s="7">
        <v>471</v>
      </c>
      <c r="B660" s="7">
        <v>343</v>
      </c>
      <c r="C660" s="7">
        <v>0</v>
      </c>
      <c r="D660" s="7">
        <v>1</v>
      </c>
      <c r="E660" s="20" t="str">
        <f t="shared" si="10"/>
        <v>01</v>
      </c>
      <c r="F660" s="21">
        <v>0.217443457643403</v>
      </c>
      <c r="G660" s="4">
        <v>0.80100000000000005</v>
      </c>
      <c r="H660" s="4">
        <v>0.48258706467661699</v>
      </c>
      <c r="I660" s="4">
        <v>0.99199999999999999</v>
      </c>
      <c r="J660" s="4">
        <v>0.98199999999999998</v>
      </c>
      <c r="K660" s="5">
        <v>100</v>
      </c>
      <c r="L660" s="5">
        <v>0</v>
      </c>
      <c r="M660" s="5">
        <v>100</v>
      </c>
      <c r="N660" s="5">
        <v>100</v>
      </c>
      <c r="O660" s="2">
        <v>0.22189433191377778</v>
      </c>
      <c r="P660" s="2">
        <v>0.7285939295556928</v>
      </c>
      <c r="Q660" s="2">
        <v>8.0321716972642666E-3</v>
      </c>
      <c r="R660" s="2">
        <v>1.816397062767118E-2</v>
      </c>
    </row>
    <row r="661" spans="1:18" x14ac:dyDescent="0.3">
      <c r="A661" s="7">
        <v>186</v>
      </c>
      <c r="B661" s="7">
        <v>338</v>
      </c>
      <c r="C661" s="7">
        <v>0</v>
      </c>
      <c r="D661" s="7">
        <v>1</v>
      </c>
      <c r="E661" s="20" t="str">
        <f t="shared" si="10"/>
        <v>01</v>
      </c>
      <c r="F661" s="21">
        <v>0.22028398056562001</v>
      </c>
      <c r="G661" s="4">
        <v>0.38400000000000001</v>
      </c>
      <c r="H661" s="4">
        <v>0.32537960954446898</v>
      </c>
      <c r="I661" s="4">
        <v>2.1000000000000001E-2</v>
      </c>
      <c r="J661" s="4">
        <v>2.1000000000000001E-2</v>
      </c>
      <c r="K661" s="5">
        <v>0</v>
      </c>
      <c r="L661" s="5">
        <v>0</v>
      </c>
      <c r="M661" s="5">
        <v>0</v>
      </c>
      <c r="N661" s="5">
        <v>0</v>
      </c>
      <c r="O661" s="2">
        <v>0.95711272639441014</v>
      </c>
      <c r="P661" s="2">
        <v>1.1227627489003915</v>
      </c>
      <c r="Q661" s="2">
        <v>3.8632328412587138</v>
      </c>
      <c r="R661" s="2">
        <v>3.8632328412587138</v>
      </c>
    </row>
    <row r="662" spans="1:18" x14ac:dyDescent="0.3">
      <c r="A662" s="7">
        <v>324</v>
      </c>
      <c r="B662" s="7">
        <v>332</v>
      </c>
      <c r="C662" s="7">
        <v>0</v>
      </c>
      <c r="D662" s="7">
        <v>1</v>
      </c>
      <c r="E662" s="20" t="str">
        <f t="shared" si="10"/>
        <v>01</v>
      </c>
      <c r="F662" s="21">
        <v>0.22189032764091801</v>
      </c>
      <c r="G662" s="4">
        <v>0.32700000000000001</v>
      </c>
      <c r="H662" s="4">
        <v>0.28421052631578902</v>
      </c>
      <c r="I662" s="4">
        <v>0.92400000000000004</v>
      </c>
      <c r="J662" s="4">
        <v>0.90800000000000003</v>
      </c>
      <c r="K662" s="5">
        <v>0</v>
      </c>
      <c r="L662" s="5">
        <v>0</v>
      </c>
      <c r="M662" s="5">
        <v>100</v>
      </c>
      <c r="N662" s="5">
        <v>100</v>
      </c>
      <c r="O662" s="2">
        <v>1.1177951080848836</v>
      </c>
      <c r="P662" s="2">
        <v>1.2580400255962134</v>
      </c>
      <c r="Q662" s="2">
        <v>7.9043207340452851E-2</v>
      </c>
      <c r="R662" s="2">
        <v>9.6510900380843728E-2</v>
      </c>
    </row>
    <row r="663" spans="1:18" x14ac:dyDescent="0.3">
      <c r="A663" s="7">
        <v>183</v>
      </c>
      <c r="B663" s="7">
        <v>355</v>
      </c>
      <c r="C663" s="7">
        <v>0</v>
      </c>
      <c r="D663" s="7">
        <v>1</v>
      </c>
      <c r="E663" s="20" t="str">
        <f t="shared" si="10"/>
        <v>01</v>
      </c>
      <c r="F663" s="21">
        <v>0.222338477006019</v>
      </c>
      <c r="G663" s="4">
        <v>0.307</v>
      </c>
      <c r="H663" s="4">
        <v>0.26394849785407698</v>
      </c>
      <c r="I663" s="4">
        <v>0.82299999999999995</v>
      </c>
      <c r="J663" s="4">
        <v>0.72899999999999998</v>
      </c>
      <c r="K663" s="5">
        <v>0</v>
      </c>
      <c r="L663" s="5">
        <v>0</v>
      </c>
      <c r="M663" s="5">
        <v>100</v>
      </c>
      <c r="N663" s="5">
        <v>100</v>
      </c>
      <c r="O663" s="2">
        <v>1.18090753139494</v>
      </c>
      <c r="P663" s="2">
        <v>1.3320012787532294</v>
      </c>
      <c r="Q663" s="2">
        <v>0.19479907830506729</v>
      </c>
      <c r="R663" s="2">
        <v>0.31608154697347896</v>
      </c>
    </row>
    <row r="664" spans="1:18" x14ac:dyDescent="0.3">
      <c r="A664" s="7">
        <v>265</v>
      </c>
      <c r="B664" s="7">
        <v>332</v>
      </c>
      <c r="C664" s="7">
        <v>0</v>
      </c>
      <c r="D664" s="7">
        <v>1</v>
      </c>
      <c r="E664" s="20" t="str">
        <f t="shared" si="10"/>
        <v>01</v>
      </c>
      <c r="F664" s="21">
        <v>0.234603689350804</v>
      </c>
      <c r="G664" s="4">
        <v>0.254</v>
      </c>
      <c r="H664" s="4">
        <v>0.22080679405520201</v>
      </c>
      <c r="I664" s="4">
        <v>0.81399999999999995</v>
      </c>
      <c r="J664" s="4">
        <v>0.85099999999999998</v>
      </c>
      <c r="K664" s="5">
        <v>0</v>
      </c>
      <c r="L664" s="5">
        <v>0</v>
      </c>
      <c r="M664" s="5">
        <v>100</v>
      </c>
      <c r="N664" s="5">
        <v>100</v>
      </c>
      <c r="O664" s="2">
        <v>1.3704210119636004</v>
      </c>
      <c r="P664" s="2">
        <v>1.5104671948750437</v>
      </c>
      <c r="Q664" s="2">
        <v>0.20579491297959682</v>
      </c>
      <c r="R664" s="2">
        <v>0.16134315040876293</v>
      </c>
    </row>
    <row r="665" spans="1:18" x14ac:dyDescent="0.3">
      <c r="A665" s="7">
        <v>26</v>
      </c>
      <c r="B665" s="7">
        <v>328</v>
      </c>
      <c r="C665" s="7">
        <v>0</v>
      </c>
      <c r="D665" s="7">
        <v>1</v>
      </c>
      <c r="E665" s="20" t="str">
        <f t="shared" si="10"/>
        <v>01</v>
      </c>
      <c r="F665" s="21">
        <v>0.23592076158945699</v>
      </c>
      <c r="G665" s="4">
        <v>0.83599999999999997</v>
      </c>
      <c r="H665" s="4">
        <v>0.75570032573289903</v>
      </c>
      <c r="I665" s="4">
        <v>0.98</v>
      </c>
      <c r="J665" s="4">
        <v>0.97799999999999998</v>
      </c>
      <c r="K665" s="5">
        <v>100</v>
      </c>
      <c r="L665" s="5">
        <v>100</v>
      </c>
      <c r="M665" s="5">
        <v>100</v>
      </c>
      <c r="N665" s="5">
        <v>100</v>
      </c>
      <c r="O665" s="2">
        <v>0.17912666589743548</v>
      </c>
      <c r="P665" s="2">
        <v>0.28011037592088722</v>
      </c>
      <c r="Q665" s="2">
        <v>2.0202707317519466E-2</v>
      </c>
      <c r="R665" s="2">
        <v>2.2245608947319737E-2</v>
      </c>
    </row>
    <row r="666" spans="1:18" x14ac:dyDescent="0.3">
      <c r="A666" s="7">
        <v>424</v>
      </c>
      <c r="B666" s="7">
        <v>343</v>
      </c>
      <c r="C666" s="7">
        <v>0</v>
      </c>
      <c r="D666" s="7">
        <v>1</v>
      </c>
      <c r="E666" s="20" t="str">
        <f t="shared" si="10"/>
        <v>01</v>
      </c>
      <c r="F666" s="21">
        <v>0.236116636707695</v>
      </c>
      <c r="G666" s="4">
        <v>0.42399999999999999</v>
      </c>
      <c r="H666" s="4">
        <v>0.28850855745721299</v>
      </c>
      <c r="I666" s="4">
        <v>1.0999999999999999E-2</v>
      </c>
      <c r="J666" s="4">
        <v>0.02</v>
      </c>
      <c r="K666" s="5">
        <v>0</v>
      </c>
      <c r="L666" s="5">
        <v>0</v>
      </c>
      <c r="M666" s="5">
        <v>0</v>
      </c>
      <c r="N666" s="5">
        <v>0</v>
      </c>
      <c r="O666" s="2">
        <v>0.85802182375017932</v>
      </c>
      <c r="P666" s="2">
        <v>1.2430305315771359</v>
      </c>
      <c r="Q666" s="2">
        <v>4.5098600061837661</v>
      </c>
      <c r="R666" s="2">
        <v>3.912023005428146</v>
      </c>
    </row>
    <row r="667" spans="1:18" x14ac:dyDescent="0.3">
      <c r="A667" s="7">
        <v>981</v>
      </c>
      <c r="B667" s="7">
        <v>341</v>
      </c>
      <c r="C667" s="7">
        <v>0</v>
      </c>
      <c r="D667" s="7">
        <v>1</v>
      </c>
      <c r="E667" s="20" t="str">
        <f t="shared" si="10"/>
        <v>01</v>
      </c>
      <c r="F667" s="21">
        <v>0.24123219345087599</v>
      </c>
      <c r="G667" s="4">
        <v>0.56200000000000006</v>
      </c>
      <c r="H667" s="4">
        <v>0.50681818181818195</v>
      </c>
      <c r="I667" s="4">
        <v>0.98499999999999999</v>
      </c>
      <c r="J667" s="4">
        <v>0.97399999999999998</v>
      </c>
      <c r="K667" s="5">
        <v>100</v>
      </c>
      <c r="L667" s="5">
        <v>100</v>
      </c>
      <c r="M667" s="5">
        <v>100</v>
      </c>
      <c r="N667" s="5">
        <v>100</v>
      </c>
      <c r="O667" s="2">
        <v>0.5762534290884459</v>
      </c>
      <c r="P667" s="2">
        <v>0.67960295545218785</v>
      </c>
      <c r="Q667" s="2">
        <v>1.5113637810048184E-2</v>
      </c>
      <c r="R667" s="2">
        <v>2.6343975339601977E-2</v>
      </c>
    </row>
    <row r="668" spans="1:18" x14ac:dyDescent="0.3">
      <c r="A668" s="7">
        <v>908</v>
      </c>
      <c r="B668" s="7">
        <v>293</v>
      </c>
      <c r="C668" s="7">
        <v>0</v>
      </c>
      <c r="D668" s="7">
        <v>1</v>
      </c>
      <c r="E668" s="20" t="str">
        <f t="shared" si="10"/>
        <v>01</v>
      </c>
      <c r="F668" s="21">
        <v>0.241875059937572</v>
      </c>
      <c r="G668" s="4">
        <v>0.41799999999999998</v>
      </c>
      <c r="H668" s="4">
        <v>0.35714285714285698</v>
      </c>
      <c r="I668" s="4">
        <v>0.98</v>
      </c>
      <c r="J668" s="4">
        <v>0.97299999999999998</v>
      </c>
      <c r="K668" s="5">
        <v>0</v>
      </c>
      <c r="L668" s="5">
        <v>0</v>
      </c>
      <c r="M668" s="5">
        <v>100</v>
      </c>
      <c r="N668" s="5">
        <v>100</v>
      </c>
      <c r="O668" s="2">
        <v>0.87227384645738082</v>
      </c>
      <c r="P668" s="2">
        <v>1.0296194171811588</v>
      </c>
      <c r="Q668" s="2">
        <v>2.0202707317519466E-2</v>
      </c>
      <c r="R668" s="2">
        <v>2.7371196796132015E-2</v>
      </c>
    </row>
    <row r="669" spans="1:18" x14ac:dyDescent="0.3">
      <c r="A669" s="7">
        <v>22</v>
      </c>
      <c r="B669" s="7">
        <v>343</v>
      </c>
      <c r="C669" s="7">
        <v>0</v>
      </c>
      <c r="D669" s="7">
        <v>1</v>
      </c>
      <c r="E669" s="20" t="str">
        <f t="shared" si="10"/>
        <v>01</v>
      </c>
      <c r="F669" s="21">
        <v>0.25092047308541998</v>
      </c>
      <c r="G669" s="4">
        <v>0.47699999999999998</v>
      </c>
      <c r="H669" s="4">
        <v>0.375</v>
      </c>
      <c r="I669" s="4">
        <v>0.97</v>
      </c>
      <c r="J669" s="4">
        <v>0.95099999999999996</v>
      </c>
      <c r="K669" s="5">
        <v>0</v>
      </c>
      <c r="L669" s="5">
        <v>0</v>
      </c>
      <c r="M669" s="5">
        <v>100</v>
      </c>
      <c r="N669" s="5">
        <v>100</v>
      </c>
      <c r="O669" s="2">
        <v>0.74023878809379584</v>
      </c>
      <c r="P669" s="2">
        <v>0.98082925301172619</v>
      </c>
      <c r="Q669" s="2">
        <v>3.0459207484708574E-2</v>
      </c>
      <c r="R669" s="2">
        <v>5.024121643674679E-2</v>
      </c>
    </row>
    <row r="670" spans="1:18" x14ac:dyDescent="0.3">
      <c r="A670" s="7">
        <v>790</v>
      </c>
      <c r="B670" s="7">
        <v>315</v>
      </c>
      <c r="C670" s="7">
        <v>0</v>
      </c>
      <c r="D670" s="7">
        <v>1</v>
      </c>
      <c r="E670" s="20" t="str">
        <f t="shared" si="10"/>
        <v>01</v>
      </c>
      <c r="F670" s="21">
        <v>0.25330683048456898</v>
      </c>
      <c r="G670" s="4">
        <v>0.28399999999999997</v>
      </c>
      <c r="H670" s="4">
        <v>0.26611226611226602</v>
      </c>
      <c r="I670" s="4">
        <v>0.98199999999999998</v>
      </c>
      <c r="J670" s="4">
        <v>0.97699999999999998</v>
      </c>
      <c r="K670" s="5">
        <v>0</v>
      </c>
      <c r="L670" s="5">
        <v>0</v>
      </c>
      <c r="M670" s="5">
        <v>100</v>
      </c>
      <c r="N670" s="5">
        <v>100</v>
      </c>
      <c r="O670" s="2">
        <v>1.258781040820931</v>
      </c>
      <c r="P670" s="2">
        <v>1.3238370061861444</v>
      </c>
      <c r="Q670" s="2">
        <v>1.816397062767118E-2</v>
      </c>
      <c r="R670" s="2">
        <v>2.3268626939354331E-2</v>
      </c>
    </row>
    <row r="671" spans="1:18" x14ac:dyDescent="0.3">
      <c r="A671" s="7">
        <v>36</v>
      </c>
      <c r="B671" s="7">
        <v>297</v>
      </c>
      <c r="C671" s="7">
        <v>0</v>
      </c>
      <c r="D671" s="7">
        <v>1</v>
      </c>
      <c r="E671" s="20" t="str">
        <f t="shared" si="10"/>
        <v>01</v>
      </c>
      <c r="F671" s="21">
        <v>0.25586290524291599</v>
      </c>
      <c r="G671" s="4">
        <v>0.40699999999999997</v>
      </c>
      <c r="H671" s="4">
        <v>0.32516703786191498</v>
      </c>
      <c r="I671" s="4">
        <v>0.97099999999999997</v>
      </c>
      <c r="J671" s="4">
        <v>0.98099999999999998</v>
      </c>
      <c r="K671" s="5">
        <v>0</v>
      </c>
      <c r="L671" s="5">
        <v>0</v>
      </c>
      <c r="M671" s="5">
        <v>100</v>
      </c>
      <c r="N671" s="5">
        <v>100</v>
      </c>
      <c r="O671" s="2">
        <v>0.89894209353954213</v>
      </c>
      <c r="P671" s="2">
        <v>1.1234162660339191</v>
      </c>
      <c r="Q671" s="2">
        <v>2.9428810690812168E-2</v>
      </c>
      <c r="R671" s="2">
        <v>1.9182819416773987E-2</v>
      </c>
    </row>
    <row r="672" spans="1:18" x14ac:dyDescent="0.3">
      <c r="A672" s="7">
        <v>85</v>
      </c>
      <c r="B672" s="7">
        <v>340</v>
      </c>
      <c r="C672" s="7">
        <v>0</v>
      </c>
      <c r="D672" s="7">
        <v>1</v>
      </c>
      <c r="E672" s="20" t="str">
        <f t="shared" si="10"/>
        <v>01</v>
      </c>
      <c r="F672" s="21">
        <v>0.25710411434917702</v>
      </c>
      <c r="G672" s="4">
        <v>0.35699999999999998</v>
      </c>
      <c r="H672" s="4">
        <v>0.28604118993135003</v>
      </c>
      <c r="I672" s="4">
        <v>0.996</v>
      </c>
      <c r="J672" s="4">
        <v>0.98</v>
      </c>
      <c r="K672" s="5">
        <v>0</v>
      </c>
      <c r="L672" s="5">
        <v>0</v>
      </c>
      <c r="M672" s="5">
        <v>100</v>
      </c>
      <c r="N672" s="5">
        <v>100</v>
      </c>
      <c r="O672" s="2">
        <v>1.0300194972024981</v>
      </c>
      <c r="P672" s="2">
        <v>1.2516194577932893</v>
      </c>
      <c r="Q672" s="2">
        <v>4.0080213975388218E-3</v>
      </c>
      <c r="R672" s="2">
        <v>2.0202707317519466E-2</v>
      </c>
    </row>
    <row r="673" spans="1:18" x14ac:dyDescent="0.3">
      <c r="A673" s="7">
        <v>401</v>
      </c>
      <c r="B673" s="7">
        <v>326</v>
      </c>
      <c r="C673" s="7">
        <v>0</v>
      </c>
      <c r="D673" s="7">
        <v>1</v>
      </c>
      <c r="E673" s="20" t="str">
        <f t="shared" si="10"/>
        <v>01</v>
      </c>
      <c r="F673" s="21">
        <v>0.25903596781842197</v>
      </c>
      <c r="G673" s="4">
        <v>0.30599999999999999</v>
      </c>
      <c r="H673" s="4">
        <v>0.27800829875518701</v>
      </c>
      <c r="I673" s="4">
        <v>0.97099999999999997</v>
      </c>
      <c r="J673" s="4">
        <v>0.97399999999999998</v>
      </c>
      <c r="K673" s="5">
        <v>0</v>
      </c>
      <c r="L673" s="5">
        <v>0</v>
      </c>
      <c r="M673" s="5">
        <v>100</v>
      </c>
      <c r="N673" s="5">
        <v>100</v>
      </c>
      <c r="O673" s="2">
        <v>1.1841701770297564</v>
      </c>
      <c r="P673" s="2">
        <v>1.2801043140996879</v>
      </c>
      <c r="Q673" s="2">
        <v>2.9428810690812168E-2</v>
      </c>
      <c r="R673" s="2">
        <v>2.6343975339601977E-2</v>
      </c>
    </row>
    <row r="674" spans="1:18" x14ac:dyDescent="0.3">
      <c r="A674" s="7">
        <v>41</v>
      </c>
      <c r="B674" s="7">
        <v>314</v>
      </c>
      <c r="C674" s="7">
        <v>0</v>
      </c>
      <c r="D674" s="7">
        <v>1</v>
      </c>
      <c r="E674" s="20" t="str">
        <f t="shared" si="10"/>
        <v>01</v>
      </c>
      <c r="F674" s="21">
        <v>0.26171533383648399</v>
      </c>
      <c r="G674" s="4">
        <v>0.29199999999999998</v>
      </c>
      <c r="H674" s="4">
        <v>0.24058577405857701</v>
      </c>
      <c r="I674" s="4">
        <v>0.97699999999999998</v>
      </c>
      <c r="J674" s="4">
        <v>0.97299999999999998</v>
      </c>
      <c r="K674" s="5">
        <v>0</v>
      </c>
      <c r="L674" s="5">
        <v>0</v>
      </c>
      <c r="M674" s="5">
        <v>100</v>
      </c>
      <c r="N674" s="5">
        <v>100</v>
      </c>
      <c r="O674" s="2">
        <v>1.2310014767138553</v>
      </c>
      <c r="P674" s="2">
        <v>1.4246786041282076</v>
      </c>
      <c r="Q674" s="2">
        <v>2.3268626939354331E-2</v>
      </c>
      <c r="R674" s="2">
        <v>2.7371196796132015E-2</v>
      </c>
    </row>
    <row r="675" spans="1:18" x14ac:dyDescent="0.3">
      <c r="A675" s="7">
        <v>316</v>
      </c>
      <c r="B675" s="7">
        <v>305</v>
      </c>
      <c r="C675" s="7">
        <v>0</v>
      </c>
      <c r="D675" s="7">
        <v>1</v>
      </c>
      <c r="E675" s="20" t="str">
        <f t="shared" si="10"/>
        <v>01</v>
      </c>
      <c r="F675" s="21">
        <v>0.266241802362089</v>
      </c>
      <c r="G675" s="4">
        <v>0.41199999999999998</v>
      </c>
      <c r="H675" s="4">
        <v>0.33726415094339601</v>
      </c>
      <c r="I675" s="4">
        <v>0.98499999999999999</v>
      </c>
      <c r="J675" s="4">
        <v>0.98</v>
      </c>
      <c r="K675" s="5">
        <v>0</v>
      </c>
      <c r="L675" s="5">
        <v>0</v>
      </c>
      <c r="M675" s="5">
        <v>100</v>
      </c>
      <c r="N675" s="5">
        <v>100</v>
      </c>
      <c r="O675" s="2">
        <v>0.88673192963261072</v>
      </c>
      <c r="P675" s="2">
        <v>1.0868888249720512</v>
      </c>
      <c r="Q675" s="2">
        <v>1.5113637810048184E-2</v>
      </c>
      <c r="R675" s="2">
        <v>2.0202707317519466E-2</v>
      </c>
    </row>
    <row r="676" spans="1:18" x14ac:dyDescent="0.3">
      <c r="A676" s="7">
        <v>723</v>
      </c>
      <c r="B676" s="7">
        <v>336</v>
      </c>
      <c r="C676" s="7">
        <v>0</v>
      </c>
      <c r="D676" s="7">
        <v>1</v>
      </c>
      <c r="E676" s="20" t="str">
        <f t="shared" si="10"/>
        <v>01</v>
      </c>
      <c r="F676" s="21">
        <v>0.26914178772507702</v>
      </c>
      <c r="G676" s="4">
        <v>0.89900000000000002</v>
      </c>
      <c r="H676" s="4">
        <v>0.83859649122807001</v>
      </c>
      <c r="I676" s="4">
        <v>0.99299999999999999</v>
      </c>
      <c r="J676" s="4">
        <v>0.97499999999999998</v>
      </c>
      <c r="K676" s="5">
        <v>100</v>
      </c>
      <c r="L676" s="5">
        <v>100</v>
      </c>
      <c r="M676" s="5">
        <v>100</v>
      </c>
      <c r="N676" s="5">
        <v>100</v>
      </c>
      <c r="O676" s="2">
        <v>0.10647224451051676</v>
      </c>
      <c r="P676" s="2">
        <v>0.17602562833714006</v>
      </c>
      <c r="Q676" s="2">
        <v>7.0246149369644663E-3</v>
      </c>
      <c r="R676" s="2">
        <v>2.5317807984289897E-2</v>
      </c>
    </row>
    <row r="677" spans="1:18" x14ac:dyDescent="0.3">
      <c r="A677" s="7">
        <v>457</v>
      </c>
      <c r="B677" s="7">
        <v>323</v>
      </c>
      <c r="C677" s="7">
        <v>0</v>
      </c>
      <c r="D677" s="7">
        <v>1</v>
      </c>
      <c r="E677" s="20" t="str">
        <f t="shared" si="10"/>
        <v>01</v>
      </c>
      <c r="F677" s="21">
        <v>0.27088010545979402</v>
      </c>
      <c r="G677" s="4">
        <v>0.38100000000000001</v>
      </c>
      <c r="H677" s="4">
        <v>0.30588235294117599</v>
      </c>
      <c r="I677" s="4">
        <v>0.97899999999999998</v>
      </c>
      <c r="J677" s="4">
        <v>0.96599999999999997</v>
      </c>
      <c r="K677" s="5">
        <v>0</v>
      </c>
      <c r="L677" s="5">
        <v>0</v>
      </c>
      <c r="M677" s="5">
        <v>100</v>
      </c>
      <c r="N677" s="5">
        <v>100</v>
      </c>
      <c r="O677" s="2">
        <v>0.96495590385543606</v>
      </c>
      <c r="P677" s="2">
        <v>1.1845547184688359</v>
      </c>
      <c r="Q677" s="2">
        <v>2.1223636451626688E-2</v>
      </c>
      <c r="R677" s="2">
        <v>3.459144476961909E-2</v>
      </c>
    </row>
    <row r="678" spans="1:18" x14ac:dyDescent="0.3">
      <c r="A678" s="7">
        <v>191</v>
      </c>
      <c r="B678" s="7">
        <v>322</v>
      </c>
      <c r="C678" s="7">
        <v>0</v>
      </c>
      <c r="D678" s="7">
        <v>1</v>
      </c>
      <c r="E678" s="20" t="str">
        <f t="shared" si="10"/>
        <v>01</v>
      </c>
      <c r="F678" s="21">
        <v>0.27238369553365699</v>
      </c>
      <c r="G678" s="4">
        <v>0.54400000000000004</v>
      </c>
      <c r="H678" s="4">
        <v>0.42663043478260898</v>
      </c>
      <c r="I678" s="4">
        <v>0.98699999999999999</v>
      </c>
      <c r="J678" s="4">
        <v>0.96899999999999997</v>
      </c>
      <c r="K678" s="5">
        <v>100</v>
      </c>
      <c r="L678" s="5">
        <v>0</v>
      </c>
      <c r="M678" s="5">
        <v>100</v>
      </c>
      <c r="N678" s="5">
        <v>100</v>
      </c>
      <c r="O678" s="2">
        <v>0.60880603212619433</v>
      </c>
      <c r="P678" s="2">
        <v>0.85183713282062223</v>
      </c>
      <c r="Q678" s="2">
        <v>1.3085239548655481E-2</v>
      </c>
      <c r="R678" s="2">
        <v>3.1490667091370848E-2</v>
      </c>
    </row>
    <row r="679" spans="1:18" x14ac:dyDescent="0.3">
      <c r="A679" s="7">
        <v>10</v>
      </c>
      <c r="B679" s="7">
        <v>311</v>
      </c>
      <c r="C679" s="7">
        <v>0</v>
      </c>
      <c r="D679" s="7">
        <v>1</v>
      </c>
      <c r="E679" s="20" t="str">
        <f t="shared" si="10"/>
        <v>01</v>
      </c>
      <c r="F679" s="21">
        <v>0.27466298809164402</v>
      </c>
      <c r="G679" s="4">
        <v>0.378</v>
      </c>
      <c r="H679" s="4">
        <v>0.28893905191873598</v>
      </c>
      <c r="I679" s="4">
        <v>0.97399999999999998</v>
      </c>
      <c r="J679" s="4">
        <v>0.97099999999999997</v>
      </c>
      <c r="K679" s="5">
        <v>0</v>
      </c>
      <c r="L679" s="5">
        <v>0</v>
      </c>
      <c r="M679" s="5">
        <v>100</v>
      </c>
      <c r="N679" s="5">
        <v>100</v>
      </c>
      <c r="O679" s="2">
        <v>0.97286108336254939</v>
      </c>
      <c r="P679" s="2">
        <v>1.2415395061255181</v>
      </c>
      <c r="Q679" s="2">
        <v>2.6343975339601977E-2</v>
      </c>
      <c r="R679" s="2">
        <v>2.9428810690812168E-2</v>
      </c>
    </row>
    <row r="680" spans="1:18" x14ac:dyDescent="0.3">
      <c r="A680" s="7">
        <v>549</v>
      </c>
      <c r="B680" s="7">
        <v>289</v>
      </c>
      <c r="C680" s="7">
        <v>0</v>
      </c>
      <c r="D680" s="7">
        <v>1</v>
      </c>
      <c r="E680" s="20" t="str">
        <f t="shared" si="10"/>
        <v>01</v>
      </c>
      <c r="F680" s="21">
        <v>0.276721754925423</v>
      </c>
      <c r="G680" s="4">
        <v>0.47799999999999998</v>
      </c>
      <c r="H680" s="4">
        <v>0.29947916666666702</v>
      </c>
      <c r="I680" s="4">
        <v>0.56200000000000006</v>
      </c>
      <c r="J680" s="4">
        <v>0.53500000000000003</v>
      </c>
      <c r="K680" s="5">
        <v>0</v>
      </c>
      <c r="L680" s="5">
        <v>0</v>
      </c>
      <c r="M680" s="5">
        <v>100</v>
      </c>
      <c r="N680" s="5">
        <v>100</v>
      </c>
      <c r="O680" s="2">
        <v>0.73814454649068106</v>
      </c>
      <c r="P680" s="2">
        <v>1.2057104242244756</v>
      </c>
      <c r="Q680" s="2">
        <v>0.5762534290884459</v>
      </c>
      <c r="R680" s="2">
        <v>0.62548853208613042</v>
      </c>
    </row>
    <row r="681" spans="1:18" x14ac:dyDescent="0.3">
      <c r="A681" s="7">
        <v>282</v>
      </c>
      <c r="B681" s="7">
        <v>303</v>
      </c>
      <c r="C681" s="7">
        <v>0</v>
      </c>
      <c r="D681" s="7">
        <v>1</v>
      </c>
      <c r="E681" s="20" t="str">
        <f t="shared" si="10"/>
        <v>01</v>
      </c>
      <c r="F681" s="21">
        <v>0.27754480706559598</v>
      </c>
      <c r="G681" s="4">
        <v>0.32700000000000001</v>
      </c>
      <c r="H681" s="4">
        <v>0.28210526315789503</v>
      </c>
      <c r="I681" s="4">
        <v>0.94199999999999995</v>
      </c>
      <c r="J681" s="4">
        <v>0.92800000000000005</v>
      </c>
      <c r="K681" s="5">
        <v>0</v>
      </c>
      <c r="L681" s="5">
        <v>0</v>
      </c>
      <c r="M681" s="5">
        <v>100</v>
      </c>
      <c r="N681" s="5">
        <v>100</v>
      </c>
      <c r="O681" s="2">
        <v>1.1177951080848836</v>
      </c>
      <c r="P681" s="2">
        <v>1.2654750040837288</v>
      </c>
      <c r="Q681" s="2">
        <v>5.9750004405774049E-2</v>
      </c>
      <c r="R681" s="2">
        <v>7.4723546195936422E-2</v>
      </c>
    </row>
    <row r="682" spans="1:18" x14ac:dyDescent="0.3">
      <c r="A682" s="7">
        <v>511</v>
      </c>
      <c r="B682" s="7">
        <v>294</v>
      </c>
      <c r="C682" s="7">
        <v>0</v>
      </c>
      <c r="D682" s="7">
        <v>1</v>
      </c>
      <c r="E682" s="20" t="str">
        <f t="shared" si="10"/>
        <v>01</v>
      </c>
      <c r="F682" s="21">
        <v>0.277709985599918</v>
      </c>
      <c r="G682" s="4">
        <v>0.81899999999999995</v>
      </c>
      <c r="H682" s="4">
        <v>0.70552147239263796</v>
      </c>
      <c r="I682" s="4">
        <v>0.97699999999999998</v>
      </c>
      <c r="J682" s="4">
        <v>0.98199999999999998</v>
      </c>
      <c r="K682" s="5">
        <v>100</v>
      </c>
      <c r="L682" s="5">
        <v>100</v>
      </c>
      <c r="M682" s="5">
        <v>100</v>
      </c>
      <c r="N682" s="5">
        <v>100</v>
      </c>
      <c r="O682" s="2">
        <v>0.1996711951290677</v>
      </c>
      <c r="P682" s="2">
        <v>0.34881807244351237</v>
      </c>
      <c r="Q682" s="2">
        <v>2.3268626939354331E-2</v>
      </c>
      <c r="R682" s="2">
        <v>1.816397062767118E-2</v>
      </c>
    </row>
    <row r="683" spans="1:18" x14ac:dyDescent="0.3">
      <c r="A683" s="7">
        <v>629</v>
      </c>
      <c r="B683" s="7">
        <v>280</v>
      </c>
      <c r="C683" s="7">
        <v>0</v>
      </c>
      <c r="D683" s="7">
        <v>1</v>
      </c>
      <c r="E683" s="20" t="str">
        <f t="shared" si="10"/>
        <v>01</v>
      </c>
      <c r="F683" s="21">
        <v>0.27849531244022901</v>
      </c>
      <c r="G683" s="4">
        <v>0.31900000000000001</v>
      </c>
      <c r="H683" s="4">
        <v>0.25215517241379298</v>
      </c>
      <c r="I683" s="4">
        <v>0.95799999999999996</v>
      </c>
      <c r="J683" s="4">
        <v>0.96699999999999997</v>
      </c>
      <c r="K683" s="5">
        <v>0</v>
      </c>
      <c r="L683" s="5">
        <v>0</v>
      </c>
      <c r="M683" s="5">
        <v>100</v>
      </c>
      <c r="N683" s="5">
        <v>100</v>
      </c>
      <c r="O683" s="2">
        <v>1.1425641761972924</v>
      </c>
      <c r="P683" s="2">
        <v>1.3777106174284997</v>
      </c>
      <c r="Q683" s="2">
        <v>4.290750101127655E-2</v>
      </c>
      <c r="R683" s="2">
        <v>3.3556783528842754E-2</v>
      </c>
    </row>
    <row r="684" spans="1:18" x14ac:dyDescent="0.3">
      <c r="A684" s="7">
        <v>665</v>
      </c>
      <c r="B684" s="7">
        <v>315</v>
      </c>
      <c r="C684" s="7">
        <v>0</v>
      </c>
      <c r="D684" s="7">
        <v>1</v>
      </c>
      <c r="E684" s="20" t="str">
        <f t="shared" si="10"/>
        <v>01</v>
      </c>
      <c r="F684" s="21">
        <v>0.28137253886735197</v>
      </c>
      <c r="G684" s="4">
        <v>0.39900000000000002</v>
      </c>
      <c r="H684" s="4">
        <v>0.35744680851063798</v>
      </c>
      <c r="I684" s="4">
        <v>0.98099999999999998</v>
      </c>
      <c r="J684" s="4">
        <v>0.98</v>
      </c>
      <c r="K684" s="5">
        <v>0</v>
      </c>
      <c r="L684" s="5">
        <v>0</v>
      </c>
      <c r="M684" s="5">
        <v>100</v>
      </c>
      <c r="N684" s="5">
        <v>100</v>
      </c>
      <c r="O684" s="2">
        <v>0.91879386209227354</v>
      </c>
      <c r="P684" s="2">
        <v>1.0287687153008462</v>
      </c>
      <c r="Q684" s="2">
        <v>1.9182819416773987E-2</v>
      </c>
      <c r="R684" s="2">
        <v>2.0202707317519466E-2</v>
      </c>
    </row>
    <row r="685" spans="1:18" x14ac:dyDescent="0.3">
      <c r="A685" s="7">
        <v>110</v>
      </c>
      <c r="B685" s="7">
        <v>306</v>
      </c>
      <c r="C685" s="7">
        <v>0</v>
      </c>
      <c r="D685" s="7">
        <v>1</v>
      </c>
      <c r="E685" s="20" t="str">
        <f t="shared" si="10"/>
        <v>01</v>
      </c>
      <c r="F685" s="21">
        <v>0.29700357398281502</v>
      </c>
      <c r="G685" s="4">
        <v>0.33200000000000002</v>
      </c>
      <c r="H685" s="4">
        <v>0.291139240506329</v>
      </c>
      <c r="I685" s="4">
        <v>0.97299999999999998</v>
      </c>
      <c r="J685" s="4">
        <v>0.97599999999999998</v>
      </c>
      <c r="K685" s="5">
        <v>0</v>
      </c>
      <c r="L685" s="5">
        <v>0</v>
      </c>
      <c r="M685" s="5">
        <v>100</v>
      </c>
      <c r="N685" s="5">
        <v>100</v>
      </c>
      <c r="O685" s="2">
        <v>1.1026203100656484</v>
      </c>
      <c r="P685" s="2">
        <v>1.2339536365378723</v>
      </c>
      <c r="Q685" s="2">
        <v>2.7371196796132015E-2</v>
      </c>
      <c r="R685" s="2">
        <v>2.4292692569044587E-2</v>
      </c>
    </row>
    <row r="686" spans="1:18" x14ac:dyDescent="0.3">
      <c r="A686" s="7">
        <v>66</v>
      </c>
      <c r="B686" s="7">
        <v>297</v>
      </c>
      <c r="C686" s="7">
        <v>0</v>
      </c>
      <c r="D686" s="7">
        <v>1</v>
      </c>
      <c r="E686" s="20" t="str">
        <f t="shared" si="10"/>
        <v>01</v>
      </c>
      <c r="F686" s="21">
        <v>0.30729791214739399</v>
      </c>
      <c r="G686" s="4">
        <v>0.38200000000000001</v>
      </c>
      <c r="H686" s="4">
        <v>0.34549356223175998</v>
      </c>
      <c r="I686" s="4">
        <v>0.97599999999999998</v>
      </c>
      <c r="J686" s="4">
        <v>0.97799999999999998</v>
      </c>
      <c r="K686" s="5">
        <v>0</v>
      </c>
      <c r="L686" s="5">
        <v>0</v>
      </c>
      <c r="M686" s="5">
        <v>100</v>
      </c>
      <c r="N686" s="5">
        <v>100</v>
      </c>
      <c r="O686" s="2">
        <v>0.96233467037556186</v>
      </c>
      <c r="P686" s="2">
        <v>1.062781269141182</v>
      </c>
      <c r="Q686" s="2">
        <v>2.4292692569044587E-2</v>
      </c>
      <c r="R686" s="2">
        <v>2.2245608947319737E-2</v>
      </c>
    </row>
    <row r="687" spans="1:18" x14ac:dyDescent="0.3">
      <c r="A687" s="7">
        <v>87</v>
      </c>
      <c r="B687" s="7">
        <v>283</v>
      </c>
      <c r="C687" s="7">
        <v>0</v>
      </c>
      <c r="D687" s="7">
        <v>1</v>
      </c>
      <c r="E687" s="20" t="str">
        <f t="shared" si="10"/>
        <v>01</v>
      </c>
      <c r="F687" s="21">
        <v>0.31156984276807898</v>
      </c>
      <c r="G687" s="4">
        <v>0.33300000000000002</v>
      </c>
      <c r="H687" s="4">
        <v>0.29111111111111099</v>
      </c>
      <c r="I687" s="4">
        <v>0.97399999999999998</v>
      </c>
      <c r="J687" s="4">
        <v>0.97</v>
      </c>
      <c r="K687" s="5">
        <v>0</v>
      </c>
      <c r="L687" s="5">
        <v>0</v>
      </c>
      <c r="M687" s="5">
        <v>100</v>
      </c>
      <c r="N687" s="5">
        <v>100</v>
      </c>
      <c r="O687" s="2">
        <v>1.0996127890016931</v>
      </c>
      <c r="P687" s="2">
        <v>1.2340502595632143</v>
      </c>
      <c r="Q687" s="2">
        <v>2.6343975339601977E-2</v>
      </c>
      <c r="R687" s="2">
        <v>3.0459207484708574E-2</v>
      </c>
    </row>
    <row r="688" spans="1:18" x14ac:dyDescent="0.3">
      <c r="A688" s="7">
        <v>199</v>
      </c>
      <c r="B688" s="7">
        <v>303</v>
      </c>
      <c r="C688" s="7">
        <v>0</v>
      </c>
      <c r="D688" s="7">
        <v>1</v>
      </c>
      <c r="E688" s="20" t="str">
        <f t="shared" si="10"/>
        <v>01</v>
      </c>
      <c r="F688" s="21">
        <v>0.31210976557013898</v>
      </c>
      <c r="G688" s="4">
        <v>0.49099999999999999</v>
      </c>
      <c r="H688" s="4">
        <v>0.38141809290953499</v>
      </c>
      <c r="I688" s="4">
        <v>0.97199999999999998</v>
      </c>
      <c r="J688" s="4">
        <v>0.96099999999999997</v>
      </c>
      <c r="K688" s="5">
        <v>0</v>
      </c>
      <c r="L688" s="5">
        <v>0</v>
      </c>
      <c r="M688" s="5">
        <v>100</v>
      </c>
      <c r="N688" s="5">
        <v>100</v>
      </c>
      <c r="O688" s="2">
        <v>0.71131115118761645</v>
      </c>
      <c r="P688" s="2">
        <v>0.96385914879326595</v>
      </c>
      <c r="Q688" s="2">
        <v>2.8399474521698002E-2</v>
      </c>
      <c r="R688" s="2">
        <v>3.9780870011844598E-2</v>
      </c>
    </row>
    <row r="689" spans="1:18" x14ac:dyDescent="0.3">
      <c r="A689" s="7">
        <v>730</v>
      </c>
      <c r="B689" s="7">
        <v>305</v>
      </c>
      <c r="C689" s="7">
        <v>0</v>
      </c>
      <c r="D689" s="7">
        <v>1</v>
      </c>
      <c r="E689" s="20" t="str">
        <f t="shared" si="10"/>
        <v>01</v>
      </c>
      <c r="F689" s="21">
        <v>0.315368506036179</v>
      </c>
      <c r="G689" s="4">
        <v>0.39800000000000002</v>
      </c>
      <c r="H689" s="4">
        <v>0.383647798742138</v>
      </c>
      <c r="I689" s="4">
        <v>0.98599999999999999</v>
      </c>
      <c r="J689" s="4">
        <v>0.98</v>
      </c>
      <c r="K689" s="5">
        <v>0</v>
      </c>
      <c r="L689" s="5">
        <v>0</v>
      </c>
      <c r="M689" s="5">
        <v>100</v>
      </c>
      <c r="N689" s="5">
        <v>100</v>
      </c>
      <c r="O689" s="2">
        <v>0.92130327369769927</v>
      </c>
      <c r="P689" s="2">
        <v>0.95803033804692117</v>
      </c>
      <c r="Q689" s="2">
        <v>1.4098924379501648E-2</v>
      </c>
      <c r="R689" s="2">
        <v>2.0202707317519466E-2</v>
      </c>
    </row>
    <row r="690" spans="1:18" x14ac:dyDescent="0.3">
      <c r="A690" s="7">
        <v>658</v>
      </c>
      <c r="B690" s="7">
        <v>298</v>
      </c>
      <c r="C690" s="7">
        <v>0</v>
      </c>
      <c r="D690" s="7">
        <v>1</v>
      </c>
      <c r="E690" s="20" t="str">
        <f t="shared" si="10"/>
        <v>01</v>
      </c>
      <c r="F690" s="21">
        <v>0.31730185970731101</v>
      </c>
      <c r="G690" s="4">
        <v>0.26200000000000001</v>
      </c>
      <c r="H690" s="4">
        <v>0.24843423799582501</v>
      </c>
      <c r="I690" s="4">
        <v>0.96499999999999997</v>
      </c>
      <c r="J690" s="4">
        <v>0.97499999999999998</v>
      </c>
      <c r="K690" s="5">
        <v>0</v>
      </c>
      <c r="L690" s="5">
        <v>0</v>
      </c>
      <c r="M690" s="5">
        <v>100</v>
      </c>
      <c r="N690" s="5">
        <v>100</v>
      </c>
      <c r="O690" s="2">
        <v>1.3394107752210402</v>
      </c>
      <c r="P690" s="2">
        <v>1.3925771042993844</v>
      </c>
      <c r="Q690" s="2">
        <v>3.562717764315116E-2</v>
      </c>
      <c r="R690" s="2">
        <v>2.5317807984289897E-2</v>
      </c>
    </row>
    <row r="691" spans="1:18" x14ac:dyDescent="0.3">
      <c r="A691" s="7">
        <v>177</v>
      </c>
      <c r="B691" s="7">
        <v>274</v>
      </c>
      <c r="C691" s="7">
        <v>0</v>
      </c>
      <c r="D691" s="7">
        <v>1</v>
      </c>
      <c r="E691" s="20" t="str">
        <f t="shared" si="10"/>
        <v>01</v>
      </c>
      <c r="F691" s="21">
        <v>0.31746498407587898</v>
      </c>
      <c r="G691" s="4">
        <v>0.45800000000000002</v>
      </c>
      <c r="H691" s="4">
        <v>0.38724373576309801</v>
      </c>
      <c r="I691" s="4">
        <v>0.97299999999999998</v>
      </c>
      <c r="J691" s="4">
        <v>0.96099999999999997</v>
      </c>
      <c r="K691" s="5">
        <v>0</v>
      </c>
      <c r="L691" s="5">
        <v>0</v>
      </c>
      <c r="M691" s="5">
        <v>100</v>
      </c>
      <c r="N691" s="5">
        <v>100</v>
      </c>
      <c r="O691" s="2">
        <v>0.78088609486795202</v>
      </c>
      <c r="P691" s="2">
        <v>0.94870097602490944</v>
      </c>
      <c r="Q691" s="2">
        <v>2.7371196796132015E-2</v>
      </c>
      <c r="R691" s="2">
        <v>3.9780870011844598E-2</v>
      </c>
    </row>
    <row r="692" spans="1:18" x14ac:dyDescent="0.3">
      <c r="A692" s="7">
        <v>508</v>
      </c>
      <c r="B692" s="7">
        <v>292</v>
      </c>
      <c r="C692" s="7">
        <v>0</v>
      </c>
      <c r="D692" s="7">
        <v>1</v>
      </c>
      <c r="E692" s="20" t="str">
        <f t="shared" si="10"/>
        <v>01</v>
      </c>
      <c r="F692" s="21">
        <v>0.32792290778363897</v>
      </c>
      <c r="G692" s="4">
        <v>0.70799999999999996</v>
      </c>
      <c r="H692" s="4">
        <v>0.66756032171581803</v>
      </c>
      <c r="I692" s="4">
        <v>0.98</v>
      </c>
      <c r="J692" s="4">
        <v>0.98099999999999998</v>
      </c>
      <c r="K692" s="5">
        <v>100</v>
      </c>
      <c r="L692" s="5">
        <v>100</v>
      </c>
      <c r="M692" s="5">
        <v>100</v>
      </c>
      <c r="N692" s="5">
        <v>100</v>
      </c>
      <c r="O692" s="2">
        <v>0.34531118528841737</v>
      </c>
      <c r="P692" s="2">
        <v>0.40412552317910744</v>
      </c>
      <c r="Q692" s="2">
        <v>2.0202707317519466E-2</v>
      </c>
      <c r="R692" s="2">
        <v>1.9182819416773987E-2</v>
      </c>
    </row>
    <row r="693" spans="1:18" x14ac:dyDescent="0.3">
      <c r="A693" s="7">
        <v>655</v>
      </c>
      <c r="B693" s="7">
        <v>295</v>
      </c>
      <c r="C693" s="7">
        <v>0</v>
      </c>
      <c r="D693" s="7">
        <v>1</v>
      </c>
      <c r="E693" s="20" t="str">
        <f t="shared" si="10"/>
        <v>01</v>
      </c>
      <c r="F693" s="21">
        <v>0.336013256001647</v>
      </c>
      <c r="G693" s="4">
        <v>0.38400000000000001</v>
      </c>
      <c r="H693" s="4">
        <v>0.31509846827133497</v>
      </c>
      <c r="I693" s="4">
        <v>0.98199999999999998</v>
      </c>
      <c r="J693" s="4">
        <v>0.98899999999999999</v>
      </c>
      <c r="K693" s="5">
        <v>0</v>
      </c>
      <c r="L693" s="5">
        <v>0</v>
      </c>
      <c r="M693" s="5">
        <v>100</v>
      </c>
      <c r="N693" s="5">
        <v>100</v>
      </c>
      <c r="O693" s="2">
        <v>0.95711272639441014</v>
      </c>
      <c r="P693" s="2">
        <v>1.1548700913182035</v>
      </c>
      <c r="Q693" s="2">
        <v>1.816397062767118E-2</v>
      </c>
      <c r="R693" s="2">
        <v>1.1060947359424948E-2</v>
      </c>
    </row>
    <row r="694" spans="1:18" x14ac:dyDescent="0.3">
      <c r="A694" s="7">
        <v>902</v>
      </c>
      <c r="B694" s="7">
        <v>264</v>
      </c>
      <c r="C694" s="7">
        <v>0</v>
      </c>
      <c r="D694" s="7">
        <v>1</v>
      </c>
      <c r="E694" s="20" t="str">
        <f t="shared" si="10"/>
        <v>01</v>
      </c>
      <c r="F694" s="21">
        <v>0.34276870790249903</v>
      </c>
      <c r="G694" s="4">
        <v>0.32700000000000001</v>
      </c>
      <c r="H694" s="4">
        <v>0.27446808510638299</v>
      </c>
      <c r="I694" s="4">
        <v>0.97199999999999998</v>
      </c>
      <c r="J694" s="4">
        <v>0.96099999999999997</v>
      </c>
      <c r="K694" s="5">
        <v>0</v>
      </c>
      <c r="L694" s="5">
        <v>0</v>
      </c>
      <c r="M694" s="5">
        <v>100</v>
      </c>
      <c r="N694" s="5">
        <v>100</v>
      </c>
      <c r="O694" s="2">
        <v>1.1177951080848836</v>
      </c>
      <c r="P694" s="2">
        <v>1.2929202903424322</v>
      </c>
      <c r="Q694" s="2">
        <v>2.8399474521698002E-2</v>
      </c>
      <c r="R694" s="2">
        <v>3.9780870011844598E-2</v>
      </c>
    </row>
    <row r="695" spans="1:18" x14ac:dyDescent="0.3">
      <c r="A695" s="7">
        <v>763</v>
      </c>
      <c r="B695" s="7">
        <v>274</v>
      </c>
      <c r="C695" s="7">
        <v>0</v>
      </c>
      <c r="D695" s="7">
        <v>1</v>
      </c>
      <c r="E695" s="20" t="str">
        <f t="shared" si="10"/>
        <v>01</v>
      </c>
      <c r="F695" s="21">
        <v>0.34514387434225202</v>
      </c>
      <c r="G695" s="4">
        <v>0.39300000000000002</v>
      </c>
      <c r="H695" s="4">
        <v>0.34791666666666698</v>
      </c>
      <c r="I695" s="4">
        <v>0.96899999999999997</v>
      </c>
      <c r="J695" s="4">
        <v>0.95599999999999996</v>
      </c>
      <c r="K695" s="5">
        <v>0</v>
      </c>
      <c r="L695" s="5">
        <v>0</v>
      </c>
      <c r="M695" s="5">
        <v>100</v>
      </c>
      <c r="N695" s="5">
        <v>100</v>
      </c>
      <c r="O695" s="2">
        <v>0.93394566711287574</v>
      </c>
      <c r="P695" s="2">
        <v>1.0557922914851805</v>
      </c>
      <c r="Q695" s="2">
        <v>3.1490667091370848E-2</v>
      </c>
      <c r="R695" s="2">
        <v>4.4997365930735805E-2</v>
      </c>
    </row>
    <row r="696" spans="1:18" x14ac:dyDescent="0.3">
      <c r="A696" s="7">
        <v>230</v>
      </c>
      <c r="B696" s="7">
        <v>394</v>
      </c>
      <c r="C696" s="7">
        <v>0</v>
      </c>
      <c r="D696" s="7">
        <v>1</v>
      </c>
      <c r="E696" s="20" t="str">
        <f t="shared" si="10"/>
        <v>01</v>
      </c>
      <c r="F696" s="21">
        <v>0.348890845078065</v>
      </c>
      <c r="G696" s="4">
        <v>0.34200000000000003</v>
      </c>
      <c r="H696" s="4">
        <v>0.28632478632478597</v>
      </c>
      <c r="I696" s="4">
        <v>0.95399999999999996</v>
      </c>
      <c r="J696" s="4">
        <v>0.96899999999999997</v>
      </c>
      <c r="K696" s="5">
        <v>0</v>
      </c>
      <c r="L696" s="5">
        <v>0</v>
      </c>
      <c r="M696" s="5">
        <v>100</v>
      </c>
      <c r="N696" s="5">
        <v>100</v>
      </c>
      <c r="O696" s="2">
        <v>1.0729445419195318</v>
      </c>
      <c r="P696" s="2">
        <v>1.2506284959667366</v>
      </c>
      <c r="Q696" s="2">
        <v>4.7091607533850569E-2</v>
      </c>
      <c r="R696" s="2">
        <v>3.1490667091370848E-2</v>
      </c>
    </row>
    <row r="697" spans="1:18" x14ac:dyDescent="0.3">
      <c r="A697" s="7">
        <v>901</v>
      </c>
      <c r="B697" s="7">
        <v>280</v>
      </c>
      <c r="C697" s="7">
        <v>0</v>
      </c>
      <c r="D697" s="7">
        <v>1</v>
      </c>
      <c r="E697" s="20" t="str">
        <f t="shared" si="10"/>
        <v>01</v>
      </c>
      <c r="F697" s="21">
        <v>0.35275543493947298</v>
      </c>
      <c r="G697" s="4">
        <v>0.24199999999999999</v>
      </c>
      <c r="H697" s="4">
        <v>0.238095238095238</v>
      </c>
      <c r="I697" s="4">
        <v>0.97299999999999998</v>
      </c>
      <c r="J697" s="4">
        <v>0.98299999999999998</v>
      </c>
      <c r="K697" s="5">
        <v>0</v>
      </c>
      <c r="L697" s="5">
        <v>0</v>
      </c>
      <c r="M697" s="5">
        <v>100</v>
      </c>
      <c r="N697" s="5">
        <v>100</v>
      </c>
      <c r="O697" s="2">
        <v>1.4188175528254507</v>
      </c>
      <c r="P697" s="2">
        <v>1.435084525289323</v>
      </c>
      <c r="Q697" s="2">
        <v>2.7371196796132015E-2</v>
      </c>
      <c r="R697" s="2">
        <v>1.7146158834970514E-2</v>
      </c>
    </row>
    <row r="698" spans="1:18" x14ac:dyDescent="0.3">
      <c r="A698" s="7">
        <v>435</v>
      </c>
      <c r="B698" s="7">
        <v>283</v>
      </c>
      <c r="C698" s="7">
        <v>0</v>
      </c>
      <c r="D698" s="7">
        <v>1</v>
      </c>
      <c r="E698" s="20" t="str">
        <f t="shared" si="10"/>
        <v>01</v>
      </c>
      <c r="F698" s="21">
        <v>0.35519881040840201</v>
      </c>
      <c r="G698" s="4">
        <v>0.376</v>
      </c>
      <c r="H698" s="4">
        <v>0.28828828828828801</v>
      </c>
      <c r="I698" s="4">
        <v>0.95399999999999996</v>
      </c>
      <c r="J698" s="4">
        <v>0.95699999999999996</v>
      </c>
      <c r="K698" s="5">
        <v>0</v>
      </c>
      <c r="L698" s="5">
        <v>0</v>
      </c>
      <c r="M698" s="5">
        <v>100</v>
      </c>
      <c r="N698" s="5">
        <v>100</v>
      </c>
      <c r="O698" s="2">
        <v>0.97816613559224252</v>
      </c>
      <c r="P698" s="2">
        <v>1.2437942985126085</v>
      </c>
      <c r="Q698" s="2">
        <v>4.7091607533850569E-2</v>
      </c>
      <c r="R698" s="2">
        <v>4.3951887529182831E-2</v>
      </c>
    </row>
    <row r="699" spans="1:18" x14ac:dyDescent="0.3">
      <c r="A699" s="7">
        <v>897</v>
      </c>
      <c r="B699" s="7">
        <v>286</v>
      </c>
      <c r="C699" s="7">
        <v>0</v>
      </c>
      <c r="D699" s="7">
        <v>1</v>
      </c>
      <c r="E699" s="20" t="str">
        <f t="shared" si="10"/>
        <v>01</v>
      </c>
      <c r="F699" s="21">
        <v>0.355938617327962</v>
      </c>
      <c r="G699" s="4">
        <v>0.36899999999999999</v>
      </c>
      <c r="H699" s="4">
        <v>0.314533622559653</v>
      </c>
      <c r="I699" s="4">
        <v>0.98</v>
      </c>
      <c r="J699" s="4">
        <v>0.97299999999999998</v>
      </c>
      <c r="K699" s="5">
        <v>0</v>
      </c>
      <c r="L699" s="5">
        <v>0</v>
      </c>
      <c r="M699" s="5">
        <v>100</v>
      </c>
      <c r="N699" s="5">
        <v>100</v>
      </c>
      <c r="O699" s="2">
        <v>0.99695863494160986</v>
      </c>
      <c r="P699" s="2">
        <v>1.1566643005760739</v>
      </c>
      <c r="Q699" s="2">
        <v>2.0202707317519466E-2</v>
      </c>
      <c r="R699" s="2">
        <v>2.7371196796132015E-2</v>
      </c>
    </row>
    <row r="700" spans="1:18" x14ac:dyDescent="0.3">
      <c r="A700" s="7">
        <v>666</v>
      </c>
      <c r="B700" s="7">
        <v>261</v>
      </c>
      <c r="C700" s="7">
        <v>0</v>
      </c>
      <c r="D700" s="7">
        <v>1</v>
      </c>
      <c r="E700" s="20" t="str">
        <f t="shared" si="10"/>
        <v>01</v>
      </c>
      <c r="F700" s="21">
        <v>0.35779987906781602</v>
      </c>
      <c r="G700" s="4">
        <v>0.50700000000000001</v>
      </c>
      <c r="H700" s="4">
        <v>0.46726862302483102</v>
      </c>
      <c r="I700" s="4">
        <v>0.75</v>
      </c>
      <c r="J700" s="4">
        <v>0.76300000000000001</v>
      </c>
      <c r="K700" s="5">
        <v>100</v>
      </c>
      <c r="L700" s="5">
        <v>0</v>
      </c>
      <c r="M700" s="5">
        <v>100</v>
      </c>
      <c r="N700" s="5">
        <v>100</v>
      </c>
      <c r="O700" s="2">
        <v>0.67924427539095389</v>
      </c>
      <c r="P700" s="2">
        <v>0.76085097677976588</v>
      </c>
      <c r="Q700" s="2">
        <v>0.2876820724517809</v>
      </c>
      <c r="R700" s="2">
        <v>0.27049724769768002</v>
      </c>
    </row>
    <row r="701" spans="1:18" x14ac:dyDescent="0.3">
      <c r="A701" s="7">
        <v>312</v>
      </c>
      <c r="B701" s="7">
        <v>281</v>
      </c>
      <c r="C701" s="7">
        <v>0</v>
      </c>
      <c r="D701" s="7">
        <v>1</v>
      </c>
      <c r="E701" s="20" t="str">
        <f t="shared" si="10"/>
        <v>01</v>
      </c>
      <c r="F701" s="21">
        <v>0.35920391849564298</v>
      </c>
      <c r="G701" s="4">
        <v>0.316</v>
      </c>
      <c r="H701" s="4">
        <v>0.29038854805726</v>
      </c>
      <c r="I701" s="4">
        <v>0.97599999999999998</v>
      </c>
      <c r="J701" s="4">
        <v>0.97599999999999998</v>
      </c>
      <c r="K701" s="5">
        <v>0</v>
      </c>
      <c r="L701" s="5">
        <v>0</v>
      </c>
      <c r="M701" s="5">
        <v>100</v>
      </c>
      <c r="N701" s="5">
        <v>100</v>
      </c>
      <c r="O701" s="2">
        <v>1.152013065395225</v>
      </c>
      <c r="P701" s="2">
        <v>1.2365354318736104</v>
      </c>
      <c r="Q701" s="2">
        <v>2.4292692569044587E-2</v>
      </c>
      <c r="R701" s="2">
        <v>2.4292692569044587E-2</v>
      </c>
    </row>
    <row r="702" spans="1:18" x14ac:dyDescent="0.3">
      <c r="A702" s="7">
        <v>952</v>
      </c>
      <c r="B702" s="7">
        <v>264</v>
      </c>
      <c r="C702" s="7">
        <v>0</v>
      </c>
      <c r="D702" s="7">
        <v>1</v>
      </c>
      <c r="E702" s="20" t="str">
        <f t="shared" si="10"/>
        <v>01</v>
      </c>
      <c r="F702" s="21">
        <v>0.36446245471676803</v>
      </c>
      <c r="G702" s="4">
        <v>0.64300000000000002</v>
      </c>
      <c r="H702" s="4">
        <v>0.602298850574713</v>
      </c>
      <c r="I702" s="4">
        <v>2.3E-2</v>
      </c>
      <c r="J702" s="4">
        <v>3.9E-2</v>
      </c>
      <c r="K702" s="5">
        <v>100</v>
      </c>
      <c r="L702" s="5">
        <v>100</v>
      </c>
      <c r="M702" s="5">
        <v>0</v>
      </c>
      <c r="N702" s="5">
        <v>0</v>
      </c>
      <c r="O702" s="2">
        <v>0.44161055474451766</v>
      </c>
      <c r="P702" s="2">
        <v>0.50700152732758663</v>
      </c>
      <c r="Q702" s="2">
        <v>3.7722610630529876</v>
      </c>
      <c r="R702" s="2">
        <v>3.2441936328524905</v>
      </c>
    </row>
    <row r="703" spans="1:18" x14ac:dyDescent="0.3">
      <c r="A703" s="7">
        <v>293</v>
      </c>
      <c r="B703" s="7">
        <v>268</v>
      </c>
      <c r="C703" s="7">
        <v>0</v>
      </c>
      <c r="D703" s="7">
        <v>1</v>
      </c>
      <c r="E703" s="20" t="str">
        <f t="shared" si="10"/>
        <v>01</v>
      </c>
      <c r="F703" s="21">
        <v>0.366619332665437</v>
      </c>
      <c r="G703" s="4">
        <v>0.441</v>
      </c>
      <c r="H703" s="4">
        <v>0.39490445859872603</v>
      </c>
      <c r="I703" s="4">
        <v>0.96799999999999997</v>
      </c>
      <c r="J703" s="4">
        <v>0.97699999999999998</v>
      </c>
      <c r="K703" s="5">
        <v>0</v>
      </c>
      <c r="L703" s="5">
        <v>0</v>
      </c>
      <c r="M703" s="5">
        <v>100</v>
      </c>
      <c r="N703" s="5">
        <v>100</v>
      </c>
      <c r="O703" s="2">
        <v>0.81871040353529101</v>
      </c>
      <c r="P703" s="2">
        <v>0.9291114203032167</v>
      </c>
      <c r="Q703" s="2">
        <v>3.2523191705560062E-2</v>
      </c>
      <c r="R703" s="2">
        <v>2.3268626939354331E-2</v>
      </c>
    </row>
    <row r="704" spans="1:18" x14ac:dyDescent="0.3">
      <c r="A704" s="7">
        <v>367</v>
      </c>
      <c r="B704" s="7">
        <v>250</v>
      </c>
      <c r="C704" s="7">
        <v>0</v>
      </c>
      <c r="D704" s="7">
        <v>1</v>
      </c>
      <c r="E704" s="20" t="str">
        <f t="shared" si="10"/>
        <v>01</v>
      </c>
      <c r="F704" s="21">
        <v>0.36743133576639703</v>
      </c>
      <c r="G704" s="4">
        <v>0.318</v>
      </c>
      <c r="H704" s="4">
        <v>0.26077586206896602</v>
      </c>
      <c r="I704" s="4">
        <v>0.97499999999999998</v>
      </c>
      <c r="J704" s="4">
        <v>0.97499999999999998</v>
      </c>
      <c r="K704" s="5">
        <v>0</v>
      </c>
      <c r="L704" s="5">
        <v>0</v>
      </c>
      <c r="M704" s="5">
        <v>100</v>
      </c>
      <c r="N704" s="5">
        <v>100</v>
      </c>
      <c r="O704" s="2">
        <v>1.1457038962019601</v>
      </c>
      <c r="P704" s="2">
        <v>1.3440940066295122</v>
      </c>
      <c r="Q704" s="2">
        <v>2.5317807984289897E-2</v>
      </c>
      <c r="R704" s="2">
        <v>2.5317807984289897E-2</v>
      </c>
    </row>
    <row r="705" spans="1:18" x14ac:dyDescent="0.3">
      <c r="A705" s="7">
        <v>488</v>
      </c>
      <c r="B705" s="7">
        <v>281</v>
      </c>
      <c r="C705" s="7">
        <v>0</v>
      </c>
      <c r="D705" s="7">
        <v>1</v>
      </c>
      <c r="E705" s="20" t="str">
        <f t="shared" si="10"/>
        <v>01</v>
      </c>
      <c r="F705" s="21">
        <v>0.37106488390403303</v>
      </c>
      <c r="G705" s="4">
        <v>0.35499999999999998</v>
      </c>
      <c r="H705" s="4">
        <v>0.29157667386609099</v>
      </c>
      <c r="I705" s="4">
        <v>0.57499999999999996</v>
      </c>
      <c r="J705" s="4">
        <v>0.55300000000000005</v>
      </c>
      <c r="K705" s="5">
        <v>0</v>
      </c>
      <c r="L705" s="5">
        <v>0</v>
      </c>
      <c r="M705" s="5">
        <v>100</v>
      </c>
      <c r="N705" s="5">
        <v>100</v>
      </c>
      <c r="O705" s="2">
        <v>1.0356374895067213</v>
      </c>
      <c r="P705" s="2">
        <v>1.2324522756478038</v>
      </c>
      <c r="Q705" s="2">
        <v>0.55338523818478669</v>
      </c>
      <c r="R705" s="2">
        <v>0.5923972774598022</v>
      </c>
    </row>
    <row r="706" spans="1:18" x14ac:dyDescent="0.3">
      <c r="A706" s="7">
        <v>18</v>
      </c>
      <c r="B706" s="7">
        <v>277</v>
      </c>
      <c r="C706" s="7">
        <v>0</v>
      </c>
      <c r="D706" s="7">
        <v>1</v>
      </c>
      <c r="E706" s="20" t="str">
        <f t="shared" ref="E706:E769" si="11">_xlfn.CONCAT(C706,D706)</f>
        <v>01</v>
      </c>
      <c r="F706" s="21">
        <v>0.37169216164716501</v>
      </c>
      <c r="G706" s="4">
        <v>0.35099999999999998</v>
      </c>
      <c r="H706" s="4">
        <v>0.29299363057324801</v>
      </c>
      <c r="I706" s="4">
        <v>0.82599999999999996</v>
      </c>
      <c r="J706" s="4">
        <v>0.80300000000000005</v>
      </c>
      <c r="K706" s="5">
        <v>0</v>
      </c>
      <c r="L706" s="5">
        <v>0</v>
      </c>
      <c r="M706" s="5">
        <v>100</v>
      </c>
      <c r="N706" s="5">
        <v>100</v>
      </c>
      <c r="O706" s="2">
        <v>1.0469690555162714</v>
      </c>
      <c r="P706" s="2">
        <v>1.2276044088592144</v>
      </c>
      <c r="Q706" s="2">
        <v>0.19116050546115904</v>
      </c>
      <c r="R706" s="2">
        <v>0.21940056503537533</v>
      </c>
    </row>
    <row r="707" spans="1:18" x14ac:dyDescent="0.3">
      <c r="A707" s="7">
        <v>153</v>
      </c>
      <c r="B707" s="7">
        <v>254</v>
      </c>
      <c r="C707" s="7">
        <v>0</v>
      </c>
      <c r="D707" s="7">
        <v>1</v>
      </c>
      <c r="E707" s="20" t="str">
        <f t="shared" si="11"/>
        <v>01</v>
      </c>
      <c r="F707" s="21">
        <v>0.37313099563868402</v>
      </c>
      <c r="G707" s="4">
        <v>0.47099999999999997</v>
      </c>
      <c r="H707" s="4">
        <v>0.42212189616252799</v>
      </c>
      <c r="I707" s="4">
        <v>0.94499999999999995</v>
      </c>
      <c r="J707" s="4">
        <v>0.93400000000000005</v>
      </c>
      <c r="K707" s="5">
        <v>0</v>
      </c>
      <c r="L707" s="5">
        <v>0</v>
      </c>
      <c r="M707" s="5">
        <v>100</v>
      </c>
      <c r="N707" s="5">
        <v>100</v>
      </c>
      <c r="O707" s="2">
        <v>0.75289718496571933</v>
      </c>
      <c r="P707" s="2">
        <v>0.86246115319054961</v>
      </c>
      <c r="Q707" s="2">
        <v>5.6570351488394351E-2</v>
      </c>
      <c r="R707" s="2">
        <v>6.8278840753294379E-2</v>
      </c>
    </row>
    <row r="708" spans="1:18" x14ac:dyDescent="0.3">
      <c r="A708" s="7">
        <v>89</v>
      </c>
      <c r="B708" s="7">
        <v>251</v>
      </c>
      <c r="C708" s="7">
        <v>0</v>
      </c>
      <c r="D708" s="7">
        <v>1</v>
      </c>
      <c r="E708" s="20" t="str">
        <f t="shared" si="11"/>
        <v>01</v>
      </c>
      <c r="F708" s="21">
        <v>0.37461182957855099</v>
      </c>
      <c r="G708" s="4">
        <v>0.66900000000000004</v>
      </c>
      <c r="H708" s="4">
        <v>0.59569377990430605</v>
      </c>
      <c r="I708" s="4">
        <v>0.96299999999999997</v>
      </c>
      <c r="J708" s="4">
        <v>0.96899999999999997</v>
      </c>
      <c r="K708" s="5">
        <v>100</v>
      </c>
      <c r="L708" s="5">
        <v>100</v>
      </c>
      <c r="M708" s="5">
        <v>100</v>
      </c>
      <c r="N708" s="5">
        <v>100</v>
      </c>
      <c r="O708" s="2">
        <v>0.40197121885390852</v>
      </c>
      <c r="P708" s="2">
        <v>0.51802853606004895</v>
      </c>
      <c r="Q708" s="2">
        <v>3.7701867184011528E-2</v>
      </c>
      <c r="R708" s="2">
        <v>3.1490667091370848E-2</v>
      </c>
    </row>
    <row r="709" spans="1:18" x14ac:dyDescent="0.3">
      <c r="A709" s="7">
        <v>841</v>
      </c>
      <c r="B709" s="7">
        <v>240</v>
      </c>
      <c r="C709" s="7">
        <v>0</v>
      </c>
      <c r="D709" s="7">
        <v>1</v>
      </c>
      <c r="E709" s="20" t="str">
        <f t="shared" si="11"/>
        <v>01</v>
      </c>
      <c r="F709" s="21">
        <v>0.37536100098391501</v>
      </c>
      <c r="G709" s="4">
        <v>0.42</v>
      </c>
      <c r="H709" s="4">
        <v>0.40086206896551702</v>
      </c>
      <c r="I709" s="4">
        <v>0.88800000000000001</v>
      </c>
      <c r="J709" s="4">
        <v>0.88100000000000001</v>
      </c>
      <c r="K709" s="5">
        <v>0</v>
      </c>
      <c r="L709" s="5">
        <v>0</v>
      </c>
      <c r="M709" s="5">
        <v>100</v>
      </c>
      <c r="N709" s="5">
        <v>100</v>
      </c>
      <c r="O709" s="2">
        <v>0.86750056770472306</v>
      </c>
      <c r="P709" s="2">
        <v>0.91413787851305461</v>
      </c>
      <c r="Q709" s="2">
        <v>0.11878353598996698</v>
      </c>
      <c r="R709" s="2">
        <v>0.12669765304595754</v>
      </c>
    </row>
    <row r="710" spans="1:18" x14ac:dyDescent="0.3">
      <c r="A710" s="7">
        <v>826</v>
      </c>
      <c r="B710" s="7">
        <v>272</v>
      </c>
      <c r="C710" s="7">
        <v>0</v>
      </c>
      <c r="D710" s="7">
        <v>1</v>
      </c>
      <c r="E710" s="20" t="str">
        <f t="shared" si="11"/>
        <v>01</v>
      </c>
      <c r="F710" s="21">
        <v>0.37601429329289998</v>
      </c>
      <c r="G710" s="4">
        <v>0.45600000000000002</v>
      </c>
      <c r="H710" s="4">
        <v>0.33816425120772903</v>
      </c>
      <c r="I710" s="4">
        <v>0.92</v>
      </c>
      <c r="J710" s="4">
        <v>0.92900000000000005</v>
      </c>
      <c r="K710" s="5">
        <v>0</v>
      </c>
      <c r="L710" s="5">
        <v>0</v>
      </c>
      <c r="M710" s="5">
        <v>100</v>
      </c>
      <c r="N710" s="5">
        <v>100</v>
      </c>
      <c r="O710" s="2">
        <v>0.78526246946775091</v>
      </c>
      <c r="P710" s="2">
        <v>1.0842235512160114</v>
      </c>
      <c r="Q710" s="2">
        <v>8.3381608939051013E-2</v>
      </c>
      <c r="R710" s="2">
        <v>7.3646540168298483E-2</v>
      </c>
    </row>
    <row r="711" spans="1:18" x14ac:dyDescent="0.3">
      <c r="A711" s="7">
        <v>543</v>
      </c>
      <c r="B711" s="7">
        <v>262</v>
      </c>
      <c r="C711" s="7">
        <v>0</v>
      </c>
      <c r="D711" s="7">
        <v>1</v>
      </c>
      <c r="E711" s="20" t="str">
        <f t="shared" si="11"/>
        <v>01</v>
      </c>
      <c r="F711" s="21">
        <v>0.38766725268991697</v>
      </c>
      <c r="G711" s="4">
        <v>0.497</v>
      </c>
      <c r="H711" s="4">
        <v>0.48832271762208102</v>
      </c>
      <c r="I711" s="4">
        <v>0.97099999999999997</v>
      </c>
      <c r="J711" s="4">
        <v>0.97899999999999998</v>
      </c>
      <c r="K711" s="5">
        <v>0</v>
      </c>
      <c r="L711" s="5">
        <v>0</v>
      </c>
      <c r="M711" s="5">
        <v>100</v>
      </c>
      <c r="N711" s="5">
        <v>100</v>
      </c>
      <c r="O711" s="2">
        <v>0.69916525288550835</v>
      </c>
      <c r="P711" s="2">
        <v>0.71677878509322168</v>
      </c>
      <c r="Q711" s="2">
        <v>2.9428810690812168E-2</v>
      </c>
      <c r="R711" s="2">
        <v>2.1223636451626688E-2</v>
      </c>
    </row>
    <row r="712" spans="1:18" x14ac:dyDescent="0.3">
      <c r="A712" s="7">
        <v>628</v>
      </c>
      <c r="B712" s="7">
        <v>240</v>
      </c>
      <c r="C712" s="7">
        <v>0</v>
      </c>
      <c r="D712" s="7">
        <v>1</v>
      </c>
      <c r="E712" s="20" t="str">
        <f t="shared" si="11"/>
        <v>01</v>
      </c>
      <c r="F712" s="21">
        <v>0.38778473520934398</v>
      </c>
      <c r="G712" s="4">
        <v>0.60599999999999998</v>
      </c>
      <c r="H712" s="4">
        <v>0.50356294536817103</v>
      </c>
      <c r="I712" s="4">
        <v>0.96799999999999997</v>
      </c>
      <c r="J712" s="4">
        <v>0.97</v>
      </c>
      <c r="K712" s="5">
        <v>100</v>
      </c>
      <c r="L712" s="5">
        <v>100</v>
      </c>
      <c r="M712" s="5">
        <v>100</v>
      </c>
      <c r="N712" s="5">
        <v>100</v>
      </c>
      <c r="O712" s="2">
        <v>0.50087529291282262</v>
      </c>
      <c r="P712" s="2">
        <v>0.68604655901036893</v>
      </c>
      <c r="Q712" s="2">
        <v>3.2523191705560062E-2</v>
      </c>
      <c r="R712" s="2">
        <v>3.0459207484708574E-2</v>
      </c>
    </row>
    <row r="713" spans="1:18" x14ac:dyDescent="0.3">
      <c r="A713" s="7">
        <v>595</v>
      </c>
      <c r="B713" s="7">
        <v>252</v>
      </c>
      <c r="C713" s="7">
        <v>0</v>
      </c>
      <c r="D713" s="7">
        <v>1</v>
      </c>
      <c r="E713" s="20" t="str">
        <f t="shared" si="11"/>
        <v>01</v>
      </c>
      <c r="F713" s="21">
        <v>0.38887426973115502</v>
      </c>
      <c r="G713" s="4">
        <v>0.53700000000000003</v>
      </c>
      <c r="H713" s="4">
        <v>0.47712418300653597</v>
      </c>
      <c r="I713" s="4">
        <v>0.95899999999999996</v>
      </c>
      <c r="J713" s="4">
        <v>0.96099999999999997</v>
      </c>
      <c r="K713" s="5">
        <v>100</v>
      </c>
      <c r="L713" s="5">
        <v>0</v>
      </c>
      <c r="M713" s="5">
        <v>100</v>
      </c>
      <c r="N713" s="5">
        <v>100</v>
      </c>
      <c r="O713" s="2">
        <v>0.62175718447327233</v>
      </c>
      <c r="P713" s="2">
        <v>0.73997848024404433</v>
      </c>
      <c r="Q713" s="2">
        <v>4.1864204098698871E-2</v>
      </c>
      <c r="R713" s="2">
        <v>3.9780870011844598E-2</v>
      </c>
    </row>
    <row r="714" spans="1:18" x14ac:dyDescent="0.3">
      <c r="A714" s="7">
        <v>57</v>
      </c>
      <c r="B714" s="7">
        <v>250</v>
      </c>
      <c r="C714" s="7">
        <v>0</v>
      </c>
      <c r="D714" s="7">
        <v>1</v>
      </c>
      <c r="E714" s="20" t="str">
        <f t="shared" si="11"/>
        <v>01</v>
      </c>
      <c r="F714" s="21">
        <v>0.38893923848928602</v>
      </c>
      <c r="G714" s="4">
        <v>0.57299999999999995</v>
      </c>
      <c r="H714" s="4">
        <v>0.53880266075387995</v>
      </c>
      <c r="I714" s="4">
        <v>0.96799999999999997</v>
      </c>
      <c r="J714" s="4">
        <v>0.97799999999999998</v>
      </c>
      <c r="K714" s="5">
        <v>100</v>
      </c>
      <c r="L714" s="5">
        <v>100</v>
      </c>
      <c r="M714" s="5">
        <v>100</v>
      </c>
      <c r="N714" s="5">
        <v>100</v>
      </c>
      <c r="O714" s="2">
        <v>0.55686956226739759</v>
      </c>
      <c r="P714" s="2">
        <v>0.61840589616213049</v>
      </c>
      <c r="Q714" s="2">
        <v>3.2523191705560062E-2</v>
      </c>
      <c r="R714" s="2">
        <v>2.2245608947319737E-2</v>
      </c>
    </row>
    <row r="715" spans="1:18" x14ac:dyDescent="0.3">
      <c r="A715" s="7">
        <v>642</v>
      </c>
      <c r="B715" s="7">
        <v>380</v>
      </c>
      <c r="C715" s="7">
        <v>0</v>
      </c>
      <c r="D715" s="7">
        <v>1</v>
      </c>
      <c r="E715" s="20" t="str">
        <f t="shared" si="11"/>
        <v>01</v>
      </c>
      <c r="F715" s="21">
        <v>0.39817258752478102</v>
      </c>
      <c r="G715" s="4">
        <v>0.46899999999999997</v>
      </c>
      <c r="H715" s="4">
        <v>0.375</v>
      </c>
      <c r="I715" s="4">
        <v>0.98099999999999998</v>
      </c>
      <c r="J715" s="4">
        <v>0.96399999999999997</v>
      </c>
      <c r="K715" s="5">
        <v>0</v>
      </c>
      <c r="L715" s="5">
        <v>0</v>
      </c>
      <c r="M715" s="5">
        <v>100</v>
      </c>
      <c r="N715" s="5">
        <v>100</v>
      </c>
      <c r="O715" s="2">
        <v>0.75715251053585775</v>
      </c>
      <c r="P715" s="2">
        <v>0.98082925301172619</v>
      </c>
      <c r="Q715" s="2">
        <v>1.9182819416773987E-2</v>
      </c>
      <c r="R715" s="2">
        <v>3.666398437159147E-2</v>
      </c>
    </row>
    <row r="716" spans="1:18" x14ac:dyDescent="0.3">
      <c r="A716" s="7">
        <v>23</v>
      </c>
      <c r="B716" s="7">
        <v>275</v>
      </c>
      <c r="C716" s="7">
        <v>0</v>
      </c>
      <c r="D716" s="7">
        <v>1</v>
      </c>
      <c r="E716" s="20" t="str">
        <f t="shared" si="11"/>
        <v>01</v>
      </c>
      <c r="F716" s="21">
        <v>0.40214907894888302</v>
      </c>
      <c r="G716" s="4">
        <v>0.73499999999999999</v>
      </c>
      <c r="H716" s="4">
        <v>0.67042253521126804</v>
      </c>
      <c r="I716" s="4">
        <v>0.97699999999999998</v>
      </c>
      <c r="J716" s="4">
        <v>0.97</v>
      </c>
      <c r="K716" s="5">
        <v>100</v>
      </c>
      <c r="L716" s="5">
        <v>100</v>
      </c>
      <c r="M716" s="5">
        <v>100</v>
      </c>
      <c r="N716" s="5">
        <v>100</v>
      </c>
      <c r="O716" s="2">
        <v>0.3078847797693004</v>
      </c>
      <c r="P716" s="2">
        <v>0.39984711580394044</v>
      </c>
      <c r="Q716" s="2">
        <v>2.3268626939354331E-2</v>
      </c>
      <c r="R716" s="2">
        <v>3.0459207484708574E-2</v>
      </c>
    </row>
    <row r="717" spans="1:18" x14ac:dyDescent="0.3">
      <c r="A717" s="7">
        <v>808</v>
      </c>
      <c r="B717" s="7">
        <v>255</v>
      </c>
      <c r="C717" s="7">
        <v>0</v>
      </c>
      <c r="D717" s="7">
        <v>1</v>
      </c>
      <c r="E717" s="20" t="str">
        <f t="shared" si="11"/>
        <v>01</v>
      </c>
      <c r="F717" s="21">
        <v>0.404531790020079</v>
      </c>
      <c r="G717" s="4">
        <v>0.313</v>
      </c>
      <c r="H717" s="4">
        <v>0.29227557411273503</v>
      </c>
      <c r="I717" s="4">
        <v>0.97</v>
      </c>
      <c r="J717" s="4">
        <v>0.97299999999999998</v>
      </c>
      <c r="K717" s="5">
        <v>0</v>
      </c>
      <c r="L717" s="5">
        <v>0</v>
      </c>
      <c r="M717" s="5">
        <v>100</v>
      </c>
      <c r="N717" s="5">
        <v>100</v>
      </c>
      <c r="O717" s="2">
        <v>1.1615520884419839</v>
      </c>
      <c r="P717" s="2">
        <v>1.2300581748016104</v>
      </c>
      <c r="Q717" s="2">
        <v>3.0459207484708574E-2</v>
      </c>
      <c r="R717" s="2">
        <v>2.7371196796132015E-2</v>
      </c>
    </row>
    <row r="718" spans="1:18" x14ac:dyDescent="0.3">
      <c r="A718" s="7">
        <v>871</v>
      </c>
      <c r="B718" s="7">
        <v>230</v>
      </c>
      <c r="C718" s="7">
        <v>0</v>
      </c>
      <c r="D718" s="7">
        <v>1</v>
      </c>
      <c r="E718" s="20" t="str">
        <f t="shared" si="11"/>
        <v>01</v>
      </c>
      <c r="F718" s="21">
        <v>0.40700800657335801</v>
      </c>
      <c r="G718" s="4">
        <v>0.45300000000000001</v>
      </c>
      <c r="H718" s="4">
        <v>0.38938053097345099</v>
      </c>
      <c r="I718" s="4">
        <v>0.66400000000000003</v>
      </c>
      <c r="J718" s="4">
        <v>0.63700000000000001</v>
      </c>
      <c r="K718" s="5">
        <v>0</v>
      </c>
      <c r="L718" s="5">
        <v>0</v>
      </c>
      <c r="M718" s="5">
        <v>100</v>
      </c>
      <c r="N718" s="5">
        <v>100</v>
      </c>
      <c r="O718" s="2">
        <v>0.79186315349910297</v>
      </c>
      <c r="P718" s="2">
        <v>0.94319818479408024</v>
      </c>
      <c r="Q718" s="2">
        <v>0.40947312950570314</v>
      </c>
      <c r="R718" s="2">
        <v>0.45098562340997367</v>
      </c>
    </row>
    <row r="719" spans="1:18" x14ac:dyDescent="0.3">
      <c r="A719" s="7">
        <v>786</v>
      </c>
      <c r="B719" s="7">
        <v>231</v>
      </c>
      <c r="C719" s="7">
        <v>0</v>
      </c>
      <c r="D719" s="7">
        <v>1</v>
      </c>
      <c r="E719" s="20" t="str">
        <f t="shared" si="11"/>
        <v>01</v>
      </c>
      <c r="F719" s="21">
        <v>0.40932495019756399</v>
      </c>
      <c r="G719" s="4">
        <v>0.66900000000000004</v>
      </c>
      <c r="H719" s="4">
        <v>0.57364341085271298</v>
      </c>
      <c r="I719" s="4">
        <v>0.60499999999999998</v>
      </c>
      <c r="J719" s="4">
        <v>0.61599999999999999</v>
      </c>
      <c r="K719" s="5">
        <v>100</v>
      </c>
      <c r="L719" s="5">
        <v>100</v>
      </c>
      <c r="M719" s="5">
        <v>100</v>
      </c>
      <c r="N719" s="5">
        <v>100</v>
      </c>
      <c r="O719" s="2">
        <v>0.40197121885390852</v>
      </c>
      <c r="P719" s="2">
        <v>0.55574731115750275</v>
      </c>
      <c r="Q719" s="2">
        <v>0.50252682095129564</v>
      </c>
      <c r="R719" s="2">
        <v>0.48450831544861728</v>
      </c>
    </row>
    <row r="720" spans="1:18" x14ac:dyDescent="0.3">
      <c r="A720" s="7">
        <v>672</v>
      </c>
      <c r="B720" s="7">
        <v>237</v>
      </c>
      <c r="C720" s="7">
        <v>0</v>
      </c>
      <c r="D720" s="7">
        <v>1</v>
      </c>
      <c r="E720" s="20" t="str">
        <f t="shared" si="11"/>
        <v>01</v>
      </c>
      <c r="F720" s="21">
        <v>0.41146323710250798</v>
      </c>
      <c r="G720" s="4">
        <v>0.34599999999999997</v>
      </c>
      <c r="H720" s="4">
        <v>0.30480167014613802</v>
      </c>
      <c r="I720" s="4">
        <v>0.95399999999999996</v>
      </c>
      <c r="J720" s="4">
        <v>0.93500000000000005</v>
      </c>
      <c r="K720" s="5">
        <v>0</v>
      </c>
      <c r="L720" s="5">
        <v>0</v>
      </c>
      <c r="M720" s="5">
        <v>100</v>
      </c>
      <c r="N720" s="5">
        <v>100</v>
      </c>
      <c r="O720" s="2">
        <v>1.0613165039244128</v>
      </c>
      <c r="P720" s="2">
        <v>1.1880939757025781</v>
      </c>
      <c r="Q720" s="2">
        <v>4.7091607533850569E-2</v>
      </c>
      <c r="R720" s="2">
        <v>6.720874969344999E-2</v>
      </c>
    </row>
    <row r="721" spans="1:18" x14ac:dyDescent="0.3">
      <c r="A721" s="7">
        <v>358</v>
      </c>
      <c r="B721" s="7">
        <v>243</v>
      </c>
      <c r="C721" s="7">
        <v>0</v>
      </c>
      <c r="D721" s="7">
        <v>1</v>
      </c>
      <c r="E721" s="20" t="str">
        <f t="shared" si="11"/>
        <v>01</v>
      </c>
      <c r="F721" s="21">
        <v>0.41574804739517601</v>
      </c>
      <c r="G721" s="4">
        <v>0.63700000000000001</v>
      </c>
      <c r="H721" s="4">
        <v>0.51036269430051795</v>
      </c>
      <c r="I721" s="4">
        <v>0.97899999999999998</v>
      </c>
      <c r="J721" s="4">
        <v>0.94</v>
      </c>
      <c r="K721" s="5">
        <v>100</v>
      </c>
      <c r="L721" s="5">
        <v>100</v>
      </c>
      <c r="M721" s="5">
        <v>100</v>
      </c>
      <c r="N721" s="5">
        <v>100</v>
      </c>
      <c r="O721" s="2">
        <v>0.45098562340997367</v>
      </c>
      <c r="P721" s="2">
        <v>0.67263364072684273</v>
      </c>
      <c r="Q721" s="2">
        <v>2.1223636451626688E-2</v>
      </c>
      <c r="R721" s="2">
        <v>6.1875403718087529E-2</v>
      </c>
    </row>
    <row r="722" spans="1:18" x14ac:dyDescent="0.3">
      <c r="A722" s="7">
        <v>537</v>
      </c>
      <c r="B722" s="7">
        <v>222</v>
      </c>
      <c r="C722" s="7">
        <v>0</v>
      </c>
      <c r="D722" s="7">
        <v>1</v>
      </c>
      <c r="E722" s="20" t="str">
        <f t="shared" si="11"/>
        <v>01</v>
      </c>
      <c r="F722" s="21">
        <v>0.41883152883838498</v>
      </c>
      <c r="G722" s="4">
        <v>0.41299999999999998</v>
      </c>
      <c r="H722" s="4">
        <v>0.36865342163355402</v>
      </c>
      <c r="I722" s="4">
        <v>0.89600000000000002</v>
      </c>
      <c r="J722" s="4">
        <v>0.89</v>
      </c>
      <c r="K722" s="5">
        <v>0</v>
      </c>
      <c r="L722" s="5">
        <v>0</v>
      </c>
      <c r="M722" s="5">
        <v>100</v>
      </c>
      <c r="N722" s="5">
        <v>100</v>
      </c>
      <c r="O722" s="2">
        <v>0.88430768602110432</v>
      </c>
      <c r="P722" s="2">
        <v>0.99789831306627907</v>
      </c>
      <c r="Q722" s="2">
        <v>0.10981486600720657</v>
      </c>
      <c r="R722" s="2">
        <v>0.11653381625595151</v>
      </c>
    </row>
    <row r="723" spans="1:18" x14ac:dyDescent="0.3">
      <c r="A723" s="7">
        <v>815</v>
      </c>
      <c r="B723" s="7">
        <v>237</v>
      </c>
      <c r="C723" s="7">
        <v>0</v>
      </c>
      <c r="D723" s="7">
        <v>1</v>
      </c>
      <c r="E723" s="20" t="str">
        <f t="shared" si="11"/>
        <v>01</v>
      </c>
      <c r="F723" s="21">
        <v>0.42045532100497202</v>
      </c>
      <c r="G723" s="4">
        <v>0.28999999999999998</v>
      </c>
      <c r="H723" s="4">
        <v>0.26526315789473698</v>
      </c>
      <c r="I723" s="4">
        <v>0.96299999999999997</v>
      </c>
      <c r="J723" s="4">
        <v>0.96699999999999997</v>
      </c>
      <c r="K723" s="5">
        <v>0</v>
      </c>
      <c r="L723" s="5">
        <v>0</v>
      </c>
      <c r="M723" s="5">
        <v>100</v>
      </c>
      <c r="N723" s="5">
        <v>100</v>
      </c>
      <c r="O723" s="2">
        <v>1.2378743560016174</v>
      </c>
      <c r="P723" s="2">
        <v>1.3270328970831626</v>
      </c>
      <c r="Q723" s="2">
        <v>3.7701867184011528E-2</v>
      </c>
      <c r="R723" s="2">
        <v>3.3556783528842754E-2</v>
      </c>
    </row>
    <row r="724" spans="1:18" x14ac:dyDescent="0.3">
      <c r="A724" s="7">
        <v>650</v>
      </c>
      <c r="B724" s="7">
        <v>258</v>
      </c>
      <c r="C724" s="7">
        <v>0</v>
      </c>
      <c r="D724" s="7">
        <v>1</v>
      </c>
      <c r="E724" s="20" t="str">
        <f t="shared" si="11"/>
        <v>01</v>
      </c>
      <c r="F724" s="21">
        <v>0.42056396373635102</v>
      </c>
      <c r="G724" s="4">
        <v>0.61499999999999999</v>
      </c>
      <c r="H724" s="4">
        <v>0.48677248677248702</v>
      </c>
      <c r="I724" s="4">
        <v>0.97899999999999998</v>
      </c>
      <c r="J724" s="4">
        <v>0.96499999999999997</v>
      </c>
      <c r="K724" s="5">
        <v>100</v>
      </c>
      <c r="L724" s="5">
        <v>0</v>
      </c>
      <c r="M724" s="5">
        <v>100</v>
      </c>
      <c r="N724" s="5">
        <v>100</v>
      </c>
      <c r="O724" s="2">
        <v>0.48613301117561919</v>
      </c>
      <c r="P724" s="2">
        <v>0.71995843801060155</v>
      </c>
      <c r="Q724" s="2">
        <v>2.1223636451626688E-2</v>
      </c>
      <c r="R724" s="2">
        <v>3.562717764315116E-2</v>
      </c>
    </row>
    <row r="725" spans="1:18" x14ac:dyDescent="0.3">
      <c r="A725" s="7">
        <v>353</v>
      </c>
      <c r="B725" s="7">
        <v>227</v>
      </c>
      <c r="C725" s="7">
        <v>0</v>
      </c>
      <c r="D725" s="7">
        <v>1</v>
      </c>
      <c r="E725" s="20" t="str">
        <f t="shared" si="11"/>
        <v>01</v>
      </c>
      <c r="F725" s="21">
        <v>0.42933113347579699</v>
      </c>
      <c r="G725" s="4">
        <v>0.41699999999999998</v>
      </c>
      <c r="H725" s="4">
        <v>0.32653061224489799</v>
      </c>
      <c r="I725" s="4">
        <v>0.97899999999999998</v>
      </c>
      <c r="J725" s="4">
        <v>0.96</v>
      </c>
      <c r="K725" s="5">
        <v>0</v>
      </c>
      <c r="L725" s="5">
        <v>0</v>
      </c>
      <c r="M725" s="5">
        <v>100</v>
      </c>
      <c r="N725" s="5">
        <v>100</v>
      </c>
      <c r="O725" s="2">
        <v>0.87466905718333565</v>
      </c>
      <c r="P725" s="2">
        <v>1.1192315758708453</v>
      </c>
      <c r="Q725" s="2">
        <v>2.1223636451626688E-2</v>
      </c>
      <c r="R725" s="2">
        <v>4.0821994520255166E-2</v>
      </c>
    </row>
    <row r="726" spans="1:18" x14ac:dyDescent="0.3">
      <c r="A726" s="7">
        <v>27</v>
      </c>
      <c r="B726" s="7">
        <v>249</v>
      </c>
      <c r="C726" s="7">
        <v>0</v>
      </c>
      <c r="D726" s="7">
        <v>1</v>
      </c>
      <c r="E726" s="20" t="str">
        <f t="shared" si="11"/>
        <v>01</v>
      </c>
      <c r="F726" s="21">
        <v>0.43140734928301</v>
      </c>
      <c r="G726" s="4">
        <v>0.315</v>
      </c>
      <c r="H726" s="4">
        <v>0.27233115468409602</v>
      </c>
      <c r="I726" s="4">
        <v>0.95699999999999996</v>
      </c>
      <c r="J726" s="4">
        <v>0.94499999999999995</v>
      </c>
      <c r="K726" s="5">
        <v>0</v>
      </c>
      <c r="L726" s="5">
        <v>0</v>
      </c>
      <c r="M726" s="5">
        <v>100</v>
      </c>
      <c r="N726" s="5">
        <v>100</v>
      </c>
      <c r="O726" s="2">
        <v>1.155182640156504</v>
      </c>
      <c r="P726" s="2">
        <v>1.3007364727582433</v>
      </c>
      <c r="Q726" s="2">
        <v>4.3951887529182831E-2</v>
      </c>
      <c r="R726" s="2">
        <v>5.6570351488394351E-2</v>
      </c>
    </row>
    <row r="727" spans="1:18" x14ac:dyDescent="0.3">
      <c r="A727" s="7">
        <v>571</v>
      </c>
      <c r="B727" s="7">
        <v>221</v>
      </c>
      <c r="C727" s="7">
        <v>0</v>
      </c>
      <c r="D727" s="7">
        <v>1</v>
      </c>
      <c r="E727" s="20" t="str">
        <f t="shared" si="11"/>
        <v>01</v>
      </c>
      <c r="F727" s="21">
        <v>0.434058057386147</v>
      </c>
      <c r="G727" s="4">
        <v>0.45500000000000002</v>
      </c>
      <c r="H727" s="4">
        <v>0.38709677419354799</v>
      </c>
      <c r="I727" s="4">
        <v>0.95699999999999996</v>
      </c>
      <c r="J727" s="4">
        <v>0.94</v>
      </c>
      <c r="K727" s="5">
        <v>0</v>
      </c>
      <c r="L727" s="5">
        <v>0</v>
      </c>
      <c r="M727" s="5">
        <v>100</v>
      </c>
      <c r="N727" s="5">
        <v>100</v>
      </c>
      <c r="O727" s="2">
        <v>0.78745786003118656</v>
      </c>
      <c r="P727" s="2">
        <v>0.94908055469714692</v>
      </c>
      <c r="Q727" s="2">
        <v>4.3951887529182831E-2</v>
      </c>
      <c r="R727" s="2">
        <v>6.1875403718087529E-2</v>
      </c>
    </row>
    <row r="728" spans="1:18" x14ac:dyDescent="0.3">
      <c r="A728" s="7">
        <v>92</v>
      </c>
      <c r="B728" s="7">
        <v>234</v>
      </c>
      <c r="C728" s="7">
        <v>0</v>
      </c>
      <c r="D728" s="7">
        <v>1</v>
      </c>
      <c r="E728" s="20" t="str">
        <f t="shared" si="11"/>
        <v>01</v>
      </c>
      <c r="F728" s="21">
        <v>0.43600485986142701</v>
      </c>
      <c r="G728" s="4">
        <v>0.313</v>
      </c>
      <c r="H728" s="4">
        <v>0.25265392781316298</v>
      </c>
      <c r="I728" s="4">
        <v>3.7999999999999999E-2</v>
      </c>
      <c r="J728" s="4">
        <v>3.9E-2</v>
      </c>
      <c r="K728" s="5">
        <v>0</v>
      </c>
      <c r="L728" s="5">
        <v>0</v>
      </c>
      <c r="M728" s="5">
        <v>0</v>
      </c>
      <c r="N728" s="5">
        <v>0</v>
      </c>
      <c r="O728" s="2">
        <v>1.1615520884419839</v>
      </c>
      <c r="P728" s="2">
        <v>1.3757346009048903</v>
      </c>
      <c r="Q728" s="2">
        <v>3.2701691192557512</v>
      </c>
      <c r="R728" s="2">
        <v>3.2441936328524905</v>
      </c>
    </row>
    <row r="729" spans="1:18" x14ac:dyDescent="0.3">
      <c r="A729" s="7">
        <v>898</v>
      </c>
      <c r="B729" s="7">
        <v>225</v>
      </c>
      <c r="C729" s="7">
        <v>0</v>
      </c>
      <c r="D729" s="7">
        <v>1</v>
      </c>
      <c r="E729" s="20" t="str">
        <f t="shared" si="11"/>
        <v>01</v>
      </c>
      <c r="F729" s="21">
        <v>0.438849431188859</v>
      </c>
      <c r="G729" s="4">
        <v>0.29199999999999998</v>
      </c>
      <c r="H729" s="4">
        <v>0.26348547717842302</v>
      </c>
      <c r="I729" s="4">
        <v>0.96199999999999997</v>
      </c>
      <c r="J729" s="4">
        <v>0.97299999999999998</v>
      </c>
      <c r="K729" s="5">
        <v>0</v>
      </c>
      <c r="L729" s="5">
        <v>0</v>
      </c>
      <c r="M729" s="5">
        <v>100</v>
      </c>
      <c r="N729" s="5">
        <v>100</v>
      </c>
      <c r="O729" s="2">
        <v>1.2310014767138553</v>
      </c>
      <c r="P729" s="2">
        <v>1.3337570275920099</v>
      </c>
      <c r="Q729" s="2">
        <v>3.8740828316430595E-2</v>
      </c>
      <c r="R729" s="2">
        <v>2.7371196796132015E-2</v>
      </c>
    </row>
    <row r="730" spans="1:18" x14ac:dyDescent="0.3">
      <c r="A730" s="7">
        <v>34</v>
      </c>
      <c r="B730" s="7">
        <v>235</v>
      </c>
      <c r="C730" s="7">
        <v>0</v>
      </c>
      <c r="D730" s="7">
        <v>1</v>
      </c>
      <c r="E730" s="20" t="str">
        <f t="shared" si="11"/>
        <v>01</v>
      </c>
      <c r="F730" s="21">
        <v>0.44263785223313101</v>
      </c>
      <c r="G730" s="4">
        <v>0.33800000000000002</v>
      </c>
      <c r="H730" s="4">
        <v>0.29067245119305901</v>
      </c>
      <c r="I730" s="4">
        <v>0.96299999999999997</v>
      </c>
      <c r="J730" s="4">
        <v>0.96199999999999997</v>
      </c>
      <c r="K730" s="5">
        <v>0</v>
      </c>
      <c r="L730" s="5">
        <v>0</v>
      </c>
      <c r="M730" s="5">
        <v>100</v>
      </c>
      <c r="N730" s="5">
        <v>100</v>
      </c>
      <c r="O730" s="2">
        <v>1.0847093834991182</v>
      </c>
      <c r="P730" s="2">
        <v>1.2355582430457357</v>
      </c>
      <c r="Q730" s="2">
        <v>3.7701867184011528E-2</v>
      </c>
      <c r="R730" s="2">
        <v>3.8740828316430595E-2</v>
      </c>
    </row>
    <row r="731" spans="1:18" x14ac:dyDescent="0.3">
      <c r="A731" s="7">
        <v>168</v>
      </c>
      <c r="B731" s="7">
        <v>231</v>
      </c>
      <c r="C731" s="7">
        <v>0</v>
      </c>
      <c r="D731" s="7">
        <v>1</v>
      </c>
      <c r="E731" s="20" t="str">
        <f t="shared" si="11"/>
        <v>01</v>
      </c>
      <c r="F731" s="21">
        <v>0.44997756424893598</v>
      </c>
      <c r="G731" s="4">
        <v>0.36</v>
      </c>
      <c r="H731" s="4">
        <v>0.32832618025751098</v>
      </c>
      <c r="I731" s="4">
        <v>0.99299999999999999</v>
      </c>
      <c r="J731" s="4">
        <v>0.95399999999999996</v>
      </c>
      <c r="K731" s="5">
        <v>0</v>
      </c>
      <c r="L731" s="5">
        <v>0</v>
      </c>
      <c r="M731" s="5">
        <v>100</v>
      </c>
      <c r="N731" s="5">
        <v>100</v>
      </c>
      <c r="O731" s="2">
        <v>1.0216512475319814</v>
      </c>
      <c r="P731" s="2">
        <v>1.1137477127332096</v>
      </c>
      <c r="Q731" s="2">
        <v>7.0246149369644663E-3</v>
      </c>
      <c r="R731" s="2">
        <v>4.7091607533850569E-2</v>
      </c>
    </row>
    <row r="732" spans="1:18" x14ac:dyDescent="0.3">
      <c r="A732" s="7">
        <v>70</v>
      </c>
      <c r="B732" s="7">
        <v>225</v>
      </c>
      <c r="C732" s="7">
        <v>0</v>
      </c>
      <c r="D732" s="7">
        <v>1</v>
      </c>
      <c r="E732" s="20" t="str">
        <f t="shared" si="11"/>
        <v>01</v>
      </c>
      <c r="F732" s="21">
        <v>0.45327049012409099</v>
      </c>
      <c r="G732" s="4">
        <v>0.51500000000000001</v>
      </c>
      <c r="H732" s="4">
        <v>0.35422343324250699</v>
      </c>
      <c r="I732" s="4">
        <v>0.98599999999999999</v>
      </c>
      <c r="J732" s="4">
        <v>0.97499999999999998</v>
      </c>
      <c r="K732" s="5">
        <v>100</v>
      </c>
      <c r="L732" s="5">
        <v>0</v>
      </c>
      <c r="M732" s="5">
        <v>100</v>
      </c>
      <c r="N732" s="5">
        <v>100</v>
      </c>
      <c r="O732" s="2">
        <v>0.6635883783184009</v>
      </c>
      <c r="P732" s="2">
        <v>1.0378273975989873</v>
      </c>
      <c r="Q732" s="2">
        <v>1.4098924379501648E-2</v>
      </c>
      <c r="R732" s="2">
        <v>2.5317807984289897E-2</v>
      </c>
    </row>
    <row r="733" spans="1:18" x14ac:dyDescent="0.3">
      <c r="A733" s="7">
        <v>837</v>
      </c>
      <c r="B733" s="7">
        <v>243</v>
      </c>
      <c r="C733" s="7">
        <v>0</v>
      </c>
      <c r="D733" s="7">
        <v>1</v>
      </c>
      <c r="E733" s="20" t="str">
        <f t="shared" si="11"/>
        <v>01</v>
      </c>
      <c r="F733" s="21">
        <v>0.45678668189315802</v>
      </c>
      <c r="G733" s="4">
        <v>0.33700000000000002</v>
      </c>
      <c r="H733" s="4">
        <v>0.32083333333333303</v>
      </c>
      <c r="I733" s="4">
        <v>0.82099999999999995</v>
      </c>
      <c r="J733" s="4">
        <v>0.78200000000000003</v>
      </c>
      <c r="K733" s="5">
        <v>0</v>
      </c>
      <c r="L733" s="5">
        <v>0</v>
      </c>
      <c r="M733" s="5">
        <v>100</v>
      </c>
      <c r="N733" s="5">
        <v>100</v>
      </c>
      <c r="O733" s="2">
        <v>1.0876723486297752</v>
      </c>
      <c r="P733" s="2">
        <v>1.1368335014883084</v>
      </c>
      <c r="Q733" s="2">
        <v>0.1972321695297089</v>
      </c>
      <c r="R733" s="2">
        <v>0.24590053843682594</v>
      </c>
    </row>
    <row r="734" spans="1:18" x14ac:dyDescent="0.3">
      <c r="A734" s="7">
        <v>60</v>
      </c>
      <c r="B734" s="7">
        <v>241</v>
      </c>
      <c r="C734" s="7">
        <v>0</v>
      </c>
      <c r="D734" s="7">
        <v>1</v>
      </c>
      <c r="E734" s="20" t="str">
        <f t="shared" si="11"/>
        <v>01</v>
      </c>
      <c r="F734" s="21">
        <v>0.45906564464829402</v>
      </c>
      <c r="G734" s="4">
        <v>0.33500000000000002</v>
      </c>
      <c r="H734" s="4">
        <v>0.28414096916299603</v>
      </c>
      <c r="I734" s="4">
        <v>0.98099999999999998</v>
      </c>
      <c r="J734" s="4">
        <v>0.97</v>
      </c>
      <c r="K734" s="5">
        <v>0</v>
      </c>
      <c r="L734" s="5">
        <v>0</v>
      </c>
      <c r="M734" s="5">
        <v>100</v>
      </c>
      <c r="N734" s="5">
        <v>100</v>
      </c>
      <c r="O734" s="2">
        <v>1.0936247471570706</v>
      </c>
      <c r="P734" s="2">
        <v>1.2582847936796744</v>
      </c>
      <c r="Q734" s="2">
        <v>1.9182819416773987E-2</v>
      </c>
      <c r="R734" s="2">
        <v>3.0459207484708574E-2</v>
      </c>
    </row>
    <row r="735" spans="1:18" x14ac:dyDescent="0.3">
      <c r="A735" s="7">
        <v>439</v>
      </c>
      <c r="B735" s="7">
        <v>241</v>
      </c>
      <c r="C735" s="7">
        <v>0</v>
      </c>
      <c r="D735" s="7">
        <v>1</v>
      </c>
      <c r="E735" s="20" t="str">
        <f t="shared" si="11"/>
        <v>01</v>
      </c>
      <c r="F735" s="21">
        <v>0.45908407508343602</v>
      </c>
      <c r="G735" s="4">
        <v>0.76500000000000001</v>
      </c>
      <c r="H735" s="4">
        <v>0.63777089783281704</v>
      </c>
      <c r="I735" s="4">
        <v>0.97799999999999998</v>
      </c>
      <c r="J735" s="4">
        <v>0.96399999999999997</v>
      </c>
      <c r="K735" s="5">
        <v>100</v>
      </c>
      <c r="L735" s="5">
        <v>100</v>
      </c>
      <c r="M735" s="5">
        <v>100</v>
      </c>
      <c r="N735" s="5">
        <v>100</v>
      </c>
      <c r="O735" s="2">
        <v>0.26787944515560119</v>
      </c>
      <c r="P735" s="2">
        <v>0.44977615443307595</v>
      </c>
      <c r="Q735" s="2">
        <v>2.2245608947319737E-2</v>
      </c>
      <c r="R735" s="2">
        <v>3.666398437159147E-2</v>
      </c>
    </row>
    <row r="736" spans="1:18" x14ac:dyDescent="0.3">
      <c r="A736" s="7">
        <v>580</v>
      </c>
      <c r="B736" s="7">
        <v>231</v>
      </c>
      <c r="C736" s="7">
        <v>0</v>
      </c>
      <c r="D736" s="7">
        <v>1</v>
      </c>
      <c r="E736" s="20" t="str">
        <f t="shared" si="11"/>
        <v>01</v>
      </c>
      <c r="F736" s="21">
        <v>0.46061004957902901</v>
      </c>
      <c r="G736" s="4">
        <v>0.433</v>
      </c>
      <c r="H736" s="4">
        <v>0.41505376344085998</v>
      </c>
      <c r="I736" s="4">
        <v>0.98899999999999999</v>
      </c>
      <c r="J736" s="4">
        <v>0.96199999999999997</v>
      </c>
      <c r="K736" s="5">
        <v>0</v>
      </c>
      <c r="L736" s="5">
        <v>0</v>
      </c>
      <c r="M736" s="5">
        <v>100</v>
      </c>
      <c r="N736" s="5">
        <v>100</v>
      </c>
      <c r="O736" s="2">
        <v>0.83701755097964725</v>
      </c>
      <c r="P736" s="2">
        <v>0.87934721668247129</v>
      </c>
      <c r="Q736" s="2">
        <v>1.1060947359424948E-2</v>
      </c>
      <c r="R736" s="2">
        <v>3.8740828316430595E-2</v>
      </c>
    </row>
    <row r="737" spans="1:18" x14ac:dyDescent="0.3">
      <c r="A737" s="7">
        <v>298</v>
      </c>
      <c r="B737" s="7">
        <v>218</v>
      </c>
      <c r="C737" s="7">
        <v>0</v>
      </c>
      <c r="D737" s="7">
        <v>1</v>
      </c>
      <c r="E737" s="20" t="str">
        <f t="shared" si="11"/>
        <v>01</v>
      </c>
      <c r="F737" s="21">
        <v>0.46265107345839801</v>
      </c>
      <c r="G737" s="4">
        <v>0.42799999999999999</v>
      </c>
      <c r="H737" s="4">
        <v>0.35947712418300698</v>
      </c>
      <c r="I737" s="4">
        <v>0.55100000000000005</v>
      </c>
      <c r="J737" s="4">
        <v>0.55200000000000005</v>
      </c>
      <c r="K737" s="5">
        <v>0</v>
      </c>
      <c r="L737" s="5">
        <v>0</v>
      </c>
      <c r="M737" s="5">
        <v>100</v>
      </c>
      <c r="N737" s="5">
        <v>100</v>
      </c>
      <c r="O737" s="2">
        <v>0.84863208340034024</v>
      </c>
      <c r="P737" s="2">
        <v>1.0231047361599632</v>
      </c>
      <c r="Q737" s="2">
        <v>0.59602046982922252</v>
      </c>
      <c r="R737" s="2">
        <v>0.59420723270504161</v>
      </c>
    </row>
    <row r="738" spans="1:18" x14ac:dyDescent="0.3">
      <c r="A738" s="7">
        <v>409</v>
      </c>
      <c r="B738" s="7">
        <v>249</v>
      </c>
      <c r="C738" s="7">
        <v>0</v>
      </c>
      <c r="D738" s="7">
        <v>1</v>
      </c>
      <c r="E738" s="20" t="str">
        <f t="shared" si="11"/>
        <v>01</v>
      </c>
      <c r="F738" s="21">
        <v>0.46296873683614997</v>
      </c>
      <c r="G738" s="4">
        <v>0.375</v>
      </c>
      <c r="H738" s="4">
        <v>0.310722100656455</v>
      </c>
      <c r="I738" s="4">
        <v>0.97599999999999998</v>
      </c>
      <c r="J738" s="4">
        <v>0.96199999999999997</v>
      </c>
      <c r="K738" s="5">
        <v>0</v>
      </c>
      <c r="L738" s="5">
        <v>0</v>
      </c>
      <c r="M738" s="5">
        <v>100</v>
      </c>
      <c r="N738" s="5">
        <v>100</v>
      </c>
      <c r="O738" s="2">
        <v>0.98082925301172619</v>
      </c>
      <c r="P738" s="2">
        <v>1.1688563332929445</v>
      </c>
      <c r="Q738" s="2">
        <v>2.4292692569044587E-2</v>
      </c>
      <c r="R738" s="2">
        <v>3.8740828316430595E-2</v>
      </c>
    </row>
    <row r="739" spans="1:18" x14ac:dyDescent="0.3">
      <c r="A739" s="7">
        <v>413</v>
      </c>
      <c r="B739" s="7">
        <v>223</v>
      </c>
      <c r="C739" s="7">
        <v>0</v>
      </c>
      <c r="D739" s="7">
        <v>1</v>
      </c>
      <c r="E739" s="20" t="str">
        <f t="shared" si="11"/>
        <v>01</v>
      </c>
      <c r="F739" s="21">
        <v>0.46398631345013502</v>
      </c>
      <c r="G739" s="4">
        <v>0.53800000000000003</v>
      </c>
      <c r="H739" s="4">
        <v>0.40054495912806498</v>
      </c>
      <c r="I739" s="4">
        <v>0.06</v>
      </c>
      <c r="J739" s="4">
        <v>4.3999999999999997E-2</v>
      </c>
      <c r="K739" s="5">
        <v>100</v>
      </c>
      <c r="L739" s="5">
        <v>0</v>
      </c>
      <c r="M739" s="5">
        <v>0</v>
      </c>
      <c r="N739" s="5">
        <v>0</v>
      </c>
      <c r="O739" s="2">
        <v>0.61989671882035258</v>
      </c>
      <c r="P739" s="2">
        <v>0.91492926127583496</v>
      </c>
      <c r="Q739" s="2">
        <v>2.8134107167600364</v>
      </c>
      <c r="R739" s="2">
        <v>3.1235656450638758</v>
      </c>
    </row>
    <row r="740" spans="1:18" x14ac:dyDescent="0.3">
      <c r="A740" s="7">
        <v>533</v>
      </c>
      <c r="B740" s="7">
        <v>214</v>
      </c>
      <c r="C740" s="7">
        <v>0</v>
      </c>
      <c r="D740" s="7">
        <v>1</v>
      </c>
      <c r="E740" s="20" t="str">
        <f t="shared" si="11"/>
        <v>01</v>
      </c>
      <c r="F740" s="21">
        <v>0.46525469682968601</v>
      </c>
      <c r="G740" s="4">
        <v>0.35299999999999998</v>
      </c>
      <c r="H740" s="4">
        <v>0.238875878220141</v>
      </c>
      <c r="I740" s="4">
        <v>3.7999999999999999E-2</v>
      </c>
      <c r="J740" s="4">
        <v>3.2000000000000001E-2</v>
      </c>
      <c r="K740" s="5">
        <v>0</v>
      </c>
      <c r="L740" s="5">
        <v>0</v>
      </c>
      <c r="M740" s="5">
        <v>0</v>
      </c>
      <c r="N740" s="5">
        <v>0</v>
      </c>
      <c r="O740" s="2">
        <v>1.0412872220488403</v>
      </c>
      <c r="P740" s="2">
        <v>1.4318111999443515</v>
      </c>
      <c r="Q740" s="2">
        <v>3.2701691192557512</v>
      </c>
      <c r="R740" s="2">
        <v>3.4420193761824103</v>
      </c>
    </row>
    <row r="741" spans="1:18" x14ac:dyDescent="0.3">
      <c r="A741" s="7">
        <v>606</v>
      </c>
      <c r="B741" s="7">
        <v>210</v>
      </c>
      <c r="C741" s="7">
        <v>0</v>
      </c>
      <c r="D741" s="7">
        <v>1</v>
      </c>
      <c r="E741" s="20" t="str">
        <f t="shared" si="11"/>
        <v>01</v>
      </c>
      <c r="F741" s="21">
        <v>0.468795192198383</v>
      </c>
      <c r="G741" s="4">
        <v>0.38400000000000001</v>
      </c>
      <c r="H741" s="4">
        <v>0.35774058577405898</v>
      </c>
      <c r="I741" s="4">
        <v>0.96399999999999997</v>
      </c>
      <c r="J741" s="4">
        <v>0.94399999999999995</v>
      </c>
      <c r="K741" s="5">
        <v>0</v>
      </c>
      <c r="L741" s="5">
        <v>0</v>
      </c>
      <c r="M741" s="5">
        <v>100</v>
      </c>
      <c r="N741" s="5">
        <v>100</v>
      </c>
      <c r="O741" s="2">
        <v>0.95711272639441014</v>
      </c>
      <c r="P741" s="2">
        <v>1.027947175988795</v>
      </c>
      <c r="Q741" s="2">
        <v>3.666398437159147E-2</v>
      </c>
      <c r="R741" s="2">
        <v>5.7629112836636416E-2</v>
      </c>
    </row>
    <row r="742" spans="1:18" x14ac:dyDescent="0.3">
      <c r="A742" s="7">
        <v>477</v>
      </c>
      <c r="B742" s="7">
        <v>226</v>
      </c>
      <c r="C742" s="7">
        <v>0</v>
      </c>
      <c r="D742" s="7">
        <v>1</v>
      </c>
      <c r="E742" s="20" t="str">
        <f t="shared" si="11"/>
        <v>01</v>
      </c>
      <c r="F742" s="21">
        <v>0.46892899204263799</v>
      </c>
      <c r="G742" s="4">
        <v>0.41199999999999998</v>
      </c>
      <c r="H742" s="4">
        <v>0.344444444444444</v>
      </c>
      <c r="I742" s="4">
        <v>0.98799999999999999</v>
      </c>
      <c r="J742" s="4">
        <v>0.95699999999999996</v>
      </c>
      <c r="K742" s="5">
        <v>0</v>
      </c>
      <c r="L742" s="5">
        <v>0</v>
      </c>
      <c r="M742" s="5">
        <v>100</v>
      </c>
      <c r="N742" s="5">
        <v>100</v>
      </c>
      <c r="O742" s="2">
        <v>0.88673192963261072</v>
      </c>
      <c r="P742" s="2">
        <v>1.0658224658451201</v>
      </c>
      <c r="Q742" s="2">
        <v>1.2072581234269249E-2</v>
      </c>
      <c r="R742" s="2">
        <v>4.3951887529182831E-2</v>
      </c>
    </row>
    <row r="743" spans="1:18" x14ac:dyDescent="0.3">
      <c r="A743" s="7">
        <v>99</v>
      </c>
      <c r="B743" s="7">
        <v>210</v>
      </c>
      <c r="C743" s="7">
        <v>0</v>
      </c>
      <c r="D743" s="7">
        <v>1</v>
      </c>
      <c r="E743" s="20" t="str">
        <f t="shared" si="11"/>
        <v>01</v>
      </c>
      <c r="F743" s="21">
        <v>0.47209869525787101</v>
      </c>
      <c r="G743" s="4">
        <v>0.72</v>
      </c>
      <c r="H743" s="4">
        <v>0.570977917981073</v>
      </c>
      <c r="I743" s="4">
        <v>0.97199999999999998</v>
      </c>
      <c r="J743" s="4">
        <v>0.96199999999999997</v>
      </c>
      <c r="K743" s="5">
        <v>100</v>
      </c>
      <c r="L743" s="5">
        <v>100</v>
      </c>
      <c r="M743" s="5">
        <v>100</v>
      </c>
      <c r="N743" s="5">
        <v>100</v>
      </c>
      <c r="O743" s="2">
        <v>0.3285040669720361</v>
      </c>
      <c r="P743" s="2">
        <v>0.56040474261145412</v>
      </c>
      <c r="Q743" s="2">
        <v>2.8399474521698002E-2</v>
      </c>
      <c r="R743" s="2">
        <v>3.8740828316430595E-2</v>
      </c>
    </row>
    <row r="744" spans="1:18" x14ac:dyDescent="0.3">
      <c r="A744" s="7">
        <v>111</v>
      </c>
      <c r="B744" s="7">
        <v>209</v>
      </c>
      <c r="C744" s="7">
        <v>0</v>
      </c>
      <c r="D744" s="7">
        <v>1</v>
      </c>
      <c r="E744" s="20" t="str">
        <f t="shared" si="11"/>
        <v>01</v>
      </c>
      <c r="F744" s="21">
        <v>0.481355502079167</v>
      </c>
      <c r="G744" s="4">
        <v>0.17799999999999999</v>
      </c>
      <c r="H744" s="4">
        <v>0.16142557651991599</v>
      </c>
      <c r="I744" s="4">
        <v>0.74399999999999999</v>
      </c>
      <c r="J744" s="4">
        <v>0.66600000000000004</v>
      </c>
      <c r="K744" s="5">
        <v>0</v>
      </c>
      <c r="L744" s="5">
        <v>0</v>
      </c>
      <c r="M744" s="5">
        <v>100</v>
      </c>
      <c r="N744" s="5">
        <v>100</v>
      </c>
      <c r="O744" s="2">
        <v>1.725971728690052</v>
      </c>
      <c r="P744" s="2">
        <v>1.8237110690346583</v>
      </c>
      <c r="Q744" s="2">
        <v>0.29571424414904518</v>
      </c>
      <c r="R744" s="2">
        <v>0.40646560844174784</v>
      </c>
    </row>
    <row r="745" spans="1:18" x14ac:dyDescent="0.3">
      <c r="A745" s="7">
        <v>982</v>
      </c>
      <c r="B745" s="7">
        <v>203</v>
      </c>
      <c r="C745" s="7">
        <v>0</v>
      </c>
      <c r="D745" s="7">
        <v>1</v>
      </c>
      <c r="E745" s="20" t="str">
        <f t="shared" si="11"/>
        <v>01</v>
      </c>
      <c r="F745" s="21">
        <v>0.48267452785507298</v>
      </c>
      <c r="G745" s="4">
        <v>0.375</v>
      </c>
      <c r="H745" s="4">
        <v>0.34140969162995599</v>
      </c>
      <c r="I745" s="4">
        <v>0.96399999999999997</v>
      </c>
      <c r="J745" s="4">
        <v>0.95499999999999996</v>
      </c>
      <c r="K745" s="5">
        <v>0</v>
      </c>
      <c r="L745" s="5">
        <v>0</v>
      </c>
      <c r="M745" s="5">
        <v>100</v>
      </c>
      <c r="N745" s="5">
        <v>100</v>
      </c>
      <c r="O745" s="2">
        <v>0.98082925301172619</v>
      </c>
      <c r="P745" s="2">
        <v>1.0746720811221013</v>
      </c>
      <c r="Q745" s="2">
        <v>3.666398437159147E-2</v>
      </c>
      <c r="R745" s="2">
        <v>4.6043938501406846E-2</v>
      </c>
    </row>
    <row r="746" spans="1:18" x14ac:dyDescent="0.3">
      <c r="A746" s="7">
        <v>472</v>
      </c>
      <c r="B746" s="7">
        <v>225</v>
      </c>
      <c r="C746" s="7">
        <v>0</v>
      </c>
      <c r="D746" s="7">
        <v>1</v>
      </c>
      <c r="E746" s="20" t="str">
        <f t="shared" si="11"/>
        <v>01</v>
      </c>
      <c r="F746" s="21">
        <v>0.48716899948996401</v>
      </c>
      <c r="G746" s="4">
        <v>0.54400000000000004</v>
      </c>
      <c r="H746" s="4">
        <v>0.46712018140589601</v>
      </c>
      <c r="I746" s="4">
        <v>0.97299999999999998</v>
      </c>
      <c r="J746" s="4">
        <v>0.95099999999999996</v>
      </c>
      <c r="K746" s="5">
        <v>100</v>
      </c>
      <c r="L746" s="5">
        <v>0</v>
      </c>
      <c r="M746" s="5">
        <v>100</v>
      </c>
      <c r="N746" s="5">
        <v>100</v>
      </c>
      <c r="O746" s="2">
        <v>0.60880603212619433</v>
      </c>
      <c r="P746" s="2">
        <v>0.76116870665726422</v>
      </c>
      <c r="Q746" s="2">
        <v>2.7371196796132015E-2</v>
      </c>
      <c r="R746" s="2">
        <v>5.024121643674679E-2</v>
      </c>
    </row>
    <row r="747" spans="1:18" x14ac:dyDescent="0.3">
      <c r="A747" s="7">
        <v>172</v>
      </c>
      <c r="B747" s="7">
        <v>229</v>
      </c>
      <c r="C747" s="7">
        <v>0</v>
      </c>
      <c r="D747" s="7">
        <v>1</v>
      </c>
      <c r="E747" s="20" t="str">
        <f t="shared" si="11"/>
        <v>01</v>
      </c>
      <c r="F747" s="21">
        <v>0.491313390362074</v>
      </c>
      <c r="G747" s="4">
        <v>0.58499999999999996</v>
      </c>
      <c r="H747" s="4">
        <v>0.421686746987952</v>
      </c>
      <c r="I747" s="4">
        <v>0.98799999999999999</v>
      </c>
      <c r="J747" s="4">
        <v>0.95199999999999996</v>
      </c>
      <c r="K747" s="5">
        <v>100</v>
      </c>
      <c r="L747" s="5">
        <v>0</v>
      </c>
      <c r="M747" s="5">
        <v>100</v>
      </c>
      <c r="N747" s="5">
        <v>100</v>
      </c>
      <c r="O747" s="2">
        <v>0.53614343175028067</v>
      </c>
      <c r="P747" s="2">
        <v>0.86349254630718375</v>
      </c>
      <c r="Q747" s="2">
        <v>1.2072581234269249E-2</v>
      </c>
      <c r="R747" s="2">
        <v>4.9190244190771781E-2</v>
      </c>
    </row>
    <row r="748" spans="1:18" x14ac:dyDescent="0.3">
      <c r="A748" s="7">
        <v>211</v>
      </c>
      <c r="B748" s="7">
        <v>212</v>
      </c>
      <c r="C748" s="7">
        <v>0</v>
      </c>
      <c r="D748" s="7">
        <v>1</v>
      </c>
      <c r="E748" s="20" t="str">
        <f t="shared" si="11"/>
        <v>01</v>
      </c>
      <c r="F748" s="21">
        <v>0.49135141459155801</v>
      </c>
      <c r="G748" s="4">
        <v>0.42599999999999999</v>
      </c>
      <c r="H748" s="4">
        <v>0.37204301075268797</v>
      </c>
      <c r="I748" s="4">
        <v>0.96399999999999997</v>
      </c>
      <c r="J748" s="4">
        <v>0.95199999999999996</v>
      </c>
      <c r="K748" s="5">
        <v>0</v>
      </c>
      <c r="L748" s="5">
        <v>0</v>
      </c>
      <c r="M748" s="5">
        <v>100</v>
      </c>
      <c r="N748" s="5">
        <v>100</v>
      </c>
      <c r="O748" s="2">
        <v>0.85331593271276662</v>
      </c>
      <c r="P748" s="2">
        <v>0.98874581108957793</v>
      </c>
      <c r="Q748" s="2">
        <v>3.666398437159147E-2</v>
      </c>
      <c r="R748" s="2">
        <v>4.9190244190771781E-2</v>
      </c>
    </row>
    <row r="749" spans="1:18" x14ac:dyDescent="0.3">
      <c r="A749" s="7">
        <v>458</v>
      </c>
      <c r="B749" s="7">
        <v>324</v>
      </c>
      <c r="C749" s="7">
        <v>0</v>
      </c>
      <c r="D749" s="7">
        <v>1</v>
      </c>
      <c r="E749" s="20" t="str">
        <f t="shared" si="11"/>
        <v>01</v>
      </c>
      <c r="F749" s="21">
        <v>0.49148347314420099</v>
      </c>
      <c r="G749" s="4">
        <v>0.39400000000000002</v>
      </c>
      <c r="H749" s="4">
        <v>0.36757990867579898</v>
      </c>
      <c r="I749" s="4">
        <v>0.64100000000000001</v>
      </c>
      <c r="J749" s="4">
        <v>0.624</v>
      </c>
      <c r="K749" s="5">
        <v>0</v>
      </c>
      <c r="L749" s="5">
        <v>0</v>
      </c>
      <c r="M749" s="5">
        <v>100</v>
      </c>
      <c r="N749" s="5">
        <v>100</v>
      </c>
      <c r="O749" s="2">
        <v>0.93140436968420315</v>
      </c>
      <c r="P749" s="2">
        <v>1.0008145453919834</v>
      </c>
      <c r="Q749" s="2">
        <v>0.44472582206146699</v>
      </c>
      <c r="R749" s="2">
        <v>0.47160491061270937</v>
      </c>
    </row>
    <row r="750" spans="1:18" x14ac:dyDescent="0.3">
      <c r="A750" s="7">
        <v>193</v>
      </c>
      <c r="B750" s="7">
        <v>204</v>
      </c>
      <c r="C750" s="7">
        <v>0</v>
      </c>
      <c r="D750" s="7">
        <v>1</v>
      </c>
      <c r="E750" s="20" t="str">
        <f t="shared" si="11"/>
        <v>01</v>
      </c>
      <c r="F750" s="21">
        <v>0.49468910043423597</v>
      </c>
      <c r="G750" s="4">
        <v>0.29099999999999998</v>
      </c>
      <c r="H750" s="4">
        <v>0.209713024282561</v>
      </c>
      <c r="I750" s="4">
        <v>3.3000000000000002E-2</v>
      </c>
      <c r="J750" s="4">
        <v>3.9E-2</v>
      </c>
      <c r="K750" s="5">
        <v>0</v>
      </c>
      <c r="L750" s="5">
        <v>0</v>
      </c>
      <c r="M750" s="5">
        <v>0</v>
      </c>
      <c r="N750" s="5">
        <v>0</v>
      </c>
      <c r="O750" s="2">
        <v>1.2344320118106447</v>
      </c>
      <c r="P750" s="2">
        <v>1.5620152338824917</v>
      </c>
      <c r="Q750" s="2">
        <v>3.4112477175156566</v>
      </c>
      <c r="R750" s="2">
        <v>3.2441936328524905</v>
      </c>
    </row>
    <row r="751" spans="1:18" x14ac:dyDescent="0.3">
      <c r="A751" s="7">
        <v>899</v>
      </c>
      <c r="B751" s="7">
        <v>208</v>
      </c>
      <c r="C751" s="7">
        <v>0</v>
      </c>
      <c r="D751" s="7">
        <v>1</v>
      </c>
      <c r="E751" s="20" t="str">
        <f t="shared" si="11"/>
        <v>01</v>
      </c>
      <c r="F751" s="21">
        <v>0.50359822383474995</v>
      </c>
      <c r="G751" s="4">
        <v>0.438</v>
      </c>
      <c r="H751" s="4">
        <v>0.33256351039261001</v>
      </c>
      <c r="I751" s="4">
        <v>0.96299999999999997</v>
      </c>
      <c r="J751" s="4">
        <v>0.96</v>
      </c>
      <c r="K751" s="5">
        <v>0</v>
      </c>
      <c r="L751" s="5">
        <v>0</v>
      </c>
      <c r="M751" s="5">
        <v>100</v>
      </c>
      <c r="N751" s="5">
        <v>100</v>
      </c>
      <c r="O751" s="2">
        <v>0.82553636860569091</v>
      </c>
      <c r="P751" s="2">
        <v>1.1009244284264883</v>
      </c>
      <c r="Q751" s="2">
        <v>3.7701867184011528E-2</v>
      </c>
      <c r="R751" s="2">
        <v>4.0821994520255166E-2</v>
      </c>
    </row>
    <row r="752" spans="1:18" x14ac:dyDescent="0.3">
      <c r="A752" s="7">
        <v>562</v>
      </c>
      <c r="B752" s="7">
        <v>191</v>
      </c>
      <c r="C752" s="7">
        <v>0</v>
      </c>
      <c r="D752" s="7">
        <v>1</v>
      </c>
      <c r="E752" s="20" t="str">
        <f t="shared" si="11"/>
        <v>01</v>
      </c>
      <c r="F752" s="21">
        <v>0.50478792033666597</v>
      </c>
      <c r="G752" s="4">
        <v>0.25700000000000001</v>
      </c>
      <c r="H752" s="4">
        <v>0.21458333333333299</v>
      </c>
      <c r="I752" s="4">
        <v>0.999</v>
      </c>
      <c r="J752" s="4">
        <v>0.999</v>
      </c>
      <c r="K752" s="5">
        <v>0</v>
      </c>
      <c r="L752" s="5">
        <v>0</v>
      </c>
      <c r="M752" s="5">
        <v>100</v>
      </c>
      <c r="N752" s="5">
        <v>100</v>
      </c>
      <c r="O752" s="2">
        <v>1.3586791940869172</v>
      </c>
      <c r="P752" s="2">
        <v>1.5390571156723025</v>
      </c>
      <c r="Q752" s="2">
        <v>1.0005003335835344E-3</v>
      </c>
      <c r="R752" s="2">
        <v>1.0005003335835344E-3</v>
      </c>
    </row>
    <row r="753" spans="1:18" x14ac:dyDescent="0.3">
      <c r="A753" s="7">
        <v>970</v>
      </c>
      <c r="B753" s="7">
        <v>214</v>
      </c>
      <c r="C753" s="7">
        <v>0</v>
      </c>
      <c r="D753" s="7">
        <v>1</v>
      </c>
      <c r="E753" s="20" t="str">
        <f t="shared" si="11"/>
        <v>01</v>
      </c>
      <c r="F753" s="21">
        <v>0.50497831697678397</v>
      </c>
      <c r="G753" s="4">
        <v>0.41299999999999998</v>
      </c>
      <c r="H753" s="4">
        <v>0.38429752066115702</v>
      </c>
      <c r="I753" s="4">
        <v>0.93600000000000005</v>
      </c>
      <c r="J753" s="4">
        <v>0.93300000000000005</v>
      </c>
      <c r="K753" s="5">
        <v>0</v>
      </c>
      <c r="L753" s="5">
        <v>0</v>
      </c>
      <c r="M753" s="5">
        <v>100</v>
      </c>
      <c r="N753" s="5">
        <v>100</v>
      </c>
      <c r="O753" s="2">
        <v>0.88430768602110432</v>
      </c>
      <c r="P753" s="2">
        <v>0.95633823300343046</v>
      </c>
      <c r="Q753" s="2">
        <v>6.6139802504544945E-2</v>
      </c>
      <c r="R753" s="2">
        <v>6.9350078134793172E-2</v>
      </c>
    </row>
    <row r="754" spans="1:18" x14ac:dyDescent="0.3">
      <c r="A754" s="7">
        <v>455</v>
      </c>
      <c r="B754" s="7">
        <v>217</v>
      </c>
      <c r="C754" s="7">
        <v>0</v>
      </c>
      <c r="D754" s="7">
        <v>1</v>
      </c>
      <c r="E754" s="20" t="str">
        <f t="shared" si="11"/>
        <v>01</v>
      </c>
      <c r="F754" s="21">
        <v>0.50741419903822504</v>
      </c>
      <c r="G754" s="4">
        <v>0.45800000000000002</v>
      </c>
      <c r="H754" s="4">
        <v>0.408675799086758</v>
      </c>
      <c r="I754" s="4">
        <v>0.96499999999999997</v>
      </c>
      <c r="J754" s="4">
        <v>0.96199999999999997</v>
      </c>
      <c r="K754" s="5">
        <v>0</v>
      </c>
      <c r="L754" s="5">
        <v>0</v>
      </c>
      <c r="M754" s="5">
        <v>100</v>
      </c>
      <c r="N754" s="5">
        <v>100</v>
      </c>
      <c r="O754" s="2">
        <v>0.78088609486795202</v>
      </c>
      <c r="P754" s="2">
        <v>0.89483310453569109</v>
      </c>
      <c r="Q754" s="2">
        <v>3.562717764315116E-2</v>
      </c>
      <c r="R754" s="2">
        <v>3.8740828316430595E-2</v>
      </c>
    </row>
    <row r="755" spans="1:18" x14ac:dyDescent="0.3">
      <c r="A755" s="7">
        <v>25</v>
      </c>
      <c r="B755" s="7">
        <v>200</v>
      </c>
      <c r="C755" s="7">
        <v>0</v>
      </c>
      <c r="D755" s="7">
        <v>1</v>
      </c>
      <c r="E755" s="20" t="str">
        <f t="shared" si="11"/>
        <v>01</v>
      </c>
      <c r="F755" s="21">
        <v>0.52043650295305399</v>
      </c>
      <c r="G755" s="4">
        <v>0.47099999999999997</v>
      </c>
      <c r="H755" s="4">
        <v>0.415011037527594</v>
      </c>
      <c r="I755" s="4">
        <v>0.95399999999999996</v>
      </c>
      <c r="J755" s="4">
        <v>0.96199999999999997</v>
      </c>
      <c r="K755" s="5">
        <v>0</v>
      </c>
      <c r="L755" s="5">
        <v>0</v>
      </c>
      <c r="M755" s="5">
        <v>100</v>
      </c>
      <c r="N755" s="5">
        <v>100</v>
      </c>
      <c r="O755" s="2">
        <v>0.75289718496571933</v>
      </c>
      <c r="P755" s="2">
        <v>0.8794501626530844</v>
      </c>
      <c r="Q755" s="2">
        <v>4.7091607533850569E-2</v>
      </c>
      <c r="R755" s="2">
        <v>3.8740828316430595E-2</v>
      </c>
    </row>
    <row r="756" spans="1:18" x14ac:dyDescent="0.3">
      <c r="A756" s="7">
        <v>813</v>
      </c>
      <c r="B756" s="7">
        <v>183</v>
      </c>
      <c r="C756" s="7">
        <v>0</v>
      </c>
      <c r="D756" s="7">
        <v>1</v>
      </c>
      <c r="E756" s="20" t="str">
        <f t="shared" si="11"/>
        <v>01</v>
      </c>
      <c r="F756" s="21">
        <v>0.52539816497538505</v>
      </c>
      <c r="G756" s="4">
        <v>0.58699999999999997</v>
      </c>
      <c r="H756" s="4">
        <v>0.52582159624413105</v>
      </c>
      <c r="I756" s="4">
        <v>0.95899999999999996</v>
      </c>
      <c r="J756" s="4">
        <v>0.95799999999999996</v>
      </c>
      <c r="K756" s="5">
        <v>100</v>
      </c>
      <c r="L756" s="5">
        <v>100</v>
      </c>
      <c r="M756" s="5">
        <v>100</v>
      </c>
      <c r="N756" s="5">
        <v>100</v>
      </c>
      <c r="O756" s="2">
        <v>0.53273045915404071</v>
      </c>
      <c r="P756" s="2">
        <v>0.64279329441433131</v>
      </c>
      <c r="Q756" s="2">
        <v>4.1864204098698871E-2</v>
      </c>
      <c r="R756" s="2">
        <v>4.290750101127655E-2</v>
      </c>
    </row>
    <row r="757" spans="1:18" x14ac:dyDescent="0.3">
      <c r="A757" s="7">
        <v>963</v>
      </c>
      <c r="B757" s="7">
        <v>207</v>
      </c>
      <c r="C757" s="7">
        <v>0</v>
      </c>
      <c r="D757" s="7">
        <v>1</v>
      </c>
      <c r="E757" s="20" t="str">
        <f t="shared" si="11"/>
        <v>01</v>
      </c>
      <c r="F757" s="21">
        <v>0.52677664154975901</v>
      </c>
      <c r="G757" s="4">
        <v>0.4</v>
      </c>
      <c r="H757" s="4">
        <v>0.34792122538293202</v>
      </c>
      <c r="I757" s="4">
        <v>0.95699999999999996</v>
      </c>
      <c r="J757" s="4">
        <v>0.96399999999999997</v>
      </c>
      <c r="K757" s="5">
        <v>0</v>
      </c>
      <c r="L757" s="5">
        <v>0</v>
      </c>
      <c r="M757" s="5">
        <v>100</v>
      </c>
      <c r="N757" s="5">
        <v>100</v>
      </c>
      <c r="O757" s="2">
        <v>0.916290731874155</v>
      </c>
      <c r="P757" s="2">
        <v>1.0557791886739736</v>
      </c>
      <c r="Q757" s="2">
        <v>4.3951887529182831E-2</v>
      </c>
      <c r="R757" s="2">
        <v>3.666398437159147E-2</v>
      </c>
    </row>
    <row r="758" spans="1:18" x14ac:dyDescent="0.3">
      <c r="A758" s="7">
        <v>565</v>
      </c>
      <c r="B758" s="7">
        <v>169</v>
      </c>
      <c r="C758" s="7">
        <v>0</v>
      </c>
      <c r="D758" s="7">
        <v>1</v>
      </c>
      <c r="E758" s="20" t="str">
        <f t="shared" si="11"/>
        <v>01</v>
      </c>
      <c r="F758" s="21">
        <v>0.54824460992777102</v>
      </c>
      <c r="G758" s="4">
        <v>0.32300000000000001</v>
      </c>
      <c r="H758" s="4">
        <v>0.24489795918367299</v>
      </c>
      <c r="I758" s="4">
        <v>0.52800000000000002</v>
      </c>
      <c r="J758" s="4">
        <v>0.52300000000000002</v>
      </c>
      <c r="K758" s="5">
        <v>0</v>
      </c>
      <c r="L758" s="5">
        <v>0</v>
      </c>
      <c r="M758" s="5">
        <v>100</v>
      </c>
      <c r="N758" s="5">
        <v>100</v>
      </c>
      <c r="O758" s="2">
        <v>1.1301029557594804</v>
      </c>
      <c r="P758" s="2">
        <v>1.4069136483226283</v>
      </c>
      <c r="Q758" s="2">
        <v>0.63865899527587555</v>
      </c>
      <c r="R758" s="2">
        <v>0.64817381491721415</v>
      </c>
    </row>
    <row r="759" spans="1:18" x14ac:dyDescent="0.3">
      <c r="A759" s="7">
        <v>530</v>
      </c>
      <c r="B759" s="7">
        <v>183</v>
      </c>
      <c r="C759" s="7">
        <v>0</v>
      </c>
      <c r="D759" s="7">
        <v>1</v>
      </c>
      <c r="E759" s="20" t="str">
        <f t="shared" si="11"/>
        <v>01</v>
      </c>
      <c r="F759" s="21">
        <v>0.55013025674348104</v>
      </c>
      <c r="G759" s="4">
        <v>0.72499999999999998</v>
      </c>
      <c r="H759" s="4">
        <v>0.46153846153846201</v>
      </c>
      <c r="I759" s="4">
        <v>0.996</v>
      </c>
      <c r="J759" s="4">
        <v>0.96899999999999997</v>
      </c>
      <c r="K759" s="5">
        <v>100</v>
      </c>
      <c r="L759" s="5">
        <v>0</v>
      </c>
      <c r="M759" s="5">
        <v>100</v>
      </c>
      <c r="N759" s="5">
        <v>100</v>
      </c>
      <c r="O759" s="2">
        <v>0.32158362412746233</v>
      </c>
      <c r="P759" s="2">
        <v>0.77318988823348067</v>
      </c>
      <c r="Q759" s="2">
        <v>4.0080213975388218E-3</v>
      </c>
      <c r="R759" s="2">
        <v>3.1490667091370848E-2</v>
      </c>
    </row>
    <row r="760" spans="1:18" x14ac:dyDescent="0.3">
      <c r="A760" s="7">
        <v>120</v>
      </c>
      <c r="B760" s="7">
        <v>196</v>
      </c>
      <c r="C760" s="7">
        <v>0</v>
      </c>
      <c r="D760" s="7">
        <v>1</v>
      </c>
      <c r="E760" s="20" t="str">
        <f t="shared" si="11"/>
        <v>01</v>
      </c>
      <c r="F760" s="21">
        <v>0.55279275170600495</v>
      </c>
      <c r="G760" s="4">
        <v>0.39800000000000002</v>
      </c>
      <c r="H760" s="4">
        <v>0.31639722863741299</v>
      </c>
      <c r="I760" s="4">
        <v>4.8000000000000001E-2</v>
      </c>
      <c r="J760" s="4">
        <v>5.8999999999999997E-2</v>
      </c>
      <c r="K760" s="5">
        <v>0</v>
      </c>
      <c r="L760" s="5">
        <v>0</v>
      </c>
      <c r="M760" s="5">
        <v>0</v>
      </c>
      <c r="N760" s="5">
        <v>0</v>
      </c>
      <c r="O760" s="2">
        <v>0.92130327369769927</v>
      </c>
      <c r="P760" s="2">
        <v>1.1507568021743662</v>
      </c>
      <c r="Q760" s="2">
        <v>3.0365542680742461</v>
      </c>
      <c r="R760" s="2">
        <v>2.8302178350764176</v>
      </c>
    </row>
    <row r="761" spans="1:18" x14ac:dyDescent="0.3">
      <c r="A761" s="7">
        <v>381</v>
      </c>
      <c r="B761" s="7">
        <v>184</v>
      </c>
      <c r="C761" s="7">
        <v>0</v>
      </c>
      <c r="D761" s="7">
        <v>1</v>
      </c>
      <c r="E761" s="20" t="str">
        <f t="shared" si="11"/>
        <v>01</v>
      </c>
      <c r="F761" s="21">
        <v>0.55356781337525696</v>
      </c>
      <c r="G761" s="4">
        <v>0.63900000000000001</v>
      </c>
      <c r="H761" s="4">
        <v>0.43843843843843799</v>
      </c>
      <c r="I761" s="4">
        <v>0.93799999999999994</v>
      </c>
      <c r="J761" s="4">
        <v>0.88600000000000001</v>
      </c>
      <c r="K761" s="5">
        <v>100</v>
      </c>
      <c r="L761" s="5">
        <v>0</v>
      </c>
      <c r="M761" s="5">
        <v>100</v>
      </c>
      <c r="N761" s="5">
        <v>100</v>
      </c>
      <c r="O761" s="2">
        <v>0.44785082460460224</v>
      </c>
      <c r="P761" s="2">
        <v>0.82453586827210845</v>
      </c>
      <c r="Q761" s="2">
        <v>6.4005329975912434E-2</v>
      </c>
      <c r="R761" s="2">
        <v>0.1210383283770561</v>
      </c>
    </row>
    <row r="762" spans="1:18" x14ac:dyDescent="0.3">
      <c r="A762" s="7">
        <v>980</v>
      </c>
      <c r="B762" s="7">
        <v>188</v>
      </c>
      <c r="C762" s="7">
        <v>0</v>
      </c>
      <c r="D762" s="7">
        <v>1</v>
      </c>
      <c r="E762" s="20" t="str">
        <f t="shared" si="11"/>
        <v>01</v>
      </c>
      <c r="F762" s="21">
        <v>0.56412255389646204</v>
      </c>
      <c r="G762" s="4">
        <v>0.222</v>
      </c>
      <c r="H762" s="4">
        <v>0.20250521920668099</v>
      </c>
      <c r="I762" s="4">
        <v>0.80200000000000005</v>
      </c>
      <c r="J762" s="4">
        <v>0.79100000000000004</v>
      </c>
      <c r="K762" s="5">
        <v>0</v>
      </c>
      <c r="L762" s="5">
        <v>0</v>
      </c>
      <c r="M762" s="5">
        <v>100</v>
      </c>
      <c r="N762" s="5">
        <v>100</v>
      </c>
      <c r="O762" s="2">
        <v>1.5050778971098575</v>
      </c>
      <c r="P762" s="2">
        <v>1.5969896189075303</v>
      </c>
      <c r="Q762" s="2">
        <v>0.2206466711156225</v>
      </c>
      <c r="R762" s="2">
        <v>0.23445731121448313</v>
      </c>
    </row>
    <row r="763" spans="1:18" x14ac:dyDescent="0.3">
      <c r="A763" s="7">
        <v>921</v>
      </c>
      <c r="B763" s="7">
        <v>210</v>
      </c>
      <c r="C763" s="7">
        <v>0</v>
      </c>
      <c r="D763" s="7">
        <v>1</v>
      </c>
      <c r="E763" s="20" t="str">
        <f t="shared" si="11"/>
        <v>01</v>
      </c>
      <c r="F763" s="21">
        <v>0.56554002007400195</v>
      </c>
      <c r="G763" s="4">
        <v>0.55700000000000005</v>
      </c>
      <c r="H763" s="4">
        <v>0.457274826789838</v>
      </c>
      <c r="I763" s="4">
        <v>0.97399999999999998</v>
      </c>
      <c r="J763" s="4">
        <v>0.95599999999999996</v>
      </c>
      <c r="K763" s="5">
        <v>100</v>
      </c>
      <c r="L763" s="5">
        <v>0</v>
      </c>
      <c r="M763" s="5">
        <v>100</v>
      </c>
      <c r="N763" s="5">
        <v>100</v>
      </c>
      <c r="O763" s="2">
        <v>0.5851900390548529</v>
      </c>
      <c r="P763" s="2">
        <v>0.78247069730795538</v>
      </c>
      <c r="Q763" s="2">
        <v>2.6343975339601977E-2</v>
      </c>
      <c r="R763" s="2">
        <v>4.4997365930735805E-2</v>
      </c>
    </row>
    <row r="764" spans="1:18" x14ac:dyDescent="0.3">
      <c r="A764" s="7">
        <v>334</v>
      </c>
      <c r="B764" s="7">
        <v>186</v>
      </c>
      <c r="C764" s="7">
        <v>0</v>
      </c>
      <c r="D764" s="7">
        <v>1</v>
      </c>
      <c r="E764" s="20" t="str">
        <f t="shared" si="11"/>
        <v>01</v>
      </c>
      <c r="F764" s="21">
        <v>0.57147408168305303</v>
      </c>
      <c r="G764" s="4">
        <v>0.433</v>
      </c>
      <c r="H764" s="4">
        <v>0.349425287356322</v>
      </c>
      <c r="I764" s="4">
        <v>0.97199999999999998</v>
      </c>
      <c r="J764" s="4">
        <v>0.96599999999999997</v>
      </c>
      <c r="K764" s="5">
        <v>0</v>
      </c>
      <c r="L764" s="5">
        <v>0</v>
      </c>
      <c r="M764" s="5">
        <v>100</v>
      </c>
      <c r="N764" s="5">
        <v>100</v>
      </c>
      <c r="O764" s="2">
        <v>0.83701755097964725</v>
      </c>
      <c r="P764" s="2">
        <v>1.0514655102424073</v>
      </c>
      <c r="Q764" s="2">
        <v>2.8399474521698002E-2</v>
      </c>
      <c r="R764" s="2">
        <v>3.459144476961909E-2</v>
      </c>
    </row>
    <row r="765" spans="1:18" x14ac:dyDescent="0.3">
      <c r="A765" s="7">
        <v>793</v>
      </c>
      <c r="B765" s="7">
        <v>194</v>
      </c>
      <c r="C765" s="7">
        <v>0</v>
      </c>
      <c r="D765" s="7">
        <v>1</v>
      </c>
      <c r="E765" s="20" t="str">
        <f t="shared" si="11"/>
        <v>01</v>
      </c>
      <c r="F765" s="21">
        <v>0.57485380562596999</v>
      </c>
      <c r="G765" s="4">
        <v>0.68100000000000005</v>
      </c>
      <c r="H765" s="4">
        <v>0.62373737373737403</v>
      </c>
      <c r="I765" s="4">
        <v>0.96</v>
      </c>
      <c r="J765" s="4">
        <v>0.93600000000000005</v>
      </c>
      <c r="K765" s="5">
        <v>100</v>
      </c>
      <c r="L765" s="5">
        <v>100</v>
      </c>
      <c r="M765" s="5">
        <v>100</v>
      </c>
      <c r="N765" s="5">
        <v>100</v>
      </c>
      <c r="O765" s="2">
        <v>0.3841929728326246</v>
      </c>
      <c r="P765" s="2">
        <v>0.47202587462650286</v>
      </c>
      <c r="Q765" s="2">
        <v>4.0821994520255166E-2</v>
      </c>
      <c r="R765" s="2">
        <v>6.6139802504544945E-2</v>
      </c>
    </row>
    <row r="766" spans="1:18" x14ac:dyDescent="0.3">
      <c r="A766" s="7">
        <v>17</v>
      </c>
      <c r="B766" s="7">
        <v>195</v>
      </c>
      <c r="C766" s="7">
        <v>0</v>
      </c>
      <c r="D766" s="7">
        <v>1</v>
      </c>
      <c r="E766" s="20" t="str">
        <f t="shared" si="11"/>
        <v>01</v>
      </c>
      <c r="F766" s="21">
        <v>0.57935385731432998</v>
      </c>
      <c r="G766" s="4">
        <v>0.32700000000000001</v>
      </c>
      <c r="H766" s="4">
        <v>0.25056947608200503</v>
      </c>
      <c r="I766" s="4">
        <v>0.57799999999999996</v>
      </c>
      <c r="J766" s="4">
        <v>0.54500000000000004</v>
      </c>
      <c r="K766" s="5">
        <v>0</v>
      </c>
      <c r="L766" s="5">
        <v>0</v>
      </c>
      <c r="M766" s="5">
        <v>100</v>
      </c>
      <c r="N766" s="5">
        <v>100</v>
      </c>
      <c r="O766" s="2">
        <v>1.1177951080848836</v>
      </c>
      <c r="P766" s="2">
        <v>1.3840190472827532</v>
      </c>
      <c r="Q766" s="2">
        <v>0.54818141030975964</v>
      </c>
      <c r="R766" s="2">
        <v>0.60696948431889286</v>
      </c>
    </row>
    <row r="767" spans="1:18" x14ac:dyDescent="0.3">
      <c r="A767" s="7">
        <v>357</v>
      </c>
      <c r="B767" s="7">
        <v>185</v>
      </c>
      <c r="C767" s="7">
        <v>0</v>
      </c>
      <c r="D767" s="7">
        <v>1</v>
      </c>
      <c r="E767" s="20" t="str">
        <f t="shared" si="11"/>
        <v>01</v>
      </c>
      <c r="F767" s="21">
        <v>0.581040516098978</v>
      </c>
      <c r="G767" s="4">
        <v>0.54200000000000004</v>
      </c>
      <c r="H767" s="4">
        <v>0.510112359550562</v>
      </c>
      <c r="I767" s="4">
        <v>0.96899999999999997</v>
      </c>
      <c r="J767" s="4">
        <v>0.96199999999999997</v>
      </c>
      <c r="K767" s="5">
        <v>100</v>
      </c>
      <c r="L767" s="5">
        <v>100</v>
      </c>
      <c r="M767" s="5">
        <v>100</v>
      </c>
      <c r="N767" s="5">
        <v>100</v>
      </c>
      <c r="O767" s="2">
        <v>0.61248927754249083</v>
      </c>
      <c r="P767" s="2">
        <v>0.6731242646848371</v>
      </c>
      <c r="Q767" s="2">
        <v>3.1490667091370848E-2</v>
      </c>
      <c r="R767" s="2">
        <v>3.8740828316430595E-2</v>
      </c>
    </row>
    <row r="768" spans="1:18" x14ac:dyDescent="0.3">
      <c r="A768" s="7">
        <v>292</v>
      </c>
      <c r="B768" s="7">
        <v>168</v>
      </c>
      <c r="C768" s="7">
        <v>0</v>
      </c>
      <c r="D768" s="7">
        <v>1</v>
      </c>
      <c r="E768" s="20" t="str">
        <f t="shared" si="11"/>
        <v>01</v>
      </c>
      <c r="F768" s="21">
        <v>0.58749316821308195</v>
      </c>
      <c r="G768" s="4">
        <v>0.317</v>
      </c>
      <c r="H768" s="4">
        <v>0.256465517241379</v>
      </c>
      <c r="I768" s="4">
        <v>0.99099999999999999</v>
      </c>
      <c r="J768" s="4">
        <v>0.95899999999999996</v>
      </c>
      <c r="K768" s="5">
        <v>0</v>
      </c>
      <c r="L768" s="5">
        <v>0</v>
      </c>
      <c r="M768" s="5">
        <v>100</v>
      </c>
      <c r="N768" s="5">
        <v>100</v>
      </c>
      <c r="O768" s="2">
        <v>1.1488535051048565</v>
      </c>
      <c r="P768" s="2">
        <v>1.360761059114727</v>
      </c>
      <c r="Q768" s="2">
        <v>9.0407446521490707E-3</v>
      </c>
      <c r="R768" s="2">
        <v>4.1864204098698871E-2</v>
      </c>
    </row>
    <row r="769" spans="1:18" x14ac:dyDescent="0.3">
      <c r="A769" s="7">
        <v>647</v>
      </c>
      <c r="B769" s="7">
        <v>441</v>
      </c>
      <c r="C769" s="7">
        <v>0</v>
      </c>
      <c r="D769" s="7">
        <v>1</v>
      </c>
      <c r="E769" s="20" t="str">
        <f t="shared" si="11"/>
        <v>01</v>
      </c>
      <c r="F769" s="21">
        <v>0.589272828121712</v>
      </c>
      <c r="G769" s="4">
        <v>0.33</v>
      </c>
      <c r="H769" s="4">
        <v>0.26096491228070201</v>
      </c>
      <c r="I769" s="4">
        <v>0.95299999999999996</v>
      </c>
      <c r="J769" s="4">
        <v>0.94299999999999995</v>
      </c>
      <c r="K769" s="5">
        <v>0</v>
      </c>
      <c r="L769" s="5">
        <v>0</v>
      </c>
      <c r="M769" s="5">
        <v>100</v>
      </c>
      <c r="N769" s="5">
        <v>100</v>
      </c>
      <c r="O769" s="2">
        <v>1.1086626245216111</v>
      </c>
      <c r="P769" s="2">
        <v>1.3433693164028557</v>
      </c>
      <c r="Q769" s="2">
        <v>4.8140375327934984E-2</v>
      </c>
      <c r="R769" s="2">
        <v>5.8688996348679613E-2</v>
      </c>
    </row>
    <row r="770" spans="1:18" x14ac:dyDescent="0.3">
      <c r="A770" s="7">
        <v>781</v>
      </c>
      <c r="B770" s="7">
        <v>195</v>
      </c>
      <c r="C770" s="7">
        <v>0</v>
      </c>
      <c r="D770" s="7">
        <v>1</v>
      </c>
      <c r="E770" s="20" t="str">
        <f t="shared" ref="E770:E833" si="12">_xlfn.CONCAT(C770,D770)</f>
        <v>01</v>
      </c>
      <c r="F770" s="21">
        <v>0.589868666079302</v>
      </c>
      <c r="G770" s="4">
        <v>0.30599999999999999</v>
      </c>
      <c r="H770" s="4">
        <v>0.26451612903225802</v>
      </c>
      <c r="I770" s="4">
        <v>4.4999999999999998E-2</v>
      </c>
      <c r="J770" s="4">
        <v>5.6000000000000001E-2</v>
      </c>
      <c r="K770" s="5">
        <v>0</v>
      </c>
      <c r="L770" s="5">
        <v>0</v>
      </c>
      <c r="M770" s="5">
        <v>0</v>
      </c>
      <c r="N770" s="5">
        <v>0</v>
      </c>
      <c r="O770" s="2">
        <v>1.1841701770297564</v>
      </c>
      <c r="P770" s="2">
        <v>1.329853050214939</v>
      </c>
      <c r="Q770" s="2">
        <v>3.1010927892118172</v>
      </c>
      <c r="R770" s="2">
        <v>2.8824035882469876</v>
      </c>
    </row>
    <row r="771" spans="1:18" x14ac:dyDescent="0.3">
      <c r="A771" s="7">
        <v>923</v>
      </c>
      <c r="B771" s="7">
        <v>175</v>
      </c>
      <c r="C771" s="7">
        <v>0</v>
      </c>
      <c r="D771" s="7">
        <v>1</v>
      </c>
      <c r="E771" s="20" t="str">
        <f t="shared" si="12"/>
        <v>01</v>
      </c>
      <c r="F771" s="21">
        <v>0.593488178366125</v>
      </c>
      <c r="G771" s="4">
        <v>0.64900000000000002</v>
      </c>
      <c r="H771" s="4">
        <v>0.52506596306068598</v>
      </c>
      <c r="I771" s="4">
        <v>0.93500000000000005</v>
      </c>
      <c r="J771" s="4">
        <v>0.90600000000000003</v>
      </c>
      <c r="K771" s="5">
        <v>100</v>
      </c>
      <c r="L771" s="5">
        <v>100</v>
      </c>
      <c r="M771" s="5">
        <v>100</v>
      </c>
      <c r="N771" s="5">
        <v>100</v>
      </c>
      <c r="O771" s="2">
        <v>0.43232256227804705</v>
      </c>
      <c r="P771" s="2">
        <v>0.64423138035793404</v>
      </c>
      <c r="Q771" s="2">
        <v>6.720874969344999E-2</v>
      </c>
      <c r="R771" s="2">
        <v>9.8715972939157695E-2</v>
      </c>
    </row>
    <row r="772" spans="1:18" x14ac:dyDescent="0.3">
      <c r="A772" s="7">
        <v>40</v>
      </c>
      <c r="B772" s="7">
        <v>192</v>
      </c>
      <c r="C772" s="7">
        <v>0</v>
      </c>
      <c r="D772" s="7">
        <v>1</v>
      </c>
      <c r="E772" s="20" t="str">
        <f t="shared" si="12"/>
        <v>01</v>
      </c>
      <c r="F772" s="21">
        <v>0.60758677660766003</v>
      </c>
      <c r="G772" s="4">
        <v>0.34899999999999998</v>
      </c>
      <c r="H772" s="4">
        <v>0.31441048034934499</v>
      </c>
      <c r="I772" s="4">
        <v>0.96</v>
      </c>
      <c r="J772" s="4">
        <v>0.94499999999999995</v>
      </c>
      <c r="K772" s="5">
        <v>0</v>
      </c>
      <c r="L772" s="5">
        <v>0</v>
      </c>
      <c r="M772" s="5">
        <v>100</v>
      </c>
      <c r="N772" s="5">
        <v>100</v>
      </c>
      <c r="O772" s="2">
        <v>1.05268335677971</v>
      </c>
      <c r="P772" s="2">
        <v>1.1570558845381842</v>
      </c>
      <c r="Q772" s="2">
        <v>4.0821994520255166E-2</v>
      </c>
      <c r="R772" s="2">
        <v>5.6570351488394351E-2</v>
      </c>
    </row>
    <row r="773" spans="1:18" x14ac:dyDescent="0.3">
      <c r="A773" s="7">
        <v>264</v>
      </c>
      <c r="B773" s="7">
        <v>172</v>
      </c>
      <c r="C773" s="7">
        <v>0</v>
      </c>
      <c r="D773" s="7">
        <v>1</v>
      </c>
      <c r="E773" s="20" t="str">
        <f t="shared" si="12"/>
        <v>01</v>
      </c>
      <c r="F773" s="21">
        <v>0.61149089522218103</v>
      </c>
      <c r="G773" s="4">
        <v>0.318</v>
      </c>
      <c r="H773" s="4">
        <v>0.28509719222462199</v>
      </c>
      <c r="I773" s="4">
        <v>0.92100000000000004</v>
      </c>
      <c r="J773" s="4">
        <v>0.90700000000000003</v>
      </c>
      <c r="K773" s="5">
        <v>0</v>
      </c>
      <c r="L773" s="5">
        <v>0</v>
      </c>
      <c r="M773" s="5">
        <v>100</v>
      </c>
      <c r="N773" s="5">
        <v>100</v>
      </c>
      <c r="O773" s="2">
        <v>1.1457038962019601</v>
      </c>
      <c r="P773" s="2">
        <v>1.2549251314998633</v>
      </c>
      <c r="Q773" s="2">
        <v>8.2295242726830156E-2</v>
      </c>
      <c r="R773" s="2">
        <v>9.7612828867000415E-2</v>
      </c>
    </row>
    <row r="774" spans="1:18" x14ac:dyDescent="0.3">
      <c r="A774" s="7">
        <v>190</v>
      </c>
      <c r="B774" s="7">
        <v>203</v>
      </c>
      <c r="C774" s="7">
        <v>0</v>
      </c>
      <c r="D774" s="7">
        <v>1</v>
      </c>
      <c r="E774" s="20" t="str">
        <f t="shared" si="12"/>
        <v>01</v>
      </c>
      <c r="F774" s="21">
        <v>0.61334147002863904</v>
      </c>
      <c r="G774" s="4">
        <v>0.46800000000000003</v>
      </c>
      <c r="H774" s="4">
        <v>0.39696312364425201</v>
      </c>
      <c r="I774" s="4">
        <v>0.94699999999999995</v>
      </c>
      <c r="J774" s="4">
        <v>0.94599999999999995</v>
      </c>
      <c r="K774" s="5">
        <v>0</v>
      </c>
      <c r="L774" s="5">
        <v>0</v>
      </c>
      <c r="M774" s="5">
        <v>100</v>
      </c>
      <c r="N774" s="5">
        <v>100</v>
      </c>
      <c r="O774" s="2">
        <v>0.75928698306449027</v>
      </c>
      <c r="P774" s="2">
        <v>0.92391189015522657</v>
      </c>
      <c r="Q774" s="2">
        <v>5.4456185796058855E-2</v>
      </c>
      <c r="R774" s="2">
        <v>5.5512709930258829E-2</v>
      </c>
    </row>
    <row r="775" spans="1:18" x14ac:dyDescent="0.3">
      <c r="A775" s="7">
        <v>138</v>
      </c>
      <c r="B775" s="7">
        <v>171</v>
      </c>
      <c r="C775" s="7">
        <v>0</v>
      </c>
      <c r="D775" s="7">
        <v>1</v>
      </c>
      <c r="E775" s="20" t="str">
        <f t="shared" si="12"/>
        <v>01</v>
      </c>
      <c r="F775" s="21">
        <v>0.61451637304899498</v>
      </c>
      <c r="G775" s="4">
        <v>0.24</v>
      </c>
      <c r="H775" s="4">
        <v>0.13839285714285701</v>
      </c>
      <c r="I775" s="4">
        <v>0.96399999999999997</v>
      </c>
      <c r="J775" s="4">
        <v>0.95299999999999996</v>
      </c>
      <c r="K775" s="5">
        <v>0</v>
      </c>
      <c r="L775" s="5">
        <v>0</v>
      </c>
      <c r="M775" s="5">
        <v>100</v>
      </c>
      <c r="N775" s="5">
        <v>100</v>
      </c>
      <c r="O775" s="2">
        <v>1.4271163556401458</v>
      </c>
      <c r="P775" s="2">
        <v>1.9776588473698946</v>
      </c>
      <c r="Q775" s="2">
        <v>3.666398437159147E-2</v>
      </c>
      <c r="R775" s="2">
        <v>4.8140375327934984E-2</v>
      </c>
    </row>
    <row r="776" spans="1:18" x14ac:dyDescent="0.3">
      <c r="A776" s="7">
        <v>605</v>
      </c>
      <c r="B776" s="7">
        <v>178</v>
      </c>
      <c r="C776" s="7">
        <v>0</v>
      </c>
      <c r="D776" s="7">
        <v>1</v>
      </c>
      <c r="E776" s="20" t="str">
        <f t="shared" si="12"/>
        <v>01</v>
      </c>
      <c r="F776" s="21">
        <v>0.62210666069986098</v>
      </c>
      <c r="G776" s="4">
        <v>0.28100000000000003</v>
      </c>
      <c r="H776" s="4">
        <v>0.240780911062907</v>
      </c>
      <c r="I776" s="4">
        <v>6.3E-2</v>
      </c>
      <c r="J776" s="4">
        <v>6.6000000000000003E-2</v>
      </c>
      <c r="K776" s="5">
        <v>0</v>
      </c>
      <c r="L776" s="5">
        <v>0</v>
      </c>
      <c r="M776" s="5">
        <v>0</v>
      </c>
      <c r="N776" s="5">
        <v>0</v>
      </c>
      <c r="O776" s="2">
        <v>1.2694006096483912</v>
      </c>
      <c r="P776" s="2">
        <v>1.4238678416843134</v>
      </c>
      <c r="Q776" s="2">
        <v>2.7646205525906042</v>
      </c>
      <c r="R776" s="2">
        <v>2.7181005369557116</v>
      </c>
    </row>
    <row r="777" spans="1:18" x14ac:dyDescent="0.3">
      <c r="A777" s="7">
        <v>713</v>
      </c>
      <c r="B777" s="7">
        <v>182</v>
      </c>
      <c r="C777" s="7">
        <v>0</v>
      </c>
      <c r="D777" s="7">
        <v>1</v>
      </c>
      <c r="E777" s="20" t="str">
        <f t="shared" si="12"/>
        <v>01</v>
      </c>
      <c r="F777" s="21">
        <v>0.62830465529185697</v>
      </c>
      <c r="G777" s="4">
        <v>0.71299999999999997</v>
      </c>
      <c r="H777" s="4">
        <v>0.52395209580838298</v>
      </c>
      <c r="I777" s="4">
        <v>0.97399999999999998</v>
      </c>
      <c r="J777" s="4">
        <v>0.95199999999999996</v>
      </c>
      <c r="K777" s="5">
        <v>100</v>
      </c>
      <c r="L777" s="5">
        <v>100</v>
      </c>
      <c r="M777" s="5">
        <v>100</v>
      </c>
      <c r="N777" s="5">
        <v>100</v>
      </c>
      <c r="O777" s="2">
        <v>0.33827385856784115</v>
      </c>
      <c r="P777" s="2">
        <v>0.64635501905318682</v>
      </c>
      <c r="Q777" s="2">
        <v>2.6343975339601977E-2</v>
      </c>
      <c r="R777" s="2">
        <v>4.9190244190771781E-2</v>
      </c>
    </row>
    <row r="778" spans="1:18" x14ac:dyDescent="0.3">
      <c r="A778" s="7">
        <v>876</v>
      </c>
      <c r="B778" s="7">
        <v>175</v>
      </c>
      <c r="C778" s="7">
        <v>0</v>
      </c>
      <c r="D778" s="7">
        <v>1</v>
      </c>
      <c r="E778" s="20" t="str">
        <f t="shared" si="12"/>
        <v>01</v>
      </c>
      <c r="F778" s="21">
        <v>0.631262858662194</v>
      </c>
      <c r="G778" s="4">
        <v>0.28799999999999998</v>
      </c>
      <c r="H778" s="4">
        <v>0.22413793103448301</v>
      </c>
      <c r="I778" s="4">
        <v>5.5E-2</v>
      </c>
      <c r="J778" s="4">
        <v>5.0999999999999997E-2</v>
      </c>
      <c r="K778" s="5">
        <v>0</v>
      </c>
      <c r="L778" s="5">
        <v>0</v>
      </c>
      <c r="M778" s="5">
        <v>0</v>
      </c>
      <c r="N778" s="5">
        <v>0</v>
      </c>
      <c r="O778" s="2">
        <v>1.2447947988461912</v>
      </c>
      <c r="P778" s="2">
        <v>1.4954936530848815</v>
      </c>
      <c r="Q778" s="2">
        <v>2.9004220937496661</v>
      </c>
      <c r="R778" s="2">
        <v>2.9759296462578115</v>
      </c>
    </row>
    <row r="779" spans="1:18" x14ac:dyDescent="0.3">
      <c r="A779" s="7">
        <v>166</v>
      </c>
      <c r="B779" s="7">
        <v>169</v>
      </c>
      <c r="C779" s="7">
        <v>0</v>
      </c>
      <c r="D779" s="7">
        <v>1</v>
      </c>
      <c r="E779" s="20" t="str">
        <f t="shared" si="12"/>
        <v>01</v>
      </c>
      <c r="F779" s="21">
        <v>0.64747505705425601</v>
      </c>
      <c r="G779" s="4">
        <v>0.51900000000000002</v>
      </c>
      <c r="H779" s="4">
        <v>0.35416666666666702</v>
      </c>
      <c r="I779" s="4">
        <v>0.99</v>
      </c>
      <c r="J779" s="4">
        <v>0.95099999999999996</v>
      </c>
      <c r="K779" s="5">
        <v>100</v>
      </c>
      <c r="L779" s="5">
        <v>0</v>
      </c>
      <c r="M779" s="5">
        <v>100</v>
      </c>
      <c r="N779" s="5">
        <v>100</v>
      </c>
      <c r="O779" s="2">
        <v>0.65585139581624841</v>
      </c>
      <c r="P779" s="2">
        <v>1.0379876668516739</v>
      </c>
      <c r="Q779" s="2">
        <v>1.0050335853501451E-2</v>
      </c>
      <c r="R779" s="2">
        <v>5.024121643674679E-2</v>
      </c>
    </row>
    <row r="780" spans="1:18" x14ac:dyDescent="0.3">
      <c r="A780" s="7">
        <v>566</v>
      </c>
      <c r="B780" s="7">
        <v>181</v>
      </c>
      <c r="C780" s="7">
        <v>0</v>
      </c>
      <c r="D780" s="7">
        <v>1</v>
      </c>
      <c r="E780" s="20" t="str">
        <f t="shared" si="12"/>
        <v>01</v>
      </c>
      <c r="F780" s="21">
        <v>0.66698994838785297</v>
      </c>
      <c r="G780" s="4">
        <v>0.40300000000000002</v>
      </c>
      <c r="H780" s="4">
        <v>0.359743040685225</v>
      </c>
      <c r="I780" s="4">
        <v>0.89200000000000002</v>
      </c>
      <c r="J780" s="4">
        <v>0.92700000000000005</v>
      </c>
      <c r="K780" s="5">
        <v>0</v>
      </c>
      <c r="L780" s="5">
        <v>0</v>
      </c>
      <c r="M780" s="5">
        <v>100</v>
      </c>
      <c r="N780" s="5">
        <v>100</v>
      </c>
      <c r="O780" s="2">
        <v>0.90881871703545403</v>
      </c>
      <c r="P780" s="2">
        <v>1.0223652782656378</v>
      </c>
      <c r="Q780" s="2">
        <v>0.11428914640212766</v>
      </c>
      <c r="R780" s="2">
        <v>7.5801713416281849E-2</v>
      </c>
    </row>
    <row r="781" spans="1:18" x14ac:dyDescent="0.3">
      <c r="A781" s="7">
        <v>912</v>
      </c>
      <c r="B781" s="7">
        <v>160</v>
      </c>
      <c r="C781" s="7">
        <v>0</v>
      </c>
      <c r="D781" s="7">
        <v>1</v>
      </c>
      <c r="E781" s="20" t="str">
        <f t="shared" si="12"/>
        <v>01</v>
      </c>
      <c r="F781" s="21">
        <v>0.68963179408603204</v>
      </c>
      <c r="G781" s="4">
        <v>0.53200000000000003</v>
      </c>
      <c r="H781" s="4">
        <v>0.34636871508379902</v>
      </c>
      <c r="I781" s="4">
        <v>0.98399999999999999</v>
      </c>
      <c r="J781" s="4">
        <v>0.96</v>
      </c>
      <c r="K781" s="5">
        <v>100</v>
      </c>
      <c r="L781" s="5">
        <v>0</v>
      </c>
      <c r="M781" s="5">
        <v>100</v>
      </c>
      <c r="N781" s="5">
        <v>100</v>
      </c>
      <c r="O781" s="2">
        <v>0.63111178964049264</v>
      </c>
      <c r="P781" s="2">
        <v>1.060251420795663</v>
      </c>
      <c r="Q781" s="2">
        <v>1.6129381929883644E-2</v>
      </c>
      <c r="R781" s="2">
        <v>4.0821994520255166E-2</v>
      </c>
    </row>
    <row r="782" spans="1:18" x14ac:dyDescent="0.3">
      <c r="A782" s="7">
        <v>884</v>
      </c>
      <c r="B782" s="7">
        <v>349</v>
      </c>
      <c r="C782" s="7">
        <v>0</v>
      </c>
      <c r="D782" s="7">
        <v>1</v>
      </c>
      <c r="E782" s="20" t="str">
        <f t="shared" si="12"/>
        <v>01</v>
      </c>
      <c r="F782" s="21">
        <v>0.70721156530820195</v>
      </c>
      <c r="G782" s="4">
        <v>0.68300000000000005</v>
      </c>
      <c r="H782" s="4">
        <v>0.58774373259052903</v>
      </c>
      <c r="I782" s="4">
        <v>0.39700000000000002</v>
      </c>
      <c r="J782" s="4">
        <v>0.34399999999999997</v>
      </c>
      <c r="K782" s="5">
        <v>100</v>
      </c>
      <c r="L782" s="5">
        <v>100</v>
      </c>
      <c r="M782" s="5">
        <v>0</v>
      </c>
      <c r="N782" s="5">
        <v>0</v>
      </c>
      <c r="O782" s="2">
        <v>0.38126041941134692</v>
      </c>
      <c r="P782" s="2">
        <v>0.53146425501221273</v>
      </c>
      <c r="Q782" s="2">
        <v>0.92381899829494663</v>
      </c>
      <c r="R782" s="2">
        <v>1.0671136216087387</v>
      </c>
    </row>
    <row r="783" spans="1:18" x14ac:dyDescent="0.3">
      <c r="A783" s="7">
        <v>129</v>
      </c>
      <c r="B783" s="7">
        <v>150</v>
      </c>
      <c r="C783" s="7">
        <v>0</v>
      </c>
      <c r="D783" s="7">
        <v>1</v>
      </c>
      <c r="E783" s="20" t="str">
        <f t="shared" si="12"/>
        <v>01</v>
      </c>
      <c r="F783" s="21">
        <v>0.72179113275770501</v>
      </c>
      <c r="G783" s="4">
        <v>0.48299999999999998</v>
      </c>
      <c r="H783" s="4">
        <v>0.447084233261339</v>
      </c>
      <c r="I783" s="4">
        <v>0.94299999999999995</v>
      </c>
      <c r="J783" s="4">
        <v>0.94199999999999995</v>
      </c>
      <c r="K783" s="5">
        <v>0</v>
      </c>
      <c r="L783" s="5">
        <v>0</v>
      </c>
      <c r="M783" s="5">
        <v>100</v>
      </c>
      <c r="N783" s="5">
        <v>100</v>
      </c>
      <c r="O783" s="2">
        <v>0.72773862532956435</v>
      </c>
      <c r="P783" s="2">
        <v>0.80500826082086518</v>
      </c>
      <c r="Q783" s="2">
        <v>5.8688996348679613E-2</v>
      </c>
      <c r="R783" s="2">
        <v>5.9750004405774049E-2</v>
      </c>
    </row>
    <row r="784" spans="1:18" x14ac:dyDescent="0.3">
      <c r="A784" s="7">
        <v>917</v>
      </c>
      <c r="B784" s="7">
        <v>155</v>
      </c>
      <c r="C784" s="7">
        <v>0</v>
      </c>
      <c r="D784" s="7">
        <v>1</v>
      </c>
      <c r="E784" s="20" t="str">
        <f t="shared" si="12"/>
        <v>01</v>
      </c>
      <c r="F784" s="21">
        <v>0.72827963542316698</v>
      </c>
      <c r="G784" s="4">
        <v>0.69499999999999995</v>
      </c>
      <c r="H784" s="4">
        <v>0.56267409470752106</v>
      </c>
      <c r="I784" s="4">
        <v>0.96899999999999997</v>
      </c>
      <c r="J784" s="4">
        <v>0.92800000000000005</v>
      </c>
      <c r="K784" s="5">
        <v>100</v>
      </c>
      <c r="L784" s="5">
        <v>100</v>
      </c>
      <c r="M784" s="5">
        <v>100</v>
      </c>
      <c r="N784" s="5">
        <v>100</v>
      </c>
      <c r="O784" s="2">
        <v>0.36384343341734499</v>
      </c>
      <c r="P784" s="2">
        <v>0.57505469108707385</v>
      </c>
      <c r="Q784" s="2">
        <v>3.1490667091370848E-2</v>
      </c>
      <c r="R784" s="2">
        <v>7.4723546195936422E-2</v>
      </c>
    </row>
    <row r="785" spans="1:18" x14ac:dyDescent="0.3">
      <c r="A785" s="7">
        <v>143</v>
      </c>
      <c r="B785" s="7">
        <v>135</v>
      </c>
      <c r="C785" s="7">
        <v>0</v>
      </c>
      <c r="D785" s="7">
        <v>1</v>
      </c>
      <c r="E785" s="20" t="str">
        <f t="shared" si="12"/>
        <v>01</v>
      </c>
      <c r="F785" s="21">
        <v>0.74375341171046705</v>
      </c>
      <c r="G785" s="4">
        <v>0.34</v>
      </c>
      <c r="H785" s="4">
        <v>0.31567796610169502</v>
      </c>
      <c r="I785" s="4">
        <v>0.93700000000000006</v>
      </c>
      <c r="J785" s="4">
        <v>0.92300000000000004</v>
      </c>
      <c r="K785" s="5">
        <v>0</v>
      </c>
      <c r="L785" s="5">
        <v>0</v>
      </c>
      <c r="M785" s="5">
        <v>100</v>
      </c>
      <c r="N785" s="5">
        <v>100</v>
      </c>
      <c r="O785" s="2">
        <v>1.0788096613719298</v>
      </c>
      <c r="P785" s="2">
        <v>1.1530326796400958</v>
      </c>
      <c r="Q785" s="2">
        <v>6.5071996743714805E-2</v>
      </c>
      <c r="R785" s="2">
        <v>8.0126044479284855E-2</v>
      </c>
    </row>
    <row r="786" spans="1:18" x14ac:dyDescent="0.3">
      <c r="A786" s="7">
        <v>82</v>
      </c>
      <c r="B786" s="7">
        <v>134</v>
      </c>
      <c r="C786" s="7">
        <v>0</v>
      </c>
      <c r="D786" s="7">
        <v>1</v>
      </c>
      <c r="E786" s="20" t="str">
        <f t="shared" si="12"/>
        <v>01</v>
      </c>
      <c r="F786" s="21">
        <v>0.744952195889935</v>
      </c>
      <c r="G786" s="4">
        <v>0.72</v>
      </c>
      <c r="H786" s="4">
        <v>0.65639810426540302</v>
      </c>
      <c r="I786" s="4">
        <v>0.96599999999999997</v>
      </c>
      <c r="J786" s="4">
        <v>0.93799999999999994</v>
      </c>
      <c r="K786" s="5">
        <v>100</v>
      </c>
      <c r="L786" s="5">
        <v>100</v>
      </c>
      <c r="M786" s="5">
        <v>100</v>
      </c>
      <c r="N786" s="5">
        <v>100</v>
      </c>
      <c r="O786" s="2">
        <v>0.3285040669720361</v>
      </c>
      <c r="P786" s="2">
        <v>0.42098780784867307</v>
      </c>
      <c r="Q786" s="2">
        <v>3.459144476961909E-2</v>
      </c>
      <c r="R786" s="2">
        <v>6.4005329975912434E-2</v>
      </c>
    </row>
    <row r="787" spans="1:18" x14ac:dyDescent="0.3">
      <c r="A787" s="7">
        <v>539</v>
      </c>
      <c r="B787" s="7">
        <v>253</v>
      </c>
      <c r="C787" s="7">
        <v>0</v>
      </c>
      <c r="D787" s="7">
        <v>1</v>
      </c>
      <c r="E787" s="20" t="str">
        <f t="shared" si="12"/>
        <v>01</v>
      </c>
      <c r="F787" s="21">
        <v>0.74507946245259404</v>
      </c>
      <c r="G787" s="4">
        <v>0.47899999999999998</v>
      </c>
      <c r="H787" s="4">
        <v>0.35532994923857902</v>
      </c>
      <c r="I787" s="4">
        <v>0.96099999999999997</v>
      </c>
      <c r="J787" s="4">
        <v>0.91900000000000004</v>
      </c>
      <c r="K787" s="5">
        <v>0</v>
      </c>
      <c r="L787" s="5">
        <v>0</v>
      </c>
      <c r="M787" s="5">
        <v>100</v>
      </c>
      <c r="N787" s="5">
        <v>100</v>
      </c>
      <c r="O787" s="2">
        <v>0.73605468157122189</v>
      </c>
      <c r="P787" s="2">
        <v>1.0347084866886285</v>
      </c>
      <c r="Q787" s="2">
        <v>3.9780870011844598E-2</v>
      </c>
      <c r="R787" s="2">
        <v>8.4469156626449965E-2</v>
      </c>
    </row>
    <row r="788" spans="1:18" x14ac:dyDescent="0.3">
      <c r="A788" s="7">
        <v>261</v>
      </c>
      <c r="B788" s="7">
        <v>122</v>
      </c>
      <c r="C788" s="7">
        <v>0</v>
      </c>
      <c r="D788" s="7">
        <v>1</v>
      </c>
      <c r="E788" s="20" t="str">
        <f t="shared" si="12"/>
        <v>01</v>
      </c>
      <c r="F788" s="21">
        <v>0.74620038688583001</v>
      </c>
      <c r="G788" s="4">
        <v>0.42799999999999999</v>
      </c>
      <c r="H788" s="4">
        <v>0.36521739130434799</v>
      </c>
      <c r="I788" s="4">
        <v>0.97899999999999998</v>
      </c>
      <c r="J788" s="4">
        <v>0.93700000000000006</v>
      </c>
      <c r="K788" s="5">
        <v>0</v>
      </c>
      <c r="L788" s="5">
        <v>0</v>
      </c>
      <c r="M788" s="5">
        <v>100</v>
      </c>
      <c r="N788" s="5">
        <v>100</v>
      </c>
      <c r="O788" s="2">
        <v>0.84863208340034024</v>
      </c>
      <c r="P788" s="2">
        <v>1.0072625100798813</v>
      </c>
      <c r="Q788" s="2">
        <v>2.1223636451626688E-2</v>
      </c>
      <c r="R788" s="2">
        <v>6.5071996743714805E-2</v>
      </c>
    </row>
    <row r="789" spans="1:18" x14ac:dyDescent="0.3">
      <c r="A789" s="7">
        <v>744</v>
      </c>
      <c r="B789" s="7">
        <v>118</v>
      </c>
      <c r="C789" s="7">
        <v>0</v>
      </c>
      <c r="D789" s="7">
        <v>1</v>
      </c>
      <c r="E789" s="20" t="str">
        <f t="shared" si="12"/>
        <v>01</v>
      </c>
      <c r="F789" s="21">
        <v>0.756173340227141</v>
      </c>
      <c r="G789" s="4">
        <v>0.39300000000000002</v>
      </c>
      <c r="H789" s="4">
        <v>0.32314410480349298</v>
      </c>
      <c r="I789" s="4">
        <v>0.94</v>
      </c>
      <c r="J789" s="4">
        <v>0.94599999999999995</v>
      </c>
      <c r="K789" s="5">
        <v>0</v>
      </c>
      <c r="L789" s="5">
        <v>0</v>
      </c>
      <c r="M789" s="5">
        <v>100</v>
      </c>
      <c r="N789" s="5">
        <v>100</v>
      </c>
      <c r="O789" s="2">
        <v>0.93394566711287574</v>
      </c>
      <c r="P789" s="2">
        <v>1.1296569103500713</v>
      </c>
      <c r="Q789" s="2">
        <v>6.1875403718087529E-2</v>
      </c>
      <c r="R789" s="2">
        <v>5.5512709930258829E-2</v>
      </c>
    </row>
    <row r="790" spans="1:18" x14ac:dyDescent="0.3">
      <c r="A790" s="7">
        <v>299</v>
      </c>
      <c r="B790" s="7">
        <v>315</v>
      </c>
      <c r="C790" s="7">
        <v>0</v>
      </c>
      <c r="D790" s="7">
        <v>1</v>
      </c>
      <c r="E790" s="20" t="str">
        <f t="shared" si="12"/>
        <v>01</v>
      </c>
      <c r="F790" s="21">
        <v>0.76030390045576401</v>
      </c>
      <c r="G790" s="4">
        <v>0.29199999999999998</v>
      </c>
      <c r="H790" s="4">
        <v>0.26180257510729599</v>
      </c>
      <c r="I790" s="4">
        <v>0.94499999999999995</v>
      </c>
      <c r="J790" s="4">
        <v>0.89200000000000002</v>
      </c>
      <c r="K790" s="5">
        <v>0</v>
      </c>
      <c r="L790" s="5">
        <v>0</v>
      </c>
      <c r="M790" s="5">
        <v>100</v>
      </c>
      <c r="N790" s="5">
        <v>100</v>
      </c>
      <c r="O790" s="2">
        <v>1.2310014767138553</v>
      </c>
      <c r="P790" s="2">
        <v>1.3401645893923899</v>
      </c>
      <c r="Q790" s="2">
        <v>5.6570351488394351E-2</v>
      </c>
      <c r="R790" s="2">
        <v>0.11428914640212766</v>
      </c>
    </row>
    <row r="791" spans="1:18" x14ac:dyDescent="0.3">
      <c r="A791" s="7">
        <v>161</v>
      </c>
      <c r="B791" s="7">
        <v>136</v>
      </c>
      <c r="C791" s="7">
        <v>0</v>
      </c>
      <c r="D791" s="7">
        <v>1</v>
      </c>
      <c r="E791" s="20" t="str">
        <f t="shared" si="12"/>
        <v>01</v>
      </c>
      <c r="F791" s="21">
        <v>0.766647654981788</v>
      </c>
      <c r="G791" s="4">
        <v>0.30099999999999999</v>
      </c>
      <c r="H791" s="4">
        <v>0.25672877846790898</v>
      </c>
      <c r="I791" s="4">
        <v>0.93400000000000005</v>
      </c>
      <c r="J791" s="4">
        <v>0.90600000000000003</v>
      </c>
      <c r="K791" s="5">
        <v>0</v>
      </c>
      <c r="L791" s="5">
        <v>0</v>
      </c>
      <c r="M791" s="5">
        <v>100</v>
      </c>
      <c r="N791" s="5">
        <v>100</v>
      </c>
      <c r="O791" s="2">
        <v>1.2006450142332614</v>
      </c>
      <c r="P791" s="2">
        <v>1.3597350880475356</v>
      </c>
      <c r="Q791" s="2">
        <v>6.8278840753294379E-2</v>
      </c>
      <c r="R791" s="2">
        <v>9.8715972939157695E-2</v>
      </c>
    </row>
    <row r="792" spans="1:18" x14ac:dyDescent="0.3">
      <c r="A792" s="7">
        <v>569</v>
      </c>
      <c r="B792" s="7">
        <v>159</v>
      </c>
      <c r="C792" s="7">
        <v>0</v>
      </c>
      <c r="D792" s="7">
        <v>1</v>
      </c>
      <c r="E792" s="20" t="str">
        <f t="shared" si="12"/>
        <v>01</v>
      </c>
      <c r="F792" s="21">
        <v>0.77701663962326994</v>
      </c>
      <c r="G792" s="4">
        <v>0.45800000000000002</v>
      </c>
      <c r="H792" s="4">
        <v>0.42827004219409298</v>
      </c>
      <c r="I792" s="4">
        <v>0.88500000000000001</v>
      </c>
      <c r="J792" s="4">
        <v>0.872</v>
      </c>
      <c r="K792" s="5">
        <v>0</v>
      </c>
      <c r="L792" s="5">
        <v>0</v>
      </c>
      <c r="M792" s="5">
        <v>100</v>
      </c>
      <c r="N792" s="5">
        <v>100</v>
      </c>
      <c r="O792" s="2">
        <v>0.78088609486795202</v>
      </c>
      <c r="P792" s="2">
        <v>0.84800134265328875</v>
      </c>
      <c r="Q792" s="2">
        <v>0.12216763397420753</v>
      </c>
      <c r="R792" s="2">
        <v>0.13696585507315742</v>
      </c>
    </row>
    <row r="793" spans="1:18" x14ac:dyDescent="0.3">
      <c r="A793" s="7">
        <v>132</v>
      </c>
      <c r="B793" s="7">
        <v>121</v>
      </c>
      <c r="C793" s="7">
        <v>0</v>
      </c>
      <c r="D793" s="7">
        <v>1</v>
      </c>
      <c r="E793" s="20" t="str">
        <f t="shared" si="12"/>
        <v>01</v>
      </c>
      <c r="F793" s="21">
        <v>0.788433260089489</v>
      </c>
      <c r="G793" s="4">
        <v>0.54600000000000004</v>
      </c>
      <c r="H793" s="4">
        <v>0.41782729805013902</v>
      </c>
      <c r="I793" s="4">
        <v>0.98299999999999998</v>
      </c>
      <c r="J793" s="4">
        <v>0.94599999999999995</v>
      </c>
      <c r="K793" s="5">
        <v>100</v>
      </c>
      <c r="L793" s="5">
        <v>0</v>
      </c>
      <c r="M793" s="5">
        <v>100</v>
      </c>
      <c r="N793" s="5">
        <v>100</v>
      </c>
      <c r="O793" s="2">
        <v>0.60513630323723189</v>
      </c>
      <c r="P793" s="2">
        <v>0.87268709439202374</v>
      </c>
      <c r="Q793" s="2">
        <v>1.7146158834970514E-2</v>
      </c>
      <c r="R793" s="2">
        <v>5.5512709930258829E-2</v>
      </c>
    </row>
    <row r="794" spans="1:18" x14ac:dyDescent="0.3">
      <c r="A794" s="7">
        <v>687</v>
      </c>
      <c r="B794" s="7">
        <v>145</v>
      </c>
      <c r="C794" s="7">
        <v>0</v>
      </c>
      <c r="D794" s="7">
        <v>1</v>
      </c>
      <c r="E794" s="20" t="str">
        <f t="shared" si="12"/>
        <v>01</v>
      </c>
      <c r="F794" s="21">
        <v>0.79279504744596596</v>
      </c>
      <c r="G794" s="4">
        <v>0.32100000000000001</v>
      </c>
      <c r="H794" s="4">
        <v>0.276169265033408</v>
      </c>
      <c r="I794" s="4">
        <v>0.90600000000000003</v>
      </c>
      <c r="J794" s="4">
        <v>0.91300000000000003</v>
      </c>
      <c r="K794" s="5">
        <v>0</v>
      </c>
      <c r="L794" s="5">
        <v>0</v>
      </c>
      <c r="M794" s="5">
        <v>100</v>
      </c>
      <c r="N794" s="5">
        <v>100</v>
      </c>
      <c r="O794" s="2">
        <v>1.1363141558521213</v>
      </c>
      <c r="P794" s="2">
        <v>1.2867413221372159</v>
      </c>
      <c r="Q794" s="2">
        <v>9.8715972939157695E-2</v>
      </c>
      <c r="R794" s="2">
        <v>9.1019398387168549E-2</v>
      </c>
    </row>
    <row r="795" spans="1:18" x14ac:dyDescent="0.3">
      <c r="A795" s="7">
        <v>197</v>
      </c>
      <c r="B795" s="7">
        <v>128</v>
      </c>
      <c r="C795" s="7">
        <v>0</v>
      </c>
      <c r="D795" s="7">
        <v>1</v>
      </c>
      <c r="E795" s="20" t="str">
        <f t="shared" si="12"/>
        <v>01</v>
      </c>
      <c r="F795" s="21">
        <v>0.79672252109166697</v>
      </c>
      <c r="G795" s="4">
        <v>0.45200000000000001</v>
      </c>
      <c r="H795" s="4">
        <v>0.38716814159292001</v>
      </c>
      <c r="I795" s="4">
        <v>0.95299999999999996</v>
      </c>
      <c r="J795" s="4">
        <v>0.94399999999999995</v>
      </c>
      <c r="K795" s="5">
        <v>0</v>
      </c>
      <c r="L795" s="5">
        <v>0</v>
      </c>
      <c r="M795" s="5">
        <v>100</v>
      </c>
      <c r="N795" s="5">
        <v>100</v>
      </c>
      <c r="O795" s="2">
        <v>0.79407309914990587</v>
      </c>
      <c r="P795" s="2">
        <v>0.94889620590871804</v>
      </c>
      <c r="Q795" s="2">
        <v>4.8140375327934984E-2</v>
      </c>
      <c r="R795" s="2">
        <v>5.7629112836636416E-2</v>
      </c>
    </row>
    <row r="796" spans="1:18" x14ac:dyDescent="0.3">
      <c r="A796" s="7">
        <v>597</v>
      </c>
      <c r="B796" s="7">
        <v>145</v>
      </c>
      <c r="C796" s="7">
        <v>0</v>
      </c>
      <c r="D796" s="7">
        <v>1</v>
      </c>
      <c r="E796" s="20" t="str">
        <f t="shared" si="12"/>
        <v>01</v>
      </c>
      <c r="F796" s="21">
        <v>0.79997793377055004</v>
      </c>
      <c r="G796" s="4">
        <v>0.22</v>
      </c>
      <c r="H796" s="4">
        <v>0.186836518046709</v>
      </c>
      <c r="I796" s="4">
        <v>0.92600000000000005</v>
      </c>
      <c r="J796" s="4">
        <v>0.90900000000000003</v>
      </c>
      <c r="K796" s="5">
        <v>0</v>
      </c>
      <c r="L796" s="5">
        <v>0</v>
      </c>
      <c r="M796" s="5">
        <v>100</v>
      </c>
      <c r="N796" s="5">
        <v>100</v>
      </c>
      <c r="O796" s="2">
        <v>1.5141277326297755</v>
      </c>
      <c r="P796" s="2">
        <v>1.677521279538212</v>
      </c>
      <c r="Q796" s="2">
        <v>7.6881044335957618E-2</v>
      </c>
      <c r="R796" s="2">
        <v>9.5410184804658182E-2</v>
      </c>
    </row>
    <row r="797" spans="1:18" x14ac:dyDescent="0.3">
      <c r="A797" s="7">
        <v>43</v>
      </c>
      <c r="B797" s="7">
        <v>103</v>
      </c>
      <c r="C797" s="7">
        <v>0</v>
      </c>
      <c r="D797" s="7">
        <v>1</v>
      </c>
      <c r="E797" s="20" t="str">
        <f t="shared" si="12"/>
        <v>01</v>
      </c>
      <c r="F797" s="21">
        <v>0.80405163220294695</v>
      </c>
      <c r="G797" s="4">
        <v>0.379</v>
      </c>
      <c r="H797" s="4">
        <v>0.30973451327433599</v>
      </c>
      <c r="I797" s="4">
        <v>0.85799999999999998</v>
      </c>
      <c r="J797" s="4">
        <v>0.80700000000000005</v>
      </c>
      <c r="K797" s="5">
        <v>0</v>
      </c>
      <c r="L797" s="5">
        <v>0</v>
      </c>
      <c r="M797" s="5">
        <v>100</v>
      </c>
      <c r="N797" s="5">
        <v>100</v>
      </c>
      <c r="O797" s="2">
        <v>0.97021907389971074</v>
      </c>
      <c r="P797" s="2">
        <v>1.1720397572229277</v>
      </c>
      <c r="Q797" s="2">
        <v>0.15315117949417478</v>
      </c>
      <c r="R797" s="2">
        <v>0.21443161071218819</v>
      </c>
    </row>
    <row r="798" spans="1:18" x14ac:dyDescent="0.3">
      <c r="A798" s="7">
        <v>556</v>
      </c>
      <c r="B798" s="7">
        <v>120</v>
      </c>
      <c r="C798" s="7">
        <v>0</v>
      </c>
      <c r="D798" s="7">
        <v>1</v>
      </c>
      <c r="E798" s="20" t="str">
        <f t="shared" si="12"/>
        <v>01</v>
      </c>
      <c r="F798" s="21">
        <v>0.81580112092780399</v>
      </c>
      <c r="G798" s="4">
        <v>0.39700000000000002</v>
      </c>
      <c r="H798" s="4">
        <v>0.34061135371179002</v>
      </c>
      <c r="I798" s="4">
        <v>0.94099999999999995</v>
      </c>
      <c r="J798" s="4">
        <v>0.93700000000000006</v>
      </c>
      <c r="K798" s="5">
        <v>0</v>
      </c>
      <c r="L798" s="5">
        <v>0</v>
      </c>
      <c r="M798" s="5">
        <v>100</v>
      </c>
      <c r="N798" s="5">
        <v>100</v>
      </c>
      <c r="O798" s="2">
        <v>0.92381899829494663</v>
      </c>
      <c r="P798" s="2">
        <v>1.0770131768646489</v>
      </c>
      <c r="Q798" s="2">
        <v>6.0812139396757475E-2</v>
      </c>
      <c r="R798" s="2">
        <v>6.5071996743714805E-2</v>
      </c>
    </row>
    <row r="799" spans="1:18" x14ac:dyDescent="0.3">
      <c r="A799" s="7">
        <v>185</v>
      </c>
      <c r="B799" s="7">
        <v>130</v>
      </c>
      <c r="C799" s="7">
        <v>0</v>
      </c>
      <c r="D799" s="7">
        <v>1</v>
      </c>
      <c r="E799" s="20" t="str">
        <f t="shared" si="12"/>
        <v>01</v>
      </c>
      <c r="F799" s="21">
        <v>0.81986184520697303</v>
      </c>
      <c r="G799" s="4">
        <v>0.499</v>
      </c>
      <c r="H799" s="4">
        <v>0.43055555555555602</v>
      </c>
      <c r="I799" s="4">
        <v>0.95</v>
      </c>
      <c r="J799" s="4">
        <v>0.93799999999999994</v>
      </c>
      <c r="K799" s="5">
        <v>0</v>
      </c>
      <c r="L799" s="5">
        <v>0</v>
      </c>
      <c r="M799" s="5">
        <v>100</v>
      </c>
      <c r="N799" s="5">
        <v>100</v>
      </c>
      <c r="O799" s="2">
        <v>0.69514918323061836</v>
      </c>
      <c r="P799" s="2">
        <v>0.84267891453090793</v>
      </c>
      <c r="Q799" s="2">
        <v>5.1293294387550578E-2</v>
      </c>
      <c r="R799" s="2">
        <v>6.4005329975912434E-2</v>
      </c>
    </row>
    <row r="800" spans="1:18" x14ac:dyDescent="0.3">
      <c r="A800" s="7">
        <v>171</v>
      </c>
      <c r="B800" s="7">
        <v>334</v>
      </c>
      <c r="C800" s="7">
        <v>0</v>
      </c>
      <c r="D800" s="7">
        <v>1</v>
      </c>
      <c r="E800" s="20" t="str">
        <f t="shared" si="12"/>
        <v>01</v>
      </c>
      <c r="F800" s="21">
        <v>0.83491453516472203</v>
      </c>
      <c r="G800" s="4">
        <v>0.29099999999999998</v>
      </c>
      <c r="H800" s="4">
        <v>0.27800829875518701</v>
      </c>
      <c r="I800" s="4">
        <v>5.2999999999999999E-2</v>
      </c>
      <c r="J800" s="4">
        <v>6.7000000000000004E-2</v>
      </c>
      <c r="K800" s="5">
        <v>0</v>
      </c>
      <c r="L800" s="5">
        <v>0</v>
      </c>
      <c r="M800" s="5">
        <v>0</v>
      </c>
      <c r="N800" s="5">
        <v>0</v>
      </c>
      <c r="O800" s="2">
        <v>1.2344320118106447</v>
      </c>
      <c r="P800" s="2">
        <v>1.2801043140996879</v>
      </c>
      <c r="Q800" s="2">
        <v>2.9374633654300153</v>
      </c>
      <c r="R800" s="2">
        <v>2.7030626595911711</v>
      </c>
    </row>
    <row r="801" spans="1:18" x14ac:dyDescent="0.3">
      <c r="A801" s="7">
        <v>938</v>
      </c>
      <c r="B801" s="7">
        <v>122</v>
      </c>
      <c r="C801" s="7">
        <v>0</v>
      </c>
      <c r="D801" s="7">
        <v>1</v>
      </c>
      <c r="E801" s="20" t="str">
        <f t="shared" si="12"/>
        <v>01</v>
      </c>
      <c r="F801" s="21">
        <v>0.84037361125500398</v>
      </c>
      <c r="G801" s="4">
        <v>0.44</v>
      </c>
      <c r="H801" s="4">
        <v>0.36980306345732999</v>
      </c>
      <c r="I801" s="4">
        <v>0.94199999999999995</v>
      </c>
      <c r="J801" s="4">
        <v>0.93899999999999995</v>
      </c>
      <c r="K801" s="5">
        <v>0</v>
      </c>
      <c r="L801" s="5">
        <v>0</v>
      </c>
      <c r="M801" s="5">
        <v>100</v>
      </c>
      <c r="N801" s="5">
        <v>100</v>
      </c>
      <c r="O801" s="2">
        <v>0.82098055206983023</v>
      </c>
      <c r="P801" s="2">
        <v>0.9947846759711324</v>
      </c>
      <c r="Q801" s="2">
        <v>5.9750004405774049E-2</v>
      </c>
      <c r="R801" s="2">
        <v>6.2939799773874205E-2</v>
      </c>
    </row>
    <row r="802" spans="1:18" x14ac:dyDescent="0.3">
      <c r="A802" s="7">
        <v>436</v>
      </c>
      <c r="B802" s="7">
        <v>109</v>
      </c>
      <c r="C802" s="7">
        <v>0</v>
      </c>
      <c r="D802" s="7">
        <v>1</v>
      </c>
      <c r="E802" s="20" t="str">
        <f t="shared" si="12"/>
        <v>01</v>
      </c>
      <c r="F802" s="21">
        <v>0.87285961281558999</v>
      </c>
      <c r="G802" s="4">
        <v>0.248</v>
      </c>
      <c r="H802" s="4">
        <v>0.236734693877551</v>
      </c>
      <c r="I802" s="4">
        <v>0.73</v>
      </c>
      <c r="J802" s="4">
        <v>0.68899999999999995</v>
      </c>
      <c r="K802" s="5">
        <v>0</v>
      </c>
      <c r="L802" s="5">
        <v>0</v>
      </c>
      <c r="M802" s="5">
        <v>100</v>
      </c>
      <c r="N802" s="5">
        <v>100</v>
      </c>
      <c r="O802" s="2">
        <v>1.3943265328171548</v>
      </c>
      <c r="P802" s="2">
        <v>1.4408151999983076</v>
      </c>
      <c r="Q802" s="2">
        <v>0.31471074483970024</v>
      </c>
      <c r="R802" s="2">
        <v>0.37251400796847856</v>
      </c>
    </row>
    <row r="803" spans="1:18" x14ac:dyDescent="0.3">
      <c r="A803" s="7">
        <v>544</v>
      </c>
      <c r="B803" s="7">
        <v>104</v>
      </c>
      <c r="C803" s="7">
        <v>0</v>
      </c>
      <c r="D803" s="7">
        <v>1</v>
      </c>
      <c r="E803" s="20" t="str">
        <f t="shared" si="12"/>
        <v>01</v>
      </c>
      <c r="F803" s="21">
        <v>0.87517531595869602</v>
      </c>
      <c r="G803" s="4">
        <v>0.753</v>
      </c>
      <c r="H803" s="4">
        <v>0.61363636363636398</v>
      </c>
      <c r="I803" s="4">
        <v>0.95299999999999996</v>
      </c>
      <c r="J803" s="4">
        <v>0.96199999999999997</v>
      </c>
      <c r="K803" s="5">
        <v>100</v>
      </c>
      <c r="L803" s="5">
        <v>100</v>
      </c>
      <c r="M803" s="5">
        <v>100</v>
      </c>
      <c r="N803" s="5">
        <v>100</v>
      </c>
      <c r="O803" s="2">
        <v>0.2836900511822435</v>
      </c>
      <c r="P803" s="2">
        <v>0.48835276791393151</v>
      </c>
      <c r="Q803" s="2">
        <v>4.8140375327934984E-2</v>
      </c>
      <c r="R803" s="2">
        <v>3.8740828316430595E-2</v>
      </c>
    </row>
    <row r="804" spans="1:18" x14ac:dyDescent="0.3">
      <c r="A804" s="7">
        <v>992</v>
      </c>
      <c r="B804" s="7">
        <v>100</v>
      </c>
      <c r="C804" s="7">
        <v>0</v>
      </c>
      <c r="D804" s="7">
        <v>1</v>
      </c>
      <c r="E804" s="20" t="str">
        <f t="shared" si="12"/>
        <v>01</v>
      </c>
      <c r="F804" s="21">
        <v>0.91245630523378096</v>
      </c>
      <c r="G804" s="4">
        <v>0.45800000000000002</v>
      </c>
      <c r="H804" s="4">
        <v>0.41111111111111098</v>
      </c>
      <c r="I804" s="4">
        <v>0.93</v>
      </c>
      <c r="J804" s="4">
        <v>0.94199999999999995</v>
      </c>
      <c r="K804" s="5">
        <v>0</v>
      </c>
      <c r="L804" s="5">
        <v>0</v>
      </c>
      <c r="M804" s="5">
        <v>100</v>
      </c>
      <c r="N804" s="5">
        <v>100</v>
      </c>
      <c r="O804" s="2">
        <v>0.78088609486795202</v>
      </c>
      <c r="P804" s="2">
        <v>0.8888917576860409</v>
      </c>
      <c r="Q804" s="2">
        <v>7.2570692834835374E-2</v>
      </c>
      <c r="R804" s="2">
        <v>5.9750004405774049E-2</v>
      </c>
    </row>
    <row r="805" spans="1:18" x14ac:dyDescent="0.3">
      <c r="A805" s="7">
        <v>836</v>
      </c>
      <c r="B805" s="7">
        <v>104</v>
      </c>
      <c r="C805" s="7">
        <v>0</v>
      </c>
      <c r="D805" s="7">
        <v>1</v>
      </c>
      <c r="E805" s="20" t="str">
        <f t="shared" si="12"/>
        <v>01</v>
      </c>
      <c r="F805" s="21">
        <v>0.91475187310662998</v>
      </c>
      <c r="G805" s="4">
        <v>0.45900000000000002</v>
      </c>
      <c r="H805" s="4">
        <v>0.36568848758465</v>
      </c>
      <c r="I805" s="4">
        <v>0.36499999999999999</v>
      </c>
      <c r="J805" s="4">
        <v>0.35</v>
      </c>
      <c r="K805" s="5">
        <v>0</v>
      </c>
      <c r="L805" s="5">
        <v>0</v>
      </c>
      <c r="M805" s="5">
        <v>0</v>
      </c>
      <c r="N805" s="5">
        <v>0</v>
      </c>
      <c r="O805" s="2">
        <v>0.77870506892159186</v>
      </c>
      <c r="P805" s="2">
        <v>1.0059734348127518</v>
      </c>
      <c r="Q805" s="2">
        <v>1.0078579253996456</v>
      </c>
      <c r="R805" s="2">
        <v>1.0498221244986778</v>
      </c>
    </row>
    <row r="806" spans="1:18" x14ac:dyDescent="0.3">
      <c r="A806" s="7">
        <v>397</v>
      </c>
      <c r="B806" s="7">
        <v>106</v>
      </c>
      <c r="C806" s="7">
        <v>0</v>
      </c>
      <c r="D806" s="7">
        <v>1</v>
      </c>
      <c r="E806" s="20" t="str">
        <f t="shared" si="12"/>
        <v>01</v>
      </c>
      <c r="F806" s="21">
        <v>0.91905774974555199</v>
      </c>
      <c r="G806" s="4">
        <v>0.67900000000000005</v>
      </c>
      <c r="H806" s="4">
        <v>0.65919282511210797</v>
      </c>
      <c r="I806" s="4">
        <v>0.94499999999999995</v>
      </c>
      <c r="J806" s="4">
        <v>0.92700000000000005</v>
      </c>
      <c r="K806" s="5">
        <v>100</v>
      </c>
      <c r="L806" s="5">
        <v>100</v>
      </c>
      <c r="M806" s="5">
        <v>100</v>
      </c>
      <c r="N806" s="5">
        <v>100</v>
      </c>
      <c r="O806" s="2">
        <v>0.38713415142344088</v>
      </c>
      <c r="P806" s="2">
        <v>0.41673918468138194</v>
      </c>
      <c r="Q806" s="2">
        <v>5.6570351488394351E-2</v>
      </c>
      <c r="R806" s="2">
        <v>7.5801713416281849E-2</v>
      </c>
    </row>
    <row r="807" spans="1:18" x14ac:dyDescent="0.3">
      <c r="A807" s="7">
        <v>469</v>
      </c>
      <c r="B807" s="7">
        <v>229</v>
      </c>
      <c r="C807" s="7">
        <v>0</v>
      </c>
      <c r="D807" s="7">
        <v>1</v>
      </c>
      <c r="E807" s="20" t="str">
        <f t="shared" si="12"/>
        <v>01</v>
      </c>
      <c r="F807" s="21">
        <v>0.93587265169432299</v>
      </c>
      <c r="G807" s="4">
        <v>0.373</v>
      </c>
      <c r="H807" s="4">
        <v>0.32903225806451603</v>
      </c>
      <c r="I807" s="4">
        <v>0.92900000000000005</v>
      </c>
      <c r="J807" s="4">
        <v>0.92100000000000004</v>
      </c>
      <c r="K807" s="5">
        <v>0</v>
      </c>
      <c r="L807" s="5">
        <v>0</v>
      </c>
      <c r="M807" s="5">
        <v>100</v>
      </c>
      <c r="N807" s="5">
        <v>100</v>
      </c>
      <c r="O807" s="2">
        <v>0.98617685933832155</v>
      </c>
      <c r="P807" s="2">
        <v>1.1115994841949213</v>
      </c>
      <c r="Q807" s="2">
        <v>7.3646540168298483E-2</v>
      </c>
      <c r="R807" s="2">
        <v>8.2295242726830156E-2</v>
      </c>
    </row>
    <row r="808" spans="1:18" x14ac:dyDescent="0.3">
      <c r="A808" s="7">
        <v>241</v>
      </c>
      <c r="B808" s="7">
        <v>115</v>
      </c>
      <c r="C808" s="7">
        <v>0</v>
      </c>
      <c r="D808" s="7">
        <v>1</v>
      </c>
      <c r="E808" s="20" t="str">
        <f t="shared" si="12"/>
        <v>01</v>
      </c>
      <c r="F808" s="21">
        <v>0.94388630863470802</v>
      </c>
      <c r="G808" s="4">
        <v>0.45100000000000001</v>
      </c>
      <c r="H808" s="4">
        <v>0.36658354114713199</v>
      </c>
      <c r="I808" s="4">
        <v>0.92300000000000004</v>
      </c>
      <c r="J808" s="4">
        <v>0.91600000000000004</v>
      </c>
      <c r="K808" s="5">
        <v>0</v>
      </c>
      <c r="L808" s="5">
        <v>0</v>
      </c>
      <c r="M808" s="5">
        <v>100</v>
      </c>
      <c r="N808" s="5">
        <v>100</v>
      </c>
      <c r="O808" s="2">
        <v>0.79628793947945864</v>
      </c>
      <c r="P808" s="2">
        <v>1.0035288405278333</v>
      </c>
      <c r="Q808" s="2">
        <v>8.0126044479284855E-2</v>
      </c>
      <c r="R808" s="2">
        <v>8.7738914308006746E-2</v>
      </c>
    </row>
    <row r="809" spans="1:18" x14ac:dyDescent="0.3">
      <c r="A809" s="7">
        <v>602</v>
      </c>
      <c r="B809" s="7">
        <v>86</v>
      </c>
      <c r="C809" s="7">
        <v>0</v>
      </c>
      <c r="D809" s="7">
        <v>1</v>
      </c>
      <c r="E809" s="20" t="str">
        <f t="shared" si="12"/>
        <v>01</v>
      </c>
      <c r="F809" s="21">
        <v>0.94458342973252396</v>
      </c>
      <c r="G809" s="4">
        <v>0.69199999999999995</v>
      </c>
      <c r="H809" s="4">
        <v>0.51274787535410804</v>
      </c>
      <c r="I809" s="4">
        <v>0.66700000000000004</v>
      </c>
      <c r="J809" s="4">
        <v>0.80100000000000005</v>
      </c>
      <c r="K809" s="5">
        <v>100</v>
      </c>
      <c r="L809" s="5">
        <v>100</v>
      </c>
      <c r="M809" s="5">
        <v>100</v>
      </c>
      <c r="N809" s="5">
        <v>100</v>
      </c>
      <c r="O809" s="2">
        <v>0.36816932336446756</v>
      </c>
      <c r="P809" s="2">
        <v>0.66797102566747024</v>
      </c>
      <c r="Q809" s="2">
        <v>0.40496523306651327</v>
      </c>
      <c r="R809" s="2">
        <v>0.22189433191377778</v>
      </c>
    </row>
    <row r="810" spans="1:18" x14ac:dyDescent="0.3">
      <c r="A810" s="7">
        <v>236</v>
      </c>
      <c r="B810" s="7">
        <v>202</v>
      </c>
      <c r="C810" s="7">
        <v>0</v>
      </c>
      <c r="D810" s="7">
        <v>1</v>
      </c>
      <c r="E810" s="20" t="str">
        <f t="shared" si="12"/>
        <v>01</v>
      </c>
      <c r="F810" s="21">
        <v>0.95745654477901099</v>
      </c>
      <c r="G810" s="4">
        <v>0.59399999999999997</v>
      </c>
      <c r="H810" s="4">
        <v>0.53504672897196304</v>
      </c>
      <c r="I810" s="4">
        <v>0.92300000000000004</v>
      </c>
      <c r="J810" s="4">
        <v>0.93600000000000005</v>
      </c>
      <c r="K810" s="5">
        <v>100</v>
      </c>
      <c r="L810" s="5">
        <v>100</v>
      </c>
      <c r="M810" s="5">
        <v>100</v>
      </c>
      <c r="N810" s="5">
        <v>100</v>
      </c>
      <c r="O810" s="2">
        <v>0.52087595961949218</v>
      </c>
      <c r="P810" s="2">
        <v>0.6254011920275564</v>
      </c>
      <c r="Q810" s="2">
        <v>8.0126044479284855E-2</v>
      </c>
      <c r="R810" s="2">
        <v>6.6139802504544945E-2</v>
      </c>
    </row>
    <row r="811" spans="1:18" x14ac:dyDescent="0.3">
      <c r="A811" s="7">
        <v>797</v>
      </c>
      <c r="B811" s="7">
        <v>165</v>
      </c>
      <c r="C811" s="7">
        <v>0</v>
      </c>
      <c r="D811" s="7">
        <v>1</v>
      </c>
      <c r="E811" s="20" t="str">
        <f t="shared" si="12"/>
        <v>01</v>
      </c>
      <c r="F811" s="21">
        <v>0.96492728511812897</v>
      </c>
      <c r="G811" s="4">
        <v>0.23499999999999999</v>
      </c>
      <c r="H811" s="4">
        <v>0.18736842105263199</v>
      </c>
      <c r="I811" s="4">
        <v>0.91900000000000004</v>
      </c>
      <c r="J811" s="4">
        <v>0.91800000000000004</v>
      </c>
      <c r="K811" s="5">
        <v>0</v>
      </c>
      <c r="L811" s="5">
        <v>0</v>
      </c>
      <c r="M811" s="5">
        <v>100</v>
      </c>
      <c r="N811" s="5">
        <v>100</v>
      </c>
      <c r="O811" s="2">
        <v>1.4481697648379781</v>
      </c>
      <c r="P811" s="2">
        <v>1.6746784343024992</v>
      </c>
      <c r="Q811" s="2">
        <v>8.4469156626449965E-2</v>
      </c>
      <c r="R811" s="2">
        <v>8.5557888361646545E-2</v>
      </c>
    </row>
    <row r="812" spans="1:18" x14ac:dyDescent="0.3">
      <c r="A812" s="7">
        <v>621</v>
      </c>
      <c r="B812" s="7">
        <v>133</v>
      </c>
      <c r="C812" s="7">
        <v>0</v>
      </c>
      <c r="D812" s="7">
        <v>1</v>
      </c>
      <c r="E812" s="20" t="str">
        <f t="shared" si="12"/>
        <v>01</v>
      </c>
      <c r="F812" s="21">
        <v>0.97677539886398201</v>
      </c>
      <c r="G812" s="4">
        <v>0.26600000000000001</v>
      </c>
      <c r="H812" s="4">
        <v>0.238900634249471</v>
      </c>
      <c r="I812" s="4">
        <v>0.61199999999999999</v>
      </c>
      <c r="J812" s="4">
        <v>0.55600000000000005</v>
      </c>
      <c r="K812" s="5">
        <v>0</v>
      </c>
      <c r="L812" s="5">
        <v>0</v>
      </c>
      <c r="M812" s="5">
        <v>100</v>
      </c>
      <c r="N812" s="5">
        <v>100</v>
      </c>
      <c r="O812" s="2">
        <v>1.3242589702004379</v>
      </c>
      <c r="P812" s="2">
        <v>1.4317075697795942</v>
      </c>
      <c r="Q812" s="2">
        <v>0.49102299646981101</v>
      </c>
      <c r="R812" s="2">
        <v>0.58698698473155464</v>
      </c>
    </row>
    <row r="813" spans="1:18" x14ac:dyDescent="0.3">
      <c r="A813" s="7">
        <v>68</v>
      </c>
      <c r="B813" s="7">
        <v>92</v>
      </c>
      <c r="C813" s="7">
        <v>0</v>
      </c>
      <c r="D813" s="7">
        <v>1</v>
      </c>
      <c r="E813" s="20" t="str">
        <f t="shared" si="12"/>
        <v>01</v>
      </c>
      <c r="F813" s="21">
        <v>0.97990190698435697</v>
      </c>
      <c r="G813" s="4">
        <v>0.34200000000000003</v>
      </c>
      <c r="H813" s="4">
        <v>0.30817610062893103</v>
      </c>
      <c r="I813" s="4">
        <v>0.50600000000000001</v>
      </c>
      <c r="J813" s="4">
        <v>0.47399999999999998</v>
      </c>
      <c r="K813" s="5">
        <v>0</v>
      </c>
      <c r="L813" s="5">
        <v>0</v>
      </c>
      <c r="M813" s="5">
        <v>100</v>
      </c>
      <c r="N813" s="5">
        <v>0</v>
      </c>
      <c r="O813" s="2">
        <v>1.0729445419195318</v>
      </c>
      <c r="P813" s="2">
        <v>1.1770839041096042</v>
      </c>
      <c r="Q813" s="2">
        <v>0.68121860969467152</v>
      </c>
      <c r="R813" s="2">
        <v>0.74654795728706058</v>
      </c>
    </row>
    <row r="814" spans="1:18" x14ac:dyDescent="0.3">
      <c r="A814" s="7">
        <v>139</v>
      </c>
      <c r="B814" s="7">
        <v>87</v>
      </c>
      <c r="C814" s="7">
        <v>0</v>
      </c>
      <c r="D814" s="7">
        <v>1</v>
      </c>
      <c r="E814" s="20" t="str">
        <f t="shared" si="12"/>
        <v>01</v>
      </c>
      <c r="F814" s="21">
        <v>1.0182553861583099</v>
      </c>
      <c r="G814" s="4">
        <v>0.57099999999999995</v>
      </c>
      <c r="H814" s="4">
        <v>0.464373464373464</v>
      </c>
      <c r="I814" s="4">
        <v>0.93100000000000005</v>
      </c>
      <c r="J814" s="4">
        <v>0.91300000000000003</v>
      </c>
      <c r="K814" s="5">
        <v>100</v>
      </c>
      <c r="L814" s="5">
        <v>0</v>
      </c>
      <c r="M814" s="5">
        <v>100</v>
      </c>
      <c r="N814" s="5">
        <v>100</v>
      </c>
      <c r="O814" s="2">
        <v>0.56036606932612687</v>
      </c>
      <c r="P814" s="2">
        <v>0.76706617038295344</v>
      </c>
      <c r="Q814" s="2">
        <v>7.1496001705069923E-2</v>
      </c>
      <c r="R814" s="2">
        <v>9.1019398387168549E-2</v>
      </c>
    </row>
    <row r="815" spans="1:18" x14ac:dyDescent="0.3">
      <c r="A815" s="7">
        <v>572</v>
      </c>
      <c r="B815" s="7">
        <v>310</v>
      </c>
      <c r="C815" s="7">
        <v>0</v>
      </c>
      <c r="D815" s="7">
        <v>1</v>
      </c>
      <c r="E815" s="20" t="str">
        <f t="shared" si="12"/>
        <v>01</v>
      </c>
      <c r="F815" s="21">
        <v>1.0231150057431</v>
      </c>
      <c r="G815" s="4">
        <v>0.70899999999999996</v>
      </c>
      <c r="H815" s="4">
        <v>0.64146341463414602</v>
      </c>
      <c r="I815" s="4">
        <v>0.56499999999999995</v>
      </c>
      <c r="J815" s="4">
        <v>0.53500000000000003</v>
      </c>
      <c r="K815" s="5">
        <v>100</v>
      </c>
      <c r="L815" s="5">
        <v>100</v>
      </c>
      <c r="M815" s="5">
        <v>100</v>
      </c>
      <c r="N815" s="5">
        <v>100</v>
      </c>
      <c r="O815" s="2">
        <v>0.34389975245000959</v>
      </c>
      <c r="P815" s="2">
        <v>0.44400312752058946</v>
      </c>
      <c r="Q815" s="2">
        <v>0.57092954783569616</v>
      </c>
      <c r="R815" s="2">
        <v>0.62548853208613042</v>
      </c>
    </row>
    <row r="816" spans="1:18" x14ac:dyDescent="0.3">
      <c r="A816" s="7">
        <v>234</v>
      </c>
      <c r="B816" s="7">
        <v>88</v>
      </c>
      <c r="C816" s="7">
        <v>0</v>
      </c>
      <c r="D816" s="7">
        <v>1</v>
      </c>
      <c r="E816" s="20" t="str">
        <f t="shared" si="12"/>
        <v>01</v>
      </c>
      <c r="F816" s="21">
        <v>1.0278933087633499</v>
      </c>
      <c r="G816" s="4">
        <v>0.59899999999999998</v>
      </c>
      <c r="H816" s="4">
        <v>0.47368421052631599</v>
      </c>
      <c r="I816" s="4">
        <v>0.94</v>
      </c>
      <c r="J816" s="4">
        <v>0.92100000000000004</v>
      </c>
      <c r="K816" s="5">
        <v>100</v>
      </c>
      <c r="L816" s="5">
        <v>0</v>
      </c>
      <c r="M816" s="5">
        <v>100</v>
      </c>
      <c r="N816" s="5">
        <v>100</v>
      </c>
      <c r="O816" s="2">
        <v>0.51249368086668778</v>
      </c>
      <c r="P816" s="2">
        <v>0.7472144018302207</v>
      </c>
      <c r="Q816" s="2">
        <v>6.1875403718087529E-2</v>
      </c>
      <c r="R816" s="2">
        <v>8.2295242726830156E-2</v>
      </c>
    </row>
    <row r="817" spans="1:18" x14ac:dyDescent="0.3">
      <c r="A817" s="7">
        <v>67</v>
      </c>
      <c r="B817" s="7">
        <v>151</v>
      </c>
      <c r="C817" s="7">
        <v>0</v>
      </c>
      <c r="D817" s="7">
        <v>1</v>
      </c>
      <c r="E817" s="20" t="str">
        <f t="shared" si="12"/>
        <v>01</v>
      </c>
      <c r="F817" s="21">
        <v>1.0361691657926599</v>
      </c>
      <c r="G817" s="4">
        <v>0.38500000000000001</v>
      </c>
      <c r="H817" s="4">
        <v>0.31141868512110699</v>
      </c>
      <c r="I817" s="4">
        <v>0.94</v>
      </c>
      <c r="J817" s="4">
        <v>0.93500000000000005</v>
      </c>
      <c r="K817" s="5">
        <v>0</v>
      </c>
      <c r="L817" s="5">
        <v>0</v>
      </c>
      <c r="M817" s="5">
        <v>100</v>
      </c>
      <c r="N817" s="5">
        <v>100</v>
      </c>
      <c r="O817" s="2">
        <v>0.95451194469435285</v>
      </c>
      <c r="P817" s="2">
        <v>1.166617017782168</v>
      </c>
      <c r="Q817" s="2">
        <v>6.1875403718087529E-2</v>
      </c>
      <c r="R817" s="2">
        <v>6.720874969344999E-2</v>
      </c>
    </row>
    <row r="818" spans="1:18" x14ac:dyDescent="0.3">
      <c r="A818" s="7">
        <v>782</v>
      </c>
      <c r="B818" s="7">
        <v>108</v>
      </c>
      <c r="C818" s="7">
        <v>0</v>
      </c>
      <c r="D818" s="7">
        <v>1</v>
      </c>
      <c r="E818" s="20" t="str">
        <f t="shared" si="12"/>
        <v>01</v>
      </c>
      <c r="F818" s="21">
        <v>1.04526128215999</v>
      </c>
      <c r="G818" s="4">
        <v>0.69799999999999995</v>
      </c>
      <c r="H818" s="4">
        <v>0.63565891472868197</v>
      </c>
      <c r="I818" s="4">
        <v>6.8000000000000005E-2</v>
      </c>
      <c r="J818" s="4">
        <v>7.0000000000000007E-2</v>
      </c>
      <c r="K818" s="5">
        <v>100</v>
      </c>
      <c r="L818" s="5">
        <v>100</v>
      </c>
      <c r="M818" s="5">
        <v>0</v>
      </c>
      <c r="N818" s="5">
        <v>0</v>
      </c>
      <c r="O818" s="2">
        <v>0.35953617621976464</v>
      </c>
      <c r="P818" s="2">
        <v>0.45309315709741932</v>
      </c>
      <c r="Q818" s="2">
        <v>2.6882475738060303</v>
      </c>
      <c r="R818" s="2">
        <v>2.6592600369327779</v>
      </c>
    </row>
    <row r="819" spans="1:18" x14ac:dyDescent="0.3">
      <c r="A819" s="7">
        <v>731</v>
      </c>
      <c r="B819" s="7">
        <v>82</v>
      </c>
      <c r="C819" s="7">
        <v>0</v>
      </c>
      <c r="D819" s="7">
        <v>1</v>
      </c>
      <c r="E819" s="20" t="str">
        <f t="shared" si="12"/>
        <v>01</v>
      </c>
      <c r="F819" s="21">
        <v>1.05628802700828</v>
      </c>
      <c r="G819" s="4">
        <v>0.39900000000000002</v>
      </c>
      <c r="H819" s="4">
        <v>0.359375</v>
      </c>
      <c r="I819" s="4">
        <v>0.109</v>
      </c>
      <c r="J819" s="4">
        <v>0.11600000000000001</v>
      </c>
      <c r="K819" s="5">
        <v>0</v>
      </c>
      <c r="L819" s="5">
        <v>0</v>
      </c>
      <c r="M819" s="5">
        <v>0</v>
      </c>
      <c r="N819" s="5">
        <v>0</v>
      </c>
      <c r="O819" s="2">
        <v>0.91879386209227354</v>
      </c>
      <c r="P819" s="2">
        <v>1.0233888674305223</v>
      </c>
      <c r="Q819" s="2">
        <v>2.2164073967529934</v>
      </c>
      <c r="R819" s="2">
        <v>2.1541650878757723</v>
      </c>
    </row>
    <row r="820" spans="1:18" x14ac:dyDescent="0.3">
      <c r="A820" s="7">
        <v>104</v>
      </c>
      <c r="B820" s="7">
        <v>88</v>
      </c>
      <c r="C820" s="7">
        <v>0</v>
      </c>
      <c r="D820" s="7">
        <v>1</v>
      </c>
      <c r="E820" s="20" t="str">
        <f t="shared" si="12"/>
        <v>01</v>
      </c>
      <c r="F820" s="21">
        <v>1.07873528207759</v>
      </c>
      <c r="G820" s="4">
        <v>0.39600000000000002</v>
      </c>
      <c r="H820" s="4">
        <v>0.35281385281385302</v>
      </c>
      <c r="I820" s="4">
        <v>0.93700000000000006</v>
      </c>
      <c r="J820" s="4">
        <v>0.91900000000000004</v>
      </c>
      <c r="K820" s="5">
        <v>0</v>
      </c>
      <c r="L820" s="5">
        <v>0</v>
      </c>
      <c r="M820" s="5">
        <v>100</v>
      </c>
      <c r="N820" s="5">
        <v>100</v>
      </c>
      <c r="O820" s="2">
        <v>0.92634106772765645</v>
      </c>
      <c r="P820" s="2">
        <v>1.0418146902749759</v>
      </c>
      <c r="Q820" s="2">
        <v>6.5071996743714805E-2</v>
      </c>
      <c r="R820" s="2">
        <v>8.4469156626449965E-2</v>
      </c>
    </row>
    <row r="821" spans="1:18" x14ac:dyDescent="0.3">
      <c r="A821" s="7">
        <v>649</v>
      </c>
      <c r="B821" s="7">
        <v>66</v>
      </c>
      <c r="C821" s="7">
        <v>0</v>
      </c>
      <c r="D821" s="7">
        <v>1</v>
      </c>
      <c r="E821" s="20" t="str">
        <f t="shared" si="12"/>
        <v>01</v>
      </c>
      <c r="F821" s="21">
        <v>1.09434434578462</v>
      </c>
      <c r="G821" s="4">
        <v>0.45</v>
      </c>
      <c r="H821" s="4">
        <v>0.40222222222222198</v>
      </c>
      <c r="I821" s="4">
        <v>0.9</v>
      </c>
      <c r="J821" s="4">
        <v>0.94899999999999995</v>
      </c>
      <c r="K821" s="5">
        <v>0</v>
      </c>
      <c r="L821" s="5">
        <v>0</v>
      </c>
      <c r="M821" s="5">
        <v>100</v>
      </c>
      <c r="N821" s="5">
        <v>100</v>
      </c>
      <c r="O821" s="2">
        <v>0.79850769621777162</v>
      </c>
      <c r="P821" s="2">
        <v>0.91075055149854034</v>
      </c>
      <c r="Q821" s="2">
        <v>0.10536051565782628</v>
      </c>
      <c r="R821" s="2">
        <v>5.2346480372209236E-2</v>
      </c>
    </row>
    <row r="822" spans="1:18" x14ac:dyDescent="0.3">
      <c r="A822" s="7">
        <v>377</v>
      </c>
      <c r="B822" s="7">
        <v>67</v>
      </c>
      <c r="C822" s="7">
        <v>0</v>
      </c>
      <c r="D822" s="7">
        <v>1</v>
      </c>
      <c r="E822" s="20" t="str">
        <f t="shared" si="12"/>
        <v>01</v>
      </c>
      <c r="F822" s="21">
        <v>1.1331827259290901</v>
      </c>
      <c r="G822" s="4">
        <v>0.60799999999999998</v>
      </c>
      <c r="H822" s="4">
        <v>0.489304812834225</v>
      </c>
      <c r="I822" s="4">
        <v>0.74099999999999999</v>
      </c>
      <c r="J822" s="4">
        <v>0.65400000000000003</v>
      </c>
      <c r="K822" s="5">
        <v>100</v>
      </c>
      <c r="L822" s="5">
        <v>0</v>
      </c>
      <c r="M822" s="5">
        <v>100</v>
      </c>
      <c r="N822" s="5">
        <v>100</v>
      </c>
      <c r="O822" s="2">
        <v>0.49758039701597007</v>
      </c>
      <c r="P822" s="2">
        <v>0.71476964457311021</v>
      </c>
      <c r="Q822" s="2">
        <v>0.2997546536860502</v>
      </c>
      <c r="R822" s="2">
        <v>0.4246479275249383</v>
      </c>
    </row>
    <row r="823" spans="1:18" x14ac:dyDescent="0.3">
      <c r="A823" s="7">
        <v>748</v>
      </c>
      <c r="B823" s="7">
        <v>77</v>
      </c>
      <c r="C823" s="7">
        <v>0</v>
      </c>
      <c r="D823" s="7">
        <v>1</v>
      </c>
      <c r="E823" s="20" t="str">
        <f t="shared" si="12"/>
        <v>01</v>
      </c>
      <c r="F823" s="21">
        <v>1.15213686985955</v>
      </c>
      <c r="G823" s="4">
        <v>0.33700000000000002</v>
      </c>
      <c r="H823" s="4">
        <v>0.28177966101694901</v>
      </c>
      <c r="I823" s="4">
        <v>0.94099999999999995</v>
      </c>
      <c r="J823" s="4">
        <v>0.90400000000000003</v>
      </c>
      <c r="K823" s="5">
        <v>0</v>
      </c>
      <c r="L823" s="5">
        <v>0</v>
      </c>
      <c r="M823" s="5">
        <v>100</v>
      </c>
      <c r="N823" s="5">
        <v>100</v>
      </c>
      <c r="O823" s="2">
        <v>1.0876723486297752</v>
      </c>
      <c r="P823" s="2">
        <v>1.2666298573638022</v>
      </c>
      <c r="Q823" s="2">
        <v>6.0812139396757475E-2</v>
      </c>
      <c r="R823" s="2">
        <v>0.10092591858996053</v>
      </c>
    </row>
    <row r="824" spans="1:18" x14ac:dyDescent="0.3">
      <c r="A824" s="7">
        <v>30</v>
      </c>
      <c r="B824" s="7">
        <v>61</v>
      </c>
      <c r="C824" s="7">
        <v>0</v>
      </c>
      <c r="D824" s="7">
        <v>1</v>
      </c>
      <c r="E824" s="20" t="str">
        <f t="shared" si="12"/>
        <v>01</v>
      </c>
      <c r="F824" s="21">
        <v>1.15605701123127</v>
      </c>
      <c r="G824" s="4">
        <v>0.35199999999999998</v>
      </c>
      <c r="H824" s="4">
        <v>0.243559718969555</v>
      </c>
      <c r="I824" s="4">
        <v>0.93100000000000005</v>
      </c>
      <c r="J824" s="4">
        <v>0.90900000000000003</v>
      </c>
      <c r="K824" s="5">
        <v>0</v>
      </c>
      <c r="L824" s="5">
        <v>0</v>
      </c>
      <c r="M824" s="5">
        <v>100</v>
      </c>
      <c r="N824" s="5">
        <v>100</v>
      </c>
      <c r="O824" s="2">
        <v>1.04412410338404</v>
      </c>
      <c r="P824" s="2">
        <v>1.4123931140872521</v>
      </c>
      <c r="Q824" s="2">
        <v>7.1496001705069923E-2</v>
      </c>
      <c r="R824" s="2">
        <v>9.5410184804658182E-2</v>
      </c>
    </row>
    <row r="825" spans="1:18" x14ac:dyDescent="0.3">
      <c r="A825" s="7">
        <v>848</v>
      </c>
      <c r="B825" s="7">
        <v>67</v>
      </c>
      <c r="C825" s="7">
        <v>0</v>
      </c>
      <c r="D825" s="7">
        <v>1</v>
      </c>
      <c r="E825" s="20" t="str">
        <f t="shared" si="12"/>
        <v>01</v>
      </c>
      <c r="F825" s="21">
        <v>1.2095067651423701</v>
      </c>
      <c r="G825" s="4">
        <v>0.41599999999999998</v>
      </c>
      <c r="H825" s="4">
        <v>0.35546038543897202</v>
      </c>
      <c r="I825" s="4">
        <v>0.93</v>
      </c>
      <c r="J825" s="4">
        <v>0.90800000000000003</v>
      </c>
      <c r="K825" s="5">
        <v>0</v>
      </c>
      <c r="L825" s="5">
        <v>0</v>
      </c>
      <c r="M825" s="5">
        <v>100</v>
      </c>
      <c r="N825" s="5">
        <v>100</v>
      </c>
      <c r="O825" s="2">
        <v>0.87707001872087387</v>
      </c>
      <c r="P825" s="2">
        <v>1.0343414693123545</v>
      </c>
      <c r="Q825" s="2">
        <v>7.2570692834835374E-2</v>
      </c>
      <c r="R825" s="2">
        <v>9.6510900380843728E-2</v>
      </c>
    </row>
    <row r="826" spans="1:18" x14ac:dyDescent="0.3">
      <c r="A826" s="7">
        <v>832</v>
      </c>
      <c r="B826" s="7">
        <v>63</v>
      </c>
      <c r="C826" s="7">
        <v>0</v>
      </c>
      <c r="D826" s="7">
        <v>1</v>
      </c>
      <c r="E826" s="20" t="str">
        <f t="shared" si="12"/>
        <v>01</v>
      </c>
      <c r="F826" s="21">
        <v>1.2177249702706201</v>
      </c>
      <c r="G826" s="4">
        <v>0.437</v>
      </c>
      <c r="H826" s="4">
        <v>0.36622807017543901</v>
      </c>
      <c r="I826" s="4">
        <v>0.879</v>
      </c>
      <c r="J826" s="4">
        <v>0.873</v>
      </c>
      <c r="K826" s="5">
        <v>0</v>
      </c>
      <c r="L826" s="5">
        <v>0</v>
      </c>
      <c r="M826" s="5">
        <v>100</v>
      </c>
      <c r="N826" s="5">
        <v>100</v>
      </c>
      <c r="O826" s="2">
        <v>0.82782208388654688</v>
      </c>
      <c r="P826" s="2">
        <v>1.0044989970976299</v>
      </c>
      <c r="Q826" s="2">
        <v>0.12897038129696006</v>
      </c>
      <c r="R826" s="2">
        <v>0.13581972314253485</v>
      </c>
    </row>
    <row r="827" spans="1:18" x14ac:dyDescent="0.3">
      <c r="A827" s="7">
        <v>845</v>
      </c>
      <c r="B827" s="7">
        <v>100</v>
      </c>
      <c r="C827" s="7">
        <v>0</v>
      </c>
      <c r="D827" s="7">
        <v>1</v>
      </c>
      <c r="E827" s="20" t="str">
        <f t="shared" si="12"/>
        <v>01</v>
      </c>
      <c r="F827" s="21">
        <v>1.2240102662182</v>
      </c>
      <c r="G827" s="4">
        <v>0.38700000000000001</v>
      </c>
      <c r="H827" s="4">
        <v>0.28988764044943799</v>
      </c>
      <c r="I827" s="4">
        <v>0.90700000000000003</v>
      </c>
      <c r="J827" s="4">
        <v>0.88100000000000001</v>
      </c>
      <c r="K827" s="5">
        <v>0</v>
      </c>
      <c r="L827" s="5">
        <v>0</v>
      </c>
      <c r="M827" s="5">
        <v>100</v>
      </c>
      <c r="N827" s="5">
        <v>100</v>
      </c>
      <c r="O827" s="2">
        <v>0.9493305859523552</v>
      </c>
      <c r="P827" s="2">
        <v>1.2382618778045689</v>
      </c>
      <c r="Q827" s="2">
        <v>9.7612828867000415E-2</v>
      </c>
      <c r="R827" s="2">
        <v>0.12669765304595754</v>
      </c>
    </row>
    <row r="828" spans="1:18" x14ac:dyDescent="0.3">
      <c r="A828" s="7">
        <v>465</v>
      </c>
      <c r="B828" s="7">
        <v>62</v>
      </c>
      <c r="C828" s="7">
        <v>0</v>
      </c>
      <c r="D828" s="7">
        <v>1</v>
      </c>
      <c r="E828" s="20" t="str">
        <f t="shared" si="12"/>
        <v>01</v>
      </c>
      <c r="F828" s="21">
        <v>1.2369054111298701</v>
      </c>
      <c r="G828" s="4">
        <v>0.54300000000000004</v>
      </c>
      <c r="H828" s="4">
        <v>0.51276102088167097</v>
      </c>
      <c r="I828" s="4">
        <v>0.92200000000000004</v>
      </c>
      <c r="J828" s="4">
        <v>0.875</v>
      </c>
      <c r="K828" s="5">
        <v>100</v>
      </c>
      <c r="L828" s="5">
        <v>100</v>
      </c>
      <c r="M828" s="5">
        <v>100</v>
      </c>
      <c r="N828" s="5">
        <v>100</v>
      </c>
      <c r="O828" s="2">
        <v>0.61064595904820151</v>
      </c>
      <c r="P828" s="2">
        <v>0.66794538858599417</v>
      </c>
      <c r="Q828" s="2">
        <v>8.1210055425543173E-2</v>
      </c>
      <c r="R828" s="2">
        <v>0.13353139262452263</v>
      </c>
    </row>
    <row r="829" spans="1:18" x14ac:dyDescent="0.3">
      <c r="A829" s="7">
        <v>384</v>
      </c>
      <c r="B829" s="7">
        <v>56</v>
      </c>
      <c r="C829" s="7">
        <v>0</v>
      </c>
      <c r="D829" s="7">
        <v>1</v>
      </c>
      <c r="E829" s="20" t="str">
        <f t="shared" si="12"/>
        <v>01</v>
      </c>
      <c r="F829" s="21">
        <v>1.24291132008274</v>
      </c>
      <c r="G829" s="4">
        <v>0.28599999999999998</v>
      </c>
      <c r="H829" s="4">
        <v>0.244769874476987</v>
      </c>
      <c r="I829" s="4">
        <v>6.3E-2</v>
      </c>
      <c r="J829" s="4">
        <v>6.6000000000000003E-2</v>
      </c>
      <c r="K829" s="5">
        <v>0</v>
      </c>
      <c r="L829" s="5">
        <v>0</v>
      </c>
      <c r="M829" s="5">
        <v>0</v>
      </c>
      <c r="N829" s="5">
        <v>0</v>
      </c>
      <c r="O829" s="2">
        <v>1.2517634681622845</v>
      </c>
      <c r="P829" s="2">
        <v>1.4074367976937017</v>
      </c>
      <c r="Q829" s="2">
        <v>2.7646205525906042</v>
      </c>
      <c r="R829" s="2">
        <v>2.7181005369557116</v>
      </c>
    </row>
    <row r="830" spans="1:18" x14ac:dyDescent="0.3">
      <c r="A830" s="7">
        <v>840</v>
      </c>
      <c r="B830" s="7">
        <v>48</v>
      </c>
      <c r="C830" s="7">
        <v>0</v>
      </c>
      <c r="D830" s="7">
        <v>1</v>
      </c>
      <c r="E830" s="20" t="str">
        <f t="shared" si="12"/>
        <v>01</v>
      </c>
      <c r="F830" s="21">
        <v>1.28774449783397</v>
      </c>
      <c r="G830" s="4">
        <v>0.33700000000000002</v>
      </c>
      <c r="H830" s="4">
        <v>0.29912663755458502</v>
      </c>
      <c r="I830" s="4">
        <v>0.91100000000000003</v>
      </c>
      <c r="J830" s="4">
        <v>0.88900000000000001</v>
      </c>
      <c r="K830" s="5">
        <v>0</v>
      </c>
      <c r="L830" s="5">
        <v>0</v>
      </c>
      <c r="M830" s="5">
        <v>100</v>
      </c>
      <c r="N830" s="5">
        <v>100</v>
      </c>
      <c r="O830" s="2">
        <v>1.0876723486297752</v>
      </c>
      <c r="P830" s="2">
        <v>1.2068882582860605</v>
      </c>
      <c r="Q830" s="2">
        <v>9.3212381722178703E-2</v>
      </c>
      <c r="R830" s="2">
        <v>0.11765804346823246</v>
      </c>
    </row>
    <row r="831" spans="1:18" x14ac:dyDescent="0.3">
      <c r="A831" s="7">
        <v>696</v>
      </c>
      <c r="B831" s="7">
        <v>71</v>
      </c>
      <c r="C831" s="7">
        <v>0</v>
      </c>
      <c r="D831" s="7">
        <v>1</v>
      </c>
      <c r="E831" s="20" t="str">
        <f t="shared" si="12"/>
        <v>01</v>
      </c>
      <c r="F831" s="21">
        <v>1.30289695396769</v>
      </c>
      <c r="G831" s="4">
        <v>0.436</v>
      </c>
      <c r="H831" s="4">
        <v>0.39301310043668097</v>
      </c>
      <c r="I831" s="4">
        <v>0.79</v>
      </c>
      <c r="J831" s="4">
        <v>0.86599999999999999</v>
      </c>
      <c r="K831" s="5">
        <v>0</v>
      </c>
      <c r="L831" s="5">
        <v>0</v>
      </c>
      <c r="M831" s="5">
        <v>100</v>
      </c>
      <c r="N831" s="5">
        <v>100</v>
      </c>
      <c r="O831" s="2">
        <v>0.83011303563310268</v>
      </c>
      <c r="P831" s="2">
        <v>0.93391233322397527</v>
      </c>
      <c r="Q831" s="2">
        <v>0.23572233352106983</v>
      </c>
      <c r="R831" s="2">
        <v>0.14387037041970191</v>
      </c>
    </row>
    <row r="832" spans="1:18" x14ac:dyDescent="0.3">
      <c r="A832" s="7">
        <v>33</v>
      </c>
      <c r="B832" s="7">
        <v>47</v>
      </c>
      <c r="C832" s="7">
        <v>0</v>
      </c>
      <c r="D832" s="7">
        <v>1</v>
      </c>
      <c r="E832" s="20" t="str">
        <f t="shared" si="12"/>
        <v>01</v>
      </c>
      <c r="F832" s="21">
        <v>1.3196276497013999</v>
      </c>
      <c r="G832" s="4">
        <v>0.35599999999999998</v>
      </c>
      <c r="H832" s="4">
        <v>0.322717622080679</v>
      </c>
      <c r="I832" s="4">
        <v>0.91100000000000003</v>
      </c>
      <c r="J832" s="4">
        <v>0.89600000000000002</v>
      </c>
      <c r="K832" s="5">
        <v>0</v>
      </c>
      <c r="L832" s="5">
        <v>0</v>
      </c>
      <c r="M832" s="5">
        <v>100</v>
      </c>
      <c r="N832" s="5">
        <v>100</v>
      </c>
      <c r="O832" s="2">
        <v>1.0328245481301066</v>
      </c>
      <c r="P832" s="2">
        <v>1.1309775731701426</v>
      </c>
      <c r="Q832" s="2">
        <v>9.3212381722178703E-2</v>
      </c>
      <c r="R832" s="2">
        <v>0.10981486600720657</v>
      </c>
    </row>
    <row r="833" spans="1:18" x14ac:dyDescent="0.3">
      <c r="A833" s="7">
        <v>365</v>
      </c>
      <c r="B833" s="7">
        <v>44</v>
      </c>
      <c r="C833" s="7">
        <v>0</v>
      </c>
      <c r="D833" s="7">
        <v>1</v>
      </c>
      <c r="E833" s="20" t="str">
        <f t="shared" si="12"/>
        <v>01</v>
      </c>
      <c r="F833" s="21">
        <v>1.3213844603781899</v>
      </c>
      <c r="G833" s="4">
        <v>0.59799999999999998</v>
      </c>
      <c r="H833" s="4">
        <v>0.51536643026004703</v>
      </c>
      <c r="I833" s="4">
        <v>0.93700000000000006</v>
      </c>
      <c r="J833" s="4">
        <v>0.91300000000000003</v>
      </c>
      <c r="K833" s="5">
        <v>100</v>
      </c>
      <c r="L833" s="5">
        <v>100</v>
      </c>
      <c r="M833" s="5">
        <v>100</v>
      </c>
      <c r="N833" s="5">
        <v>100</v>
      </c>
      <c r="O833" s="2">
        <v>0.51416452503150534</v>
      </c>
      <c r="P833" s="2">
        <v>0.66287711625718948</v>
      </c>
      <c r="Q833" s="2">
        <v>6.5071996743714805E-2</v>
      </c>
      <c r="R833" s="2">
        <v>9.1019398387168549E-2</v>
      </c>
    </row>
    <row r="834" spans="1:18" x14ac:dyDescent="0.3">
      <c r="A834" s="7">
        <v>861</v>
      </c>
      <c r="B834" s="7">
        <v>53</v>
      </c>
      <c r="C834" s="7">
        <v>0</v>
      </c>
      <c r="D834" s="7">
        <v>1</v>
      </c>
      <c r="E834" s="20" t="str">
        <f t="shared" ref="E834:E897" si="13">_xlfn.CONCAT(C834,D834)</f>
        <v>01</v>
      </c>
      <c r="F834" s="21">
        <v>1.3366360684490599</v>
      </c>
      <c r="G834" s="4">
        <v>0.55500000000000005</v>
      </c>
      <c r="H834" s="4">
        <v>0.41984732824427501</v>
      </c>
      <c r="I834" s="4">
        <v>0.92900000000000005</v>
      </c>
      <c r="J834" s="4">
        <v>0.85899999999999999</v>
      </c>
      <c r="K834" s="5">
        <v>100</v>
      </c>
      <c r="L834" s="5">
        <v>0</v>
      </c>
      <c r="M834" s="5">
        <v>100</v>
      </c>
      <c r="N834" s="5">
        <v>100</v>
      </c>
      <c r="O834" s="2">
        <v>0.5887871652357024</v>
      </c>
      <c r="P834" s="2">
        <v>0.86786413796868012</v>
      </c>
      <c r="Q834" s="2">
        <v>7.3646540168298483E-2</v>
      </c>
      <c r="R834" s="2">
        <v>0.15198635699788171</v>
      </c>
    </row>
    <row r="835" spans="1:18" x14ac:dyDescent="0.3">
      <c r="A835" s="7">
        <v>145</v>
      </c>
      <c r="B835" s="7">
        <v>44</v>
      </c>
      <c r="C835" s="7">
        <v>0</v>
      </c>
      <c r="D835" s="7">
        <v>1</v>
      </c>
      <c r="E835" s="20" t="str">
        <f t="shared" si="13"/>
        <v>01</v>
      </c>
      <c r="F835" s="21">
        <v>1.3419000698585699</v>
      </c>
      <c r="G835" s="4">
        <v>0.23499999999999999</v>
      </c>
      <c r="H835" s="4">
        <v>0.20833333333333301</v>
      </c>
      <c r="I835" s="4">
        <v>0.78800000000000003</v>
      </c>
      <c r="J835" s="4">
        <v>0.83799999999999997</v>
      </c>
      <c r="K835" s="5">
        <v>0</v>
      </c>
      <c r="L835" s="5">
        <v>0</v>
      </c>
      <c r="M835" s="5">
        <v>100</v>
      </c>
      <c r="N835" s="5">
        <v>100</v>
      </c>
      <c r="O835" s="2">
        <v>1.4481697648379781</v>
      </c>
      <c r="P835" s="2">
        <v>1.5686159179138468</v>
      </c>
      <c r="Q835" s="2">
        <v>0.23825718912425789</v>
      </c>
      <c r="R835" s="2">
        <v>0.17673717850005405</v>
      </c>
    </row>
    <row r="836" spans="1:18" x14ac:dyDescent="0.3">
      <c r="A836" s="7">
        <v>929</v>
      </c>
      <c r="B836" s="7">
        <v>57</v>
      </c>
      <c r="C836" s="7">
        <v>0</v>
      </c>
      <c r="D836" s="7">
        <v>1</v>
      </c>
      <c r="E836" s="20" t="str">
        <f t="shared" si="13"/>
        <v>01</v>
      </c>
      <c r="F836" s="21">
        <v>1.35171916464574</v>
      </c>
      <c r="G836" s="4">
        <v>0.436</v>
      </c>
      <c r="H836" s="4">
        <v>0.36563876651982402</v>
      </c>
      <c r="I836" s="4">
        <v>0.93899999999999995</v>
      </c>
      <c r="J836" s="4">
        <v>0.88900000000000001</v>
      </c>
      <c r="K836" s="5">
        <v>0</v>
      </c>
      <c r="L836" s="5">
        <v>0</v>
      </c>
      <c r="M836" s="5">
        <v>100</v>
      </c>
      <c r="N836" s="5">
        <v>100</v>
      </c>
      <c r="O836" s="2">
        <v>0.83011303563310268</v>
      </c>
      <c r="P836" s="2">
        <v>1.0061094096848042</v>
      </c>
      <c r="Q836" s="2">
        <v>6.2939799773874205E-2</v>
      </c>
      <c r="R836" s="2">
        <v>0.11765804346823246</v>
      </c>
    </row>
    <row r="837" spans="1:18" x14ac:dyDescent="0.3">
      <c r="A837" s="7">
        <v>159</v>
      </c>
      <c r="B837" s="7">
        <v>60</v>
      </c>
      <c r="C837" s="7">
        <v>0</v>
      </c>
      <c r="D837" s="7">
        <v>1</v>
      </c>
      <c r="E837" s="20" t="str">
        <f t="shared" si="13"/>
        <v>01</v>
      </c>
      <c r="F837" s="21">
        <v>1.3682183256479701</v>
      </c>
      <c r="G837" s="4">
        <v>0.60599999999999998</v>
      </c>
      <c r="H837" s="4">
        <v>0.52655889145496504</v>
      </c>
      <c r="I837" s="4">
        <v>0.93400000000000005</v>
      </c>
      <c r="J837" s="4">
        <v>0.91300000000000003</v>
      </c>
      <c r="K837" s="5">
        <v>100</v>
      </c>
      <c r="L837" s="5">
        <v>100</v>
      </c>
      <c r="M837" s="5">
        <v>100</v>
      </c>
      <c r="N837" s="5">
        <v>100</v>
      </c>
      <c r="O837" s="2">
        <v>0.50087529291282262</v>
      </c>
      <c r="P837" s="2">
        <v>0.64139209904804972</v>
      </c>
      <c r="Q837" s="2">
        <v>6.8278840753294379E-2</v>
      </c>
      <c r="R837" s="2">
        <v>9.1019398387168549E-2</v>
      </c>
    </row>
    <row r="838" spans="1:18" x14ac:dyDescent="0.3">
      <c r="A838" s="7">
        <v>656</v>
      </c>
      <c r="B838" s="7">
        <v>48</v>
      </c>
      <c r="C838" s="7">
        <v>0</v>
      </c>
      <c r="D838" s="7">
        <v>1</v>
      </c>
      <c r="E838" s="20" t="str">
        <f t="shared" si="13"/>
        <v>01</v>
      </c>
      <c r="F838" s="21">
        <v>1.3715435981310899</v>
      </c>
      <c r="G838" s="4">
        <v>0.28999999999999998</v>
      </c>
      <c r="H838" s="4">
        <v>0.24458874458874499</v>
      </c>
      <c r="I838" s="4">
        <v>0.94499999999999995</v>
      </c>
      <c r="J838" s="4">
        <v>0.88500000000000001</v>
      </c>
      <c r="K838" s="5">
        <v>0</v>
      </c>
      <c r="L838" s="5">
        <v>0</v>
      </c>
      <c r="M838" s="5">
        <v>100</v>
      </c>
      <c r="N838" s="5">
        <v>100</v>
      </c>
      <c r="O838" s="2">
        <v>1.2378743560016174</v>
      </c>
      <c r="P838" s="2">
        <v>1.4081770723693967</v>
      </c>
      <c r="Q838" s="2">
        <v>5.6570351488394351E-2</v>
      </c>
      <c r="R838" s="2">
        <v>0.12216763397420753</v>
      </c>
    </row>
    <row r="839" spans="1:18" x14ac:dyDescent="0.3">
      <c r="A839" s="7">
        <v>252</v>
      </c>
      <c r="B839" s="7">
        <v>38</v>
      </c>
      <c r="C839" s="7">
        <v>0</v>
      </c>
      <c r="D839" s="7">
        <v>1</v>
      </c>
      <c r="E839" s="20" t="str">
        <f t="shared" si="13"/>
        <v>01</v>
      </c>
      <c r="F839" s="21">
        <v>1.38104412878018</v>
      </c>
      <c r="G839" s="4">
        <v>0.753</v>
      </c>
      <c r="H839" s="4">
        <v>0.63324538258575203</v>
      </c>
      <c r="I839" s="4">
        <v>0.70499999999999996</v>
      </c>
      <c r="J839" s="4">
        <v>0.64600000000000002</v>
      </c>
      <c r="K839" s="5">
        <v>100</v>
      </c>
      <c r="L839" s="5">
        <v>100</v>
      </c>
      <c r="M839" s="5">
        <v>100</v>
      </c>
      <c r="N839" s="5">
        <v>100</v>
      </c>
      <c r="O839" s="2">
        <v>0.2836900511822435</v>
      </c>
      <c r="P839" s="2">
        <v>0.45689728174043498</v>
      </c>
      <c r="Q839" s="2">
        <v>0.34955747616986843</v>
      </c>
      <c r="R839" s="2">
        <v>0.43695577519953516</v>
      </c>
    </row>
    <row r="840" spans="1:18" x14ac:dyDescent="0.3">
      <c r="A840" s="7">
        <v>523</v>
      </c>
      <c r="B840" s="7">
        <v>38</v>
      </c>
      <c r="C840" s="7">
        <v>0</v>
      </c>
      <c r="D840" s="7">
        <v>1</v>
      </c>
      <c r="E840" s="20" t="str">
        <f t="shared" si="13"/>
        <v>01</v>
      </c>
      <c r="F840" s="21">
        <v>1.3983266620688199</v>
      </c>
      <c r="G840" s="4">
        <v>0.55800000000000005</v>
      </c>
      <c r="H840" s="4">
        <v>0.42328042328042298</v>
      </c>
      <c r="I840" s="4">
        <v>0.91700000000000004</v>
      </c>
      <c r="J840" s="4">
        <v>0.85599999999999998</v>
      </c>
      <c r="K840" s="5">
        <v>100</v>
      </c>
      <c r="L840" s="5">
        <v>0</v>
      </c>
      <c r="M840" s="5">
        <v>100</v>
      </c>
      <c r="N840" s="5">
        <v>100</v>
      </c>
      <c r="O840" s="2">
        <v>0.58339631660082603</v>
      </c>
      <c r="P840" s="2">
        <v>0.85972038038576148</v>
      </c>
      <c r="Q840" s="2">
        <v>8.6647806725672169E-2</v>
      </c>
      <c r="R840" s="2">
        <v>0.15548490284039498</v>
      </c>
    </row>
    <row r="841" spans="1:18" x14ac:dyDescent="0.3">
      <c r="A841" s="7">
        <v>378</v>
      </c>
      <c r="B841" s="7">
        <v>48</v>
      </c>
      <c r="C841" s="7">
        <v>0</v>
      </c>
      <c r="D841" s="7">
        <v>1</v>
      </c>
      <c r="E841" s="20" t="str">
        <f t="shared" si="13"/>
        <v>01</v>
      </c>
      <c r="F841" s="21">
        <v>1.42087644803999</v>
      </c>
      <c r="G841" s="4">
        <v>0.27</v>
      </c>
      <c r="H841" s="4">
        <v>0.26033057851239699</v>
      </c>
      <c r="I841" s="4">
        <v>9.5000000000000001E-2</v>
      </c>
      <c r="J841" s="4">
        <v>9.0999999999999998E-2</v>
      </c>
      <c r="K841" s="5">
        <v>0</v>
      </c>
      <c r="L841" s="5">
        <v>0</v>
      </c>
      <c r="M841" s="5">
        <v>0</v>
      </c>
      <c r="N841" s="5">
        <v>0</v>
      </c>
      <c r="O841" s="2">
        <v>1.3093333199837622</v>
      </c>
      <c r="P841" s="2">
        <v>1.3458029997651526</v>
      </c>
      <c r="Q841" s="2">
        <v>2.353878387381596</v>
      </c>
      <c r="R841" s="2">
        <v>2.3968957724652871</v>
      </c>
    </row>
    <row r="842" spans="1:18" x14ac:dyDescent="0.3">
      <c r="A842" s="7">
        <v>844</v>
      </c>
      <c r="B842" s="7">
        <v>39</v>
      </c>
      <c r="C842" s="7">
        <v>0</v>
      </c>
      <c r="D842" s="7">
        <v>1</v>
      </c>
      <c r="E842" s="20" t="str">
        <f t="shared" si="13"/>
        <v>01</v>
      </c>
      <c r="F842" s="21">
        <v>1.43281714577004</v>
      </c>
      <c r="G842" s="4">
        <v>0.54300000000000004</v>
      </c>
      <c r="H842" s="4">
        <v>0.46973365617433399</v>
      </c>
      <c r="I842" s="4">
        <v>0.91900000000000004</v>
      </c>
      <c r="J842" s="4">
        <v>0.88900000000000001</v>
      </c>
      <c r="K842" s="5">
        <v>100</v>
      </c>
      <c r="L842" s="5">
        <v>0</v>
      </c>
      <c r="M842" s="5">
        <v>100</v>
      </c>
      <c r="N842" s="5">
        <v>100</v>
      </c>
      <c r="O842" s="2">
        <v>0.61064595904820151</v>
      </c>
      <c r="P842" s="2">
        <v>0.75558943389770494</v>
      </c>
      <c r="Q842" s="2">
        <v>8.4469156626449965E-2</v>
      </c>
      <c r="R842" s="2">
        <v>0.11765804346823246</v>
      </c>
    </row>
    <row r="843" spans="1:18" x14ac:dyDescent="0.3">
      <c r="A843" s="7">
        <v>395</v>
      </c>
      <c r="B843" s="7">
        <v>51</v>
      </c>
      <c r="C843" s="7">
        <v>0</v>
      </c>
      <c r="D843" s="7">
        <v>1</v>
      </c>
      <c r="E843" s="20" t="str">
        <f t="shared" si="13"/>
        <v>01</v>
      </c>
      <c r="F843" s="21">
        <v>1.4612193994139999</v>
      </c>
      <c r="G843" s="4">
        <v>0.58899999999999997</v>
      </c>
      <c r="H843" s="4">
        <v>0.44892473118279602</v>
      </c>
      <c r="I843" s="4">
        <v>0.90600000000000003</v>
      </c>
      <c r="J843" s="4">
        <v>0.84499999999999997</v>
      </c>
      <c r="K843" s="5">
        <v>100</v>
      </c>
      <c r="L843" s="5">
        <v>0</v>
      </c>
      <c r="M843" s="5">
        <v>100</v>
      </c>
      <c r="N843" s="5">
        <v>100</v>
      </c>
      <c r="O843" s="2">
        <v>0.52932909533055039</v>
      </c>
      <c r="P843" s="2">
        <v>0.80090004185639074</v>
      </c>
      <c r="Q843" s="2">
        <v>9.8715972939157695E-2</v>
      </c>
      <c r="R843" s="2">
        <v>0.16841865162496325</v>
      </c>
    </row>
    <row r="844" spans="1:18" x14ac:dyDescent="0.3">
      <c r="A844" s="7">
        <v>607</v>
      </c>
      <c r="B844" s="7">
        <v>47</v>
      </c>
      <c r="C844" s="7">
        <v>0</v>
      </c>
      <c r="D844" s="7">
        <v>1</v>
      </c>
      <c r="E844" s="20" t="str">
        <f t="shared" si="13"/>
        <v>01</v>
      </c>
      <c r="F844" s="21">
        <v>1.5046791374642501</v>
      </c>
      <c r="G844" s="4">
        <v>0.60399999999999998</v>
      </c>
      <c r="H844" s="4">
        <v>0.49740932642487001</v>
      </c>
      <c r="I844" s="4">
        <v>7.8E-2</v>
      </c>
      <c r="J844" s="4">
        <v>0.11</v>
      </c>
      <c r="K844" s="5">
        <v>100</v>
      </c>
      <c r="L844" s="5">
        <v>0</v>
      </c>
      <c r="M844" s="5">
        <v>0</v>
      </c>
      <c r="N844" s="5">
        <v>0</v>
      </c>
      <c r="O844" s="2">
        <v>0.50418108104732218</v>
      </c>
      <c r="P844" s="2">
        <v>0.69834199743705028</v>
      </c>
      <c r="Q844" s="2">
        <v>2.5510464522925451</v>
      </c>
      <c r="R844" s="2">
        <v>2.2072749131897207</v>
      </c>
    </row>
    <row r="845" spans="1:18" x14ac:dyDescent="0.3">
      <c r="A845" s="7">
        <v>719</v>
      </c>
      <c r="B845" s="7">
        <v>85</v>
      </c>
      <c r="C845" s="7">
        <v>0</v>
      </c>
      <c r="D845" s="7">
        <v>1</v>
      </c>
      <c r="E845" s="20" t="str">
        <f t="shared" si="13"/>
        <v>01</v>
      </c>
      <c r="F845" s="21">
        <v>1.51684929611799</v>
      </c>
      <c r="G845" s="4">
        <v>0.47699999999999998</v>
      </c>
      <c r="H845" s="4">
        <v>0.39855072463768099</v>
      </c>
      <c r="I845" s="4">
        <v>0.93600000000000005</v>
      </c>
      <c r="J845" s="4">
        <v>0.89700000000000002</v>
      </c>
      <c r="K845" s="5">
        <v>0</v>
      </c>
      <c r="L845" s="5">
        <v>0</v>
      </c>
      <c r="M845" s="5">
        <v>100</v>
      </c>
      <c r="N845" s="5">
        <v>100</v>
      </c>
      <c r="O845" s="2">
        <v>0.74023878809379584</v>
      </c>
      <c r="P845" s="2">
        <v>0.91992049992473424</v>
      </c>
      <c r="Q845" s="2">
        <v>6.6139802504544945E-2</v>
      </c>
      <c r="R845" s="2">
        <v>0.10869941692334091</v>
      </c>
    </row>
    <row r="846" spans="1:18" x14ac:dyDescent="0.3">
      <c r="A846" s="7">
        <v>695</v>
      </c>
      <c r="B846" s="7">
        <v>45</v>
      </c>
      <c r="C846" s="7">
        <v>0</v>
      </c>
      <c r="D846" s="7">
        <v>1</v>
      </c>
      <c r="E846" s="20" t="str">
        <f t="shared" si="13"/>
        <v>01</v>
      </c>
      <c r="F846" s="21">
        <v>1.5213594524138301</v>
      </c>
      <c r="G846" s="4">
        <v>0.46600000000000003</v>
      </c>
      <c r="H846" s="4">
        <v>0.31313131313131298</v>
      </c>
      <c r="I846" s="4">
        <v>0.95499999999999996</v>
      </c>
      <c r="J846" s="4">
        <v>0.89</v>
      </c>
      <c r="K846" s="5">
        <v>0</v>
      </c>
      <c r="L846" s="5">
        <v>0</v>
      </c>
      <c r="M846" s="5">
        <v>100</v>
      </c>
      <c r="N846" s="5">
        <v>100</v>
      </c>
      <c r="O846" s="2">
        <v>0.76356964485649115</v>
      </c>
      <c r="P846" s="2">
        <v>1.1611326456494442</v>
      </c>
      <c r="Q846" s="2">
        <v>4.6043938501406846E-2</v>
      </c>
      <c r="R846" s="2">
        <v>0.11653381625595151</v>
      </c>
    </row>
    <row r="847" spans="1:18" x14ac:dyDescent="0.3">
      <c r="A847" s="7">
        <v>393</v>
      </c>
      <c r="B847" s="7">
        <v>36</v>
      </c>
      <c r="C847" s="7">
        <v>0</v>
      </c>
      <c r="D847" s="7">
        <v>1</v>
      </c>
      <c r="E847" s="20" t="str">
        <f t="shared" si="13"/>
        <v>01</v>
      </c>
      <c r="F847" s="21">
        <v>1.54961567744596</v>
      </c>
      <c r="G847" s="4">
        <v>0.40899999999999997</v>
      </c>
      <c r="H847" s="4">
        <v>0.35346756152125303</v>
      </c>
      <c r="I847" s="4">
        <v>0.86899999999999999</v>
      </c>
      <c r="J847" s="4">
        <v>0.86099999999999999</v>
      </c>
      <c r="K847" s="5">
        <v>0</v>
      </c>
      <c r="L847" s="5">
        <v>0</v>
      </c>
      <c r="M847" s="5">
        <v>100</v>
      </c>
      <c r="N847" s="5">
        <v>100</v>
      </c>
      <c r="O847" s="2">
        <v>0.89404012293933532</v>
      </c>
      <c r="P847" s="2">
        <v>1.0399635615866014</v>
      </c>
      <c r="Q847" s="2">
        <v>0.14041215371674501</v>
      </c>
      <c r="R847" s="2">
        <v>0.14966077455440627</v>
      </c>
    </row>
    <row r="848" spans="1:18" x14ac:dyDescent="0.3">
      <c r="A848" s="7">
        <v>422</v>
      </c>
      <c r="B848" s="7">
        <v>31</v>
      </c>
      <c r="C848" s="7">
        <v>0</v>
      </c>
      <c r="D848" s="7">
        <v>1</v>
      </c>
      <c r="E848" s="20" t="str">
        <f t="shared" si="13"/>
        <v>01</v>
      </c>
      <c r="F848" s="21">
        <v>1.55641639327262</v>
      </c>
      <c r="G848" s="4">
        <v>0.58299999999999996</v>
      </c>
      <c r="H848" s="4">
        <v>0.52847380410022804</v>
      </c>
      <c r="I848" s="4">
        <v>0.89600000000000002</v>
      </c>
      <c r="J848" s="4">
        <v>0.88800000000000001</v>
      </c>
      <c r="K848" s="5">
        <v>100</v>
      </c>
      <c r="L848" s="5">
        <v>100</v>
      </c>
      <c r="M848" s="5">
        <v>100</v>
      </c>
      <c r="N848" s="5">
        <v>100</v>
      </c>
      <c r="O848" s="2">
        <v>0.53956809263164474</v>
      </c>
      <c r="P848" s="2">
        <v>0.63776204140886095</v>
      </c>
      <c r="Q848" s="2">
        <v>0.10981486600720657</v>
      </c>
      <c r="R848" s="2">
        <v>0.11878353598996698</v>
      </c>
    </row>
    <row r="849" spans="1:18" x14ac:dyDescent="0.3">
      <c r="A849" s="7">
        <v>865</v>
      </c>
      <c r="B849" s="7">
        <v>371</v>
      </c>
      <c r="C849" s="7">
        <v>0</v>
      </c>
      <c r="D849" s="7">
        <v>1</v>
      </c>
      <c r="E849" s="20" t="str">
        <f t="shared" si="13"/>
        <v>01</v>
      </c>
      <c r="F849" s="21">
        <v>1.59893450923119</v>
      </c>
      <c r="G849" s="4">
        <v>0.50800000000000001</v>
      </c>
      <c r="H849" s="4">
        <v>0.43243243243243201</v>
      </c>
      <c r="I849" s="4">
        <v>0.71199999999999997</v>
      </c>
      <c r="J849" s="4">
        <v>0.628</v>
      </c>
      <c r="K849" s="5">
        <v>100</v>
      </c>
      <c r="L849" s="5">
        <v>0</v>
      </c>
      <c r="M849" s="5">
        <v>100</v>
      </c>
      <c r="N849" s="5">
        <v>100</v>
      </c>
      <c r="O849" s="2">
        <v>0.67727383140365516</v>
      </c>
      <c r="P849" s="2">
        <v>0.8383291904044442</v>
      </c>
      <c r="Q849" s="2">
        <v>0.33967736757016131</v>
      </c>
      <c r="R849" s="2">
        <v>0.46521511251393838</v>
      </c>
    </row>
    <row r="850" spans="1:18" x14ac:dyDescent="0.3">
      <c r="A850" s="7">
        <v>428</v>
      </c>
      <c r="B850" s="7">
        <v>24</v>
      </c>
      <c r="C850" s="7">
        <v>0</v>
      </c>
      <c r="D850" s="7">
        <v>1</v>
      </c>
      <c r="E850" s="20" t="str">
        <f t="shared" si="13"/>
        <v>01</v>
      </c>
      <c r="F850" s="21">
        <v>1.6123990919415201</v>
      </c>
      <c r="G850" s="4">
        <v>0.46899999999999997</v>
      </c>
      <c r="H850" s="4">
        <v>0.41891891891891903</v>
      </c>
      <c r="I850" s="4">
        <v>0.11899999999999999</v>
      </c>
      <c r="J850" s="4">
        <v>0.112</v>
      </c>
      <c r="K850" s="5">
        <v>0</v>
      </c>
      <c r="L850" s="5">
        <v>0</v>
      </c>
      <c r="M850" s="5">
        <v>0</v>
      </c>
      <c r="N850" s="5">
        <v>0</v>
      </c>
      <c r="O850" s="2">
        <v>0.75715251053585775</v>
      </c>
      <c r="P850" s="2">
        <v>0.87007788871902325</v>
      </c>
      <c r="Q850" s="2">
        <v>2.1286317858706076</v>
      </c>
      <c r="R850" s="2">
        <v>2.1892564076870427</v>
      </c>
    </row>
    <row r="851" spans="1:18" x14ac:dyDescent="0.3">
      <c r="A851" s="7">
        <v>279</v>
      </c>
      <c r="B851" s="7">
        <v>102</v>
      </c>
      <c r="C851" s="7">
        <v>0</v>
      </c>
      <c r="D851" s="7">
        <v>1</v>
      </c>
      <c r="E851" s="20" t="str">
        <f t="shared" si="13"/>
        <v>01</v>
      </c>
      <c r="F851" s="21">
        <v>1.62902994946025</v>
      </c>
      <c r="G851" s="4">
        <v>0.61699999999999999</v>
      </c>
      <c r="H851" s="4">
        <v>0.49268292682926801</v>
      </c>
      <c r="I851" s="4">
        <v>0.92700000000000005</v>
      </c>
      <c r="J851" s="4">
        <v>0.875</v>
      </c>
      <c r="K851" s="5">
        <v>100</v>
      </c>
      <c r="L851" s="5">
        <v>0</v>
      </c>
      <c r="M851" s="5">
        <v>100</v>
      </c>
      <c r="N851" s="5">
        <v>100</v>
      </c>
      <c r="O851" s="2">
        <v>0.48288625507674926</v>
      </c>
      <c r="P851" s="2">
        <v>0.70788946229714933</v>
      </c>
      <c r="Q851" s="2">
        <v>7.5801713416281849E-2</v>
      </c>
      <c r="R851" s="2">
        <v>0.13353139262452263</v>
      </c>
    </row>
    <row r="852" spans="1:18" x14ac:dyDescent="0.3">
      <c r="A852" s="7">
        <v>996</v>
      </c>
      <c r="B852" s="7">
        <v>22</v>
      </c>
      <c r="C852" s="7">
        <v>0</v>
      </c>
      <c r="D852" s="7">
        <v>1</v>
      </c>
      <c r="E852" s="20" t="str">
        <f t="shared" si="13"/>
        <v>01</v>
      </c>
      <c r="F852" s="21">
        <v>1.6509386296920101</v>
      </c>
      <c r="G852" s="4">
        <v>0.57199999999999995</v>
      </c>
      <c r="H852" s="4">
        <v>0.39295392953929498</v>
      </c>
      <c r="I852" s="4">
        <v>0.83599999999999997</v>
      </c>
      <c r="J852" s="4">
        <v>0.78400000000000003</v>
      </c>
      <c r="K852" s="5">
        <v>100</v>
      </c>
      <c r="L852" s="5">
        <v>0</v>
      </c>
      <c r="M852" s="5">
        <v>100</v>
      </c>
      <c r="N852" s="5">
        <v>100</v>
      </c>
      <c r="O852" s="2">
        <v>0.55861628760233928</v>
      </c>
      <c r="P852" s="2">
        <v>0.93406290161995387</v>
      </c>
      <c r="Q852" s="2">
        <v>0.17912666589743548</v>
      </c>
      <c r="R852" s="2">
        <v>0.24334625863172918</v>
      </c>
    </row>
    <row r="853" spans="1:18" x14ac:dyDescent="0.3">
      <c r="A853" s="7">
        <v>882</v>
      </c>
      <c r="B853" s="7">
        <v>27</v>
      </c>
      <c r="C853" s="7">
        <v>0</v>
      </c>
      <c r="D853" s="7">
        <v>1</v>
      </c>
      <c r="E853" s="20" t="str">
        <f t="shared" si="13"/>
        <v>01</v>
      </c>
      <c r="F853" s="21">
        <v>1.7367562202965801</v>
      </c>
      <c r="G853" s="4">
        <v>0.44</v>
      </c>
      <c r="H853" s="4">
        <v>0.38744588744588698</v>
      </c>
      <c r="I853" s="4">
        <v>0.189</v>
      </c>
      <c r="J853" s="4">
        <v>0.13200000000000001</v>
      </c>
      <c r="K853" s="5">
        <v>0</v>
      </c>
      <c r="L853" s="5">
        <v>0</v>
      </c>
      <c r="M853" s="5">
        <v>0</v>
      </c>
      <c r="N853" s="5">
        <v>0</v>
      </c>
      <c r="O853" s="2">
        <v>0.82098055206983023</v>
      </c>
      <c r="P853" s="2">
        <v>0.94817908524098504</v>
      </c>
      <c r="Q853" s="2">
        <v>1.6660082639224947</v>
      </c>
      <c r="R853" s="2">
        <v>2.0249533563957662</v>
      </c>
    </row>
    <row r="854" spans="1:18" x14ac:dyDescent="0.3">
      <c r="A854" s="7">
        <v>474</v>
      </c>
      <c r="B854" s="7">
        <v>26</v>
      </c>
      <c r="C854" s="7">
        <v>0</v>
      </c>
      <c r="D854" s="7">
        <v>1</v>
      </c>
      <c r="E854" s="20" t="str">
        <f t="shared" si="13"/>
        <v>01</v>
      </c>
      <c r="F854" s="21">
        <v>1.7516203873024101</v>
      </c>
      <c r="G854" s="4">
        <v>0.251</v>
      </c>
      <c r="H854" s="4">
        <v>0.209302325581395</v>
      </c>
      <c r="I854" s="4">
        <v>0.11700000000000001</v>
      </c>
      <c r="J854" s="4">
        <v>0.13100000000000001</v>
      </c>
      <c r="K854" s="5">
        <v>0</v>
      </c>
      <c r="L854" s="5">
        <v>0</v>
      </c>
      <c r="M854" s="5">
        <v>0</v>
      </c>
      <c r="N854" s="5">
        <v>0</v>
      </c>
      <c r="O854" s="2">
        <v>1.3823023398503531</v>
      </c>
      <c r="P854" s="2">
        <v>1.5639755383573448</v>
      </c>
      <c r="Q854" s="2">
        <v>2.145581344184381</v>
      </c>
      <c r="R854" s="2">
        <v>2.0325579557809856</v>
      </c>
    </row>
    <row r="855" spans="1:18" x14ac:dyDescent="0.3">
      <c r="A855" s="7">
        <v>802</v>
      </c>
      <c r="B855" s="7">
        <v>23</v>
      </c>
      <c r="C855" s="7">
        <v>0</v>
      </c>
      <c r="D855" s="7">
        <v>1</v>
      </c>
      <c r="E855" s="20" t="str">
        <f t="shared" si="13"/>
        <v>01</v>
      </c>
      <c r="F855" s="21">
        <v>1.7756047383436</v>
      </c>
      <c r="G855" s="4">
        <v>0.32100000000000001</v>
      </c>
      <c r="H855" s="4">
        <v>0.30042016806722699</v>
      </c>
      <c r="I855" s="4">
        <v>0.81499999999999995</v>
      </c>
      <c r="J855" s="4">
        <v>0.83899999999999997</v>
      </c>
      <c r="K855" s="5">
        <v>0</v>
      </c>
      <c r="L855" s="5">
        <v>0</v>
      </c>
      <c r="M855" s="5">
        <v>100</v>
      </c>
      <c r="N855" s="5">
        <v>100</v>
      </c>
      <c r="O855" s="2">
        <v>1.1363141558521213</v>
      </c>
      <c r="P855" s="2">
        <v>1.2025732239715123</v>
      </c>
      <c r="Q855" s="2">
        <v>0.2045671657412744</v>
      </c>
      <c r="R855" s="2">
        <v>0.17554457251493091</v>
      </c>
    </row>
    <row r="856" spans="1:18" x14ac:dyDescent="0.3">
      <c r="A856" s="7">
        <v>19</v>
      </c>
      <c r="B856" s="7">
        <v>83</v>
      </c>
      <c r="C856" s="7">
        <v>0</v>
      </c>
      <c r="D856" s="7">
        <v>1</v>
      </c>
      <c r="E856" s="20" t="str">
        <f t="shared" si="13"/>
        <v>01</v>
      </c>
      <c r="F856" s="21">
        <v>1.7793405407932199</v>
      </c>
      <c r="G856" s="4">
        <v>0.35699999999999998</v>
      </c>
      <c r="H856" s="4">
        <v>0.26423690205011402</v>
      </c>
      <c r="I856" s="4">
        <v>0.55200000000000005</v>
      </c>
      <c r="J856" s="4">
        <v>0.52100000000000002</v>
      </c>
      <c r="K856" s="5">
        <v>0</v>
      </c>
      <c r="L856" s="5">
        <v>0</v>
      </c>
      <c r="M856" s="5">
        <v>100</v>
      </c>
      <c r="N856" s="5">
        <v>100</v>
      </c>
      <c r="O856" s="2">
        <v>1.0300194972024981</v>
      </c>
      <c r="P856" s="2">
        <v>1.3309092219688061</v>
      </c>
      <c r="Q856" s="2">
        <v>0.59420723270504161</v>
      </c>
      <c r="R856" s="2">
        <v>0.65200523722877013</v>
      </c>
    </row>
    <row r="857" spans="1:18" x14ac:dyDescent="0.3">
      <c r="A857" s="7">
        <v>385</v>
      </c>
      <c r="B857" s="7">
        <v>22</v>
      </c>
      <c r="C857" s="7">
        <v>0</v>
      </c>
      <c r="D857" s="7">
        <v>1</v>
      </c>
      <c r="E857" s="20" t="str">
        <f t="shared" si="13"/>
        <v>01</v>
      </c>
      <c r="F857" s="21">
        <v>1.8137232630559199</v>
      </c>
      <c r="G857" s="4">
        <v>0.64200000000000002</v>
      </c>
      <c r="H857" s="4">
        <v>0.56543209876543199</v>
      </c>
      <c r="I857" s="4">
        <v>0.91100000000000003</v>
      </c>
      <c r="J857" s="4">
        <v>0.84699999999999998</v>
      </c>
      <c r="K857" s="5">
        <v>100</v>
      </c>
      <c r="L857" s="5">
        <v>100</v>
      </c>
      <c r="M857" s="5">
        <v>100</v>
      </c>
      <c r="N857" s="5">
        <v>100</v>
      </c>
      <c r="O857" s="2">
        <v>0.44316697529217586</v>
      </c>
      <c r="P857" s="2">
        <v>0.57016506355229968</v>
      </c>
      <c r="Q857" s="2">
        <v>9.3212381722178703E-2</v>
      </c>
      <c r="R857" s="2">
        <v>0.16605458433008269</v>
      </c>
    </row>
    <row r="858" spans="1:18" x14ac:dyDescent="0.3">
      <c r="A858" s="7">
        <v>423</v>
      </c>
      <c r="B858" s="7">
        <v>22</v>
      </c>
      <c r="C858" s="7">
        <v>0</v>
      </c>
      <c r="D858" s="7">
        <v>1</v>
      </c>
      <c r="E858" s="20" t="str">
        <f t="shared" si="13"/>
        <v>01</v>
      </c>
      <c r="F858" s="21">
        <v>1.8195213363359799</v>
      </c>
      <c r="G858" s="4">
        <v>0.58799999999999997</v>
      </c>
      <c r="H858" s="4">
        <v>0.44380403458213302</v>
      </c>
      <c r="I858" s="4">
        <v>0.92100000000000004</v>
      </c>
      <c r="J858" s="4">
        <v>0.92900000000000005</v>
      </c>
      <c r="K858" s="5">
        <v>100</v>
      </c>
      <c r="L858" s="5">
        <v>0</v>
      </c>
      <c r="M858" s="5">
        <v>100</v>
      </c>
      <c r="N858" s="5">
        <v>100</v>
      </c>
      <c r="O858" s="2">
        <v>0.53102833108351022</v>
      </c>
      <c r="P858" s="2">
        <v>0.81237217753322899</v>
      </c>
      <c r="Q858" s="2">
        <v>8.2295242726830156E-2</v>
      </c>
      <c r="R858" s="2">
        <v>7.3646540168298483E-2</v>
      </c>
    </row>
    <row r="859" spans="1:18" x14ac:dyDescent="0.3">
      <c r="A859" s="7">
        <v>726</v>
      </c>
      <c r="B859" s="7">
        <v>42</v>
      </c>
      <c r="C859" s="7">
        <v>0</v>
      </c>
      <c r="D859" s="7">
        <v>1</v>
      </c>
      <c r="E859" s="20" t="str">
        <f t="shared" si="13"/>
        <v>01</v>
      </c>
      <c r="F859" s="21">
        <v>1.8438157945419</v>
      </c>
      <c r="G859" s="4">
        <v>0.67200000000000004</v>
      </c>
      <c r="H859" s="4">
        <v>0.56464379947229504</v>
      </c>
      <c r="I859" s="4">
        <v>0.90400000000000003</v>
      </c>
      <c r="J859" s="4">
        <v>0.83299999999999996</v>
      </c>
      <c r="K859" s="5">
        <v>100</v>
      </c>
      <c r="L859" s="5">
        <v>100</v>
      </c>
      <c r="M859" s="5">
        <v>100</v>
      </c>
      <c r="N859" s="5">
        <v>100</v>
      </c>
      <c r="O859" s="2">
        <v>0.39749693845898743</v>
      </c>
      <c r="P859" s="2">
        <v>0.57156019006057568</v>
      </c>
      <c r="Q859" s="2">
        <v>0.10092591858996053</v>
      </c>
      <c r="R859" s="2">
        <v>0.18272163681529441</v>
      </c>
    </row>
    <row r="860" spans="1:18" x14ac:dyDescent="0.3">
      <c r="A860" s="7">
        <v>754</v>
      </c>
      <c r="B860" s="7">
        <v>54</v>
      </c>
      <c r="C860" s="7">
        <v>0</v>
      </c>
      <c r="D860" s="7">
        <v>1</v>
      </c>
      <c r="E860" s="20" t="str">
        <f t="shared" si="13"/>
        <v>01</v>
      </c>
      <c r="F860" s="21">
        <v>1.8763131017371399</v>
      </c>
      <c r="G860" s="4">
        <v>0.28299999999999997</v>
      </c>
      <c r="H860" s="4">
        <v>0.27800829875518701</v>
      </c>
      <c r="I860" s="4">
        <v>0.14299999999999999</v>
      </c>
      <c r="J860" s="4">
        <v>0.13100000000000001</v>
      </c>
      <c r="K860" s="5">
        <v>0</v>
      </c>
      <c r="L860" s="5">
        <v>0</v>
      </c>
      <c r="M860" s="5">
        <v>0</v>
      </c>
      <c r="N860" s="5">
        <v>0</v>
      </c>
      <c r="O860" s="2">
        <v>1.2623083813388996</v>
      </c>
      <c r="P860" s="2">
        <v>1.2801043140996879</v>
      </c>
      <c r="Q860" s="2">
        <v>1.9449106487222299</v>
      </c>
      <c r="R860" s="2">
        <v>2.0325579557809856</v>
      </c>
    </row>
    <row r="861" spans="1:18" x14ac:dyDescent="0.3">
      <c r="A861" s="7">
        <v>248</v>
      </c>
      <c r="B861" s="7">
        <v>20</v>
      </c>
      <c r="C861" s="7">
        <v>0</v>
      </c>
      <c r="D861" s="7">
        <v>1</v>
      </c>
      <c r="E861" s="20" t="str">
        <f t="shared" si="13"/>
        <v>01</v>
      </c>
      <c r="F861" s="21">
        <v>1.89520754832609</v>
      </c>
      <c r="G861" s="4">
        <v>0.503</v>
      </c>
      <c r="H861" s="4">
        <v>0.42439024390243901</v>
      </c>
      <c r="I861" s="4">
        <v>0.129</v>
      </c>
      <c r="J861" s="4">
        <v>0.14599999999999999</v>
      </c>
      <c r="K861" s="5">
        <v>100</v>
      </c>
      <c r="L861" s="5">
        <v>0</v>
      </c>
      <c r="M861" s="5">
        <v>0</v>
      </c>
      <c r="N861" s="5">
        <v>0</v>
      </c>
      <c r="O861" s="2">
        <v>0.68716510888239779</v>
      </c>
      <c r="P861" s="2">
        <v>0.85710186048382453</v>
      </c>
      <c r="Q861" s="2">
        <v>2.0479428746204649</v>
      </c>
      <c r="R861" s="2">
        <v>1.9241486572738007</v>
      </c>
    </row>
    <row r="862" spans="1:18" x14ac:dyDescent="0.3">
      <c r="A862" s="7">
        <v>635</v>
      </c>
      <c r="B862" s="7">
        <v>26</v>
      </c>
      <c r="C862" s="7">
        <v>0</v>
      </c>
      <c r="D862" s="7">
        <v>1</v>
      </c>
      <c r="E862" s="20" t="str">
        <f t="shared" si="13"/>
        <v>01</v>
      </c>
      <c r="F862" s="21">
        <v>1.94650557609587</v>
      </c>
      <c r="G862" s="4">
        <v>0.36</v>
      </c>
      <c r="H862" s="4">
        <v>0.31887201735357901</v>
      </c>
      <c r="I862" s="4">
        <v>0.77400000000000002</v>
      </c>
      <c r="J862" s="4">
        <v>0.751</v>
      </c>
      <c r="K862" s="5">
        <v>0</v>
      </c>
      <c r="L862" s="5">
        <v>0</v>
      </c>
      <c r="M862" s="5">
        <v>100</v>
      </c>
      <c r="N862" s="5">
        <v>100</v>
      </c>
      <c r="O862" s="2">
        <v>1.0216512475319814</v>
      </c>
      <c r="P862" s="2">
        <v>1.1429654562179128</v>
      </c>
      <c r="Q862" s="2">
        <v>0.25618340539240991</v>
      </c>
      <c r="R862" s="2">
        <v>0.28634962721800233</v>
      </c>
    </row>
    <row r="863" spans="1:18" x14ac:dyDescent="0.3">
      <c r="A863" s="7">
        <v>136</v>
      </c>
      <c r="B863" s="7">
        <v>22</v>
      </c>
      <c r="C863" s="7">
        <v>0</v>
      </c>
      <c r="D863" s="7">
        <v>1</v>
      </c>
      <c r="E863" s="20" t="str">
        <f t="shared" si="13"/>
        <v>01</v>
      </c>
      <c r="F863" s="21">
        <v>1.9891335616788699</v>
      </c>
      <c r="G863" s="4">
        <v>0.38400000000000001</v>
      </c>
      <c r="H863" s="4">
        <v>0.31435079726651499</v>
      </c>
      <c r="I863" s="4">
        <v>0.74199999999999999</v>
      </c>
      <c r="J863" s="4">
        <v>0.65100000000000002</v>
      </c>
      <c r="K863" s="5">
        <v>0</v>
      </c>
      <c r="L863" s="5">
        <v>0</v>
      </c>
      <c r="M863" s="5">
        <v>100</v>
      </c>
      <c r="N863" s="5">
        <v>100</v>
      </c>
      <c r="O863" s="2">
        <v>0.95711272639441014</v>
      </c>
      <c r="P863" s="2">
        <v>1.157245727917966</v>
      </c>
      <c r="Q863" s="2">
        <v>0.29840603581475661</v>
      </c>
      <c r="R863" s="2">
        <v>0.42924563677356775</v>
      </c>
    </row>
    <row r="864" spans="1:18" x14ac:dyDescent="0.3">
      <c r="A864" s="7">
        <v>15</v>
      </c>
      <c r="B864" s="7">
        <v>16</v>
      </c>
      <c r="C864" s="7">
        <v>0</v>
      </c>
      <c r="D864" s="7">
        <v>1</v>
      </c>
      <c r="E864" s="20" t="str">
        <f t="shared" si="13"/>
        <v>01</v>
      </c>
      <c r="F864" s="21">
        <v>1.9928976853682701</v>
      </c>
      <c r="G864" s="4">
        <v>0.61399999999999999</v>
      </c>
      <c r="H864" s="4">
        <v>0.52830188679245305</v>
      </c>
      <c r="I864" s="4">
        <v>0.88100000000000001</v>
      </c>
      <c r="J864" s="4">
        <v>0.83499999999999996</v>
      </c>
      <c r="K864" s="5">
        <v>100</v>
      </c>
      <c r="L864" s="5">
        <v>100</v>
      </c>
      <c r="M864" s="5">
        <v>100</v>
      </c>
      <c r="N864" s="5">
        <v>100</v>
      </c>
      <c r="O864" s="2">
        <v>0.48776035083499458</v>
      </c>
      <c r="P864" s="2">
        <v>0.63808740337691749</v>
      </c>
      <c r="Q864" s="2">
        <v>0.12669765304595754</v>
      </c>
      <c r="R864" s="2">
        <v>0.18032355413128162</v>
      </c>
    </row>
    <row r="865" spans="1:18" x14ac:dyDescent="0.3">
      <c r="A865" s="7">
        <v>772</v>
      </c>
      <c r="B865" s="7">
        <v>15</v>
      </c>
      <c r="C865" s="7">
        <v>0</v>
      </c>
      <c r="D865" s="7">
        <v>1</v>
      </c>
      <c r="E865" s="20" t="str">
        <f t="shared" si="13"/>
        <v>01</v>
      </c>
      <c r="F865" s="21">
        <v>2.0516703787050301</v>
      </c>
      <c r="G865" s="4">
        <v>0.496</v>
      </c>
      <c r="H865" s="4">
        <v>0.44175824175824202</v>
      </c>
      <c r="I865" s="4">
        <v>0.82799999999999996</v>
      </c>
      <c r="J865" s="4">
        <v>0.78400000000000003</v>
      </c>
      <c r="K865" s="5">
        <v>0</v>
      </c>
      <c r="L865" s="5">
        <v>0</v>
      </c>
      <c r="M865" s="5">
        <v>100</v>
      </c>
      <c r="N865" s="5">
        <v>100</v>
      </c>
      <c r="O865" s="2">
        <v>0.70117935225720962</v>
      </c>
      <c r="P865" s="2">
        <v>0.81699251089187408</v>
      </c>
      <c r="Q865" s="2">
        <v>0.18874212459687742</v>
      </c>
      <c r="R865" s="2">
        <v>0.24334625863172918</v>
      </c>
    </row>
    <row r="866" spans="1:18" x14ac:dyDescent="0.3">
      <c r="A866" s="7">
        <v>188</v>
      </c>
      <c r="B866" s="7">
        <v>14</v>
      </c>
      <c r="C866" s="7">
        <v>0</v>
      </c>
      <c r="D866" s="7">
        <v>1</v>
      </c>
      <c r="E866" s="20" t="str">
        <f t="shared" si="13"/>
        <v>01</v>
      </c>
      <c r="F866" s="21">
        <v>2.05908865990527</v>
      </c>
      <c r="G866" s="4">
        <v>0.45900000000000002</v>
      </c>
      <c r="H866" s="4">
        <v>0.36407766990291301</v>
      </c>
      <c r="I866" s="4">
        <v>0.86899999999999999</v>
      </c>
      <c r="J866" s="4">
        <v>0.78</v>
      </c>
      <c r="K866" s="5">
        <v>0</v>
      </c>
      <c r="L866" s="5">
        <v>0</v>
      </c>
      <c r="M866" s="5">
        <v>100</v>
      </c>
      <c r="N866" s="5">
        <v>100</v>
      </c>
      <c r="O866" s="2">
        <v>0.77870506892159186</v>
      </c>
      <c r="P866" s="2">
        <v>1.0103880552532696</v>
      </c>
      <c r="Q866" s="2">
        <v>0.14041215371674501</v>
      </c>
      <c r="R866" s="2">
        <v>0.24846135929849961</v>
      </c>
    </row>
    <row r="867" spans="1:18" x14ac:dyDescent="0.3">
      <c r="A867" s="7">
        <v>541</v>
      </c>
      <c r="B867" s="7">
        <v>12</v>
      </c>
      <c r="C867" s="7">
        <v>0</v>
      </c>
      <c r="D867" s="7">
        <v>1</v>
      </c>
      <c r="E867" s="20" t="str">
        <f t="shared" si="13"/>
        <v>01</v>
      </c>
      <c r="F867" s="21">
        <v>2.1063940830596999</v>
      </c>
      <c r="G867" s="4">
        <v>0.34599999999999997</v>
      </c>
      <c r="H867" s="4">
        <v>0.29574468085106398</v>
      </c>
      <c r="I867" s="4">
        <v>0.85699999999999998</v>
      </c>
      <c r="J867" s="4">
        <v>0.82399999999999995</v>
      </c>
      <c r="K867" s="5">
        <v>0</v>
      </c>
      <c r="L867" s="5">
        <v>0</v>
      </c>
      <c r="M867" s="5">
        <v>100</v>
      </c>
      <c r="N867" s="5">
        <v>100</v>
      </c>
      <c r="O867" s="2">
        <v>1.0613165039244128</v>
      </c>
      <c r="P867" s="2">
        <v>1.218258761573412</v>
      </c>
      <c r="Q867" s="2">
        <v>0.15431736038435728</v>
      </c>
      <c r="R867" s="2">
        <v>0.1935847490726654</v>
      </c>
    </row>
    <row r="868" spans="1:18" x14ac:dyDescent="0.3">
      <c r="A868" s="7">
        <v>260</v>
      </c>
      <c r="B868" s="7">
        <v>18</v>
      </c>
      <c r="C868" s="7">
        <v>0</v>
      </c>
      <c r="D868" s="7">
        <v>1</v>
      </c>
      <c r="E868" s="20" t="str">
        <f t="shared" si="13"/>
        <v>01</v>
      </c>
      <c r="F868" s="21">
        <v>2.1215986989668298</v>
      </c>
      <c r="G868" s="4">
        <v>0.48099999999999998</v>
      </c>
      <c r="H868" s="4">
        <v>0.44298245614035098</v>
      </c>
      <c r="I868" s="4">
        <v>0.79700000000000004</v>
      </c>
      <c r="J868" s="4">
        <v>0.81499999999999995</v>
      </c>
      <c r="K868" s="5">
        <v>0</v>
      </c>
      <c r="L868" s="5">
        <v>0</v>
      </c>
      <c r="M868" s="5">
        <v>100</v>
      </c>
      <c r="N868" s="5">
        <v>100</v>
      </c>
      <c r="O868" s="2">
        <v>0.73188800887637595</v>
      </c>
      <c r="P868" s="2">
        <v>0.81422511211318105</v>
      </c>
      <c r="Q868" s="2">
        <v>0.22690060019192196</v>
      </c>
      <c r="R868" s="2">
        <v>0.2045671657412744</v>
      </c>
    </row>
    <row r="869" spans="1:18" x14ac:dyDescent="0.3">
      <c r="A869" s="7">
        <v>368</v>
      </c>
      <c r="B869" s="7">
        <v>176</v>
      </c>
      <c r="C869" s="7">
        <v>0</v>
      </c>
      <c r="D869" s="7">
        <v>1</v>
      </c>
      <c r="E869" s="20" t="str">
        <f t="shared" si="13"/>
        <v>01</v>
      </c>
      <c r="F869" s="21">
        <v>2.1536777105560598</v>
      </c>
      <c r="G869" s="4">
        <v>0.35</v>
      </c>
      <c r="H869" s="4">
        <v>0.30590717299578102</v>
      </c>
      <c r="I869" s="4">
        <v>0.23300000000000001</v>
      </c>
      <c r="J869" s="4">
        <v>0.17299999999999999</v>
      </c>
      <c r="K869" s="5">
        <v>0</v>
      </c>
      <c r="L869" s="5">
        <v>0</v>
      </c>
      <c r="M869" s="5">
        <v>0</v>
      </c>
      <c r="N869" s="5">
        <v>0</v>
      </c>
      <c r="O869" s="2">
        <v>1.0498221244986778</v>
      </c>
      <c r="P869" s="2">
        <v>1.1844735792745007</v>
      </c>
      <c r="Q869" s="2">
        <v>1.4567168254164364</v>
      </c>
      <c r="R869" s="2">
        <v>1.7544636844843582</v>
      </c>
    </row>
    <row r="870" spans="1:18" x14ac:dyDescent="0.3">
      <c r="A870" s="7">
        <v>918</v>
      </c>
      <c r="B870" s="7">
        <v>18</v>
      </c>
      <c r="C870" s="7">
        <v>0</v>
      </c>
      <c r="D870" s="7">
        <v>1</v>
      </c>
      <c r="E870" s="20" t="str">
        <f t="shared" si="13"/>
        <v>01</v>
      </c>
      <c r="F870" s="21">
        <v>2.16330361248334</v>
      </c>
      <c r="G870" s="4">
        <v>0.25700000000000001</v>
      </c>
      <c r="H870" s="4">
        <v>0.25204918032786899</v>
      </c>
      <c r="I870" s="4">
        <v>0.16</v>
      </c>
      <c r="J870" s="4">
        <v>0.159</v>
      </c>
      <c r="K870" s="5">
        <v>0</v>
      </c>
      <c r="L870" s="5">
        <v>0</v>
      </c>
      <c r="M870" s="5">
        <v>0</v>
      </c>
      <c r="N870" s="5">
        <v>0</v>
      </c>
      <c r="O870" s="2">
        <v>1.3586791940869172</v>
      </c>
      <c r="P870" s="2">
        <v>1.3781310504807291</v>
      </c>
      <c r="Q870" s="2">
        <v>1.8325814637483102</v>
      </c>
      <c r="R870" s="2">
        <v>1.8388510767619055</v>
      </c>
    </row>
    <row r="871" spans="1:18" x14ac:dyDescent="0.3">
      <c r="A871" s="7">
        <v>54</v>
      </c>
      <c r="B871" s="7">
        <v>10</v>
      </c>
      <c r="C871" s="7">
        <v>0</v>
      </c>
      <c r="D871" s="7">
        <v>1</v>
      </c>
      <c r="E871" s="20" t="str">
        <f t="shared" si="13"/>
        <v>01</v>
      </c>
      <c r="F871" s="21">
        <v>2.1738288685854301</v>
      </c>
      <c r="G871" s="4">
        <v>0.46300000000000002</v>
      </c>
      <c r="H871" s="4">
        <v>0.431034482758621</v>
      </c>
      <c r="I871" s="4">
        <v>0.86099999999999999</v>
      </c>
      <c r="J871" s="4">
        <v>0.80900000000000005</v>
      </c>
      <c r="K871" s="5">
        <v>0</v>
      </c>
      <c r="L871" s="5">
        <v>0</v>
      </c>
      <c r="M871" s="5">
        <v>100</v>
      </c>
      <c r="N871" s="5">
        <v>100</v>
      </c>
      <c r="O871" s="2">
        <v>0.77002822489590295</v>
      </c>
      <c r="P871" s="2">
        <v>0.84156718567821787</v>
      </c>
      <c r="Q871" s="2">
        <v>0.14966077455440627</v>
      </c>
      <c r="R871" s="2">
        <v>0.21195636192364531</v>
      </c>
    </row>
    <row r="872" spans="1:18" x14ac:dyDescent="0.3">
      <c r="A872" s="7">
        <v>765</v>
      </c>
      <c r="B872" s="7">
        <v>23</v>
      </c>
      <c r="C872" s="7">
        <v>0</v>
      </c>
      <c r="D872" s="7">
        <v>1</v>
      </c>
      <c r="E872" s="20" t="str">
        <f t="shared" si="13"/>
        <v>01</v>
      </c>
      <c r="F872" s="21">
        <v>2.26559196705244</v>
      </c>
      <c r="G872" s="4">
        <v>0.47</v>
      </c>
      <c r="H872" s="4">
        <v>0.41151385927505302</v>
      </c>
      <c r="I872" s="4">
        <v>0.84699999999999998</v>
      </c>
      <c r="J872" s="4">
        <v>0.84099999999999997</v>
      </c>
      <c r="K872" s="5">
        <v>0</v>
      </c>
      <c r="L872" s="5">
        <v>0</v>
      </c>
      <c r="M872" s="5">
        <v>100</v>
      </c>
      <c r="N872" s="5">
        <v>100</v>
      </c>
      <c r="O872" s="2">
        <v>0.75502258427803282</v>
      </c>
      <c r="P872" s="2">
        <v>0.88791257954139446</v>
      </c>
      <c r="Q872" s="2">
        <v>0.16605458433008269</v>
      </c>
      <c r="R872" s="2">
        <v>0.17316361900918903</v>
      </c>
    </row>
    <row r="873" spans="1:18" x14ac:dyDescent="0.3">
      <c r="A873" s="7">
        <v>732</v>
      </c>
      <c r="B873" s="7">
        <v>16</v>
      </c>
      <c r="C873" s="7">
        <v>0</v>
      </c>
      <c r="D873" s="7">
        <v>1</v>
      </c>
      <c r="E873" s="20" t="str">
        <f t="shared" si="13"/>
        <v>01</v>
      </c>
      <c r="F873" s="21">
        <v>2.3087575122639601</v>
      </c>
      <c r="G873" s="4">
        <v>0.26900000000000002</v>
      </c>
      <c r="H873" s="4">
        <v>0.27500000000000002</v>
      </c>
      <c r="I873" s="4">
        <v>0.81699999999999995</v>
      </c>
      <c r="J873" s="4">
        <v>0.73299999999999998</v>
      </c>
      <c r="K873" s="5">
        <v>0</v>
      </c>
      <c r="L873" s="5">
        <v>0</v>
      </c>
      <c r="M873" s="5">
        <v>100</v>
      </c>
      <c r="N873" s="5">
        <v>100</v>
      </c>
      <c r="O873" s="2">
        <v>1.313043899380298</v>
      </c>
      <c r="P873" s="2">
        <v>1.2909841813155656</v>
      </c>
      <c r="Q873" s="2">
        <v>0.20211618412213422</v>
      </c>
      <c r="R873" s="2">
        <v>0.31060957709548559</v>
      </c>
    </row>
    <row r="874" spans="1:18" x14ac:dyDescent="0.3">
      <c r="A874" s="7">
        <v>700</v>
      </c>
      <c r="B874" s="7">
        <v>19</v>
      </c>
      <c r="C874" s="7">
        <v>0</v>
      </c>
      <c r="D874" s="7">
        <v>1</v>
      </c>
      <c r="E874" s="20" t="str">
        <f t="shared" si="13"/>
        <v>01</v>
      </c>
      <c r="F874" s="21">
        <v>2.30955123236753</v>
      </c>
      <c r="G874" s="4">
        <v>0.41</v>
      </c>
      <c r="H874" s="4">
        <v>0.35076252723311502</v>
      </c>
      <c r="I874" s="4">
        <v>0.90600000000000003</v>
      </c>
      <c r="J874" s="4">
        <v>0.78800000000000003</v>
      </c>
      <c r="K874" s="5">
        <v>0</v>
      </c>
      <c r="L874" s="5">
        <v>0</v>
      </c>
      <c r="M874" s="5">
        <v>100</v>
      </c>
      <c r="N874" s="5">
        <v>100</v>
      </c>
      <c r="O874" s="2">
        <v>0.89159811928378363</v>
      </c>
      <c r="P874" s="2">
        <v>1.0476458450760835</v>
      </c>
      <c r="Q874" s="2">
        <v>9.8715972939157695E-2</v>
      </c>
      <c r="R874" s="2">
        <v>0.23825718912425789</v>
      </c>
    </row>
    <row r="875" spans="1:18" x14ac:dyDescent="0.3">
      <c r="A875" s="7">
        <v>657</v>
      </c>
      <c r="B875" s="7">
        <v>7</v>
      </c>
      <c r="C875" s="7">
        <v>0</v>
      </c>
      <c r="D875" s="7">
        <v>1</v>
      </c>
      <c r="E875" s="20" t="str">
        <f t="shared" si="13"/>
        <v>01</v>
      </c>
      <c r="F875" s="21">
        <v>2.3349723935219902</v>
      </c>
      <c r="G875" s="4">
        <v>0.35299999999999998</v>
      </c>
      <c r="H875" s="4">
        <v>0.29653679653679699</v>
      </c>
      <c r="I875" s="4">
        <v>0.21199999999999999</v>
      </c>
      <c r="J875" s="4">
        <v>0.186</v>
      </c>
      <c r="K875" s="5">
        <v>0</v>
      </c>
      <c r="L875" s="5">
        <v>0</v>
      </c>
      <c r="M875" s="5">
        <v>0</v>
      </c>
      <c r="N875" s="5">
        <v>0</v>
      </c>
      <c r="O875" s="2">
        <v>1.0412872220488403</v>
      </c>
      <c r="P875" s="2">
        <v>1.2155839652536125</v>
      </c>
      <c r="Q875" s="2">
        <v>1.5511690043101247</v>
      </c>
      <c r="R875" s="2">
        <v>1.6820086052689358</v>
      </c>
    </row>
    <row r="876" spans="1:18" x14ac:dyDescent="0.3">
      <c r="A876" s="7">
        <v>993</v>
      </c>
      <c r="B876" s="7">
        <v>76</v>
      </c>
      <c r="C876" s="7">
        <v>0</v>
      </c>
      <c r="D876" s="7">
        <v>1</v>
      </c>
      <c r="E876" s="20" t="str">
        <f t="shared" si="13"/>
        <v>01</v>
      </c>
      <c r="F876" s="21">
        <v>2.33579370396125</v>
      </c>
      <c r="G876" s="4">
        <v>0.45200000000000001</v>
      </c>
      <c r="H876" s="4">
        <v>0.38496583143508001</v>
      </c>
      <c r="I876" s="4">
        <v>0.502</v>
      </c>
      <c r="J876" s="4">
        <v>0.46600000000000003</v>
      </c>
      <c r="K876" s="5">
        <v>0</v>
      </c>
      <c r="L876" s="5">
        <v>0</v>
      </c>
      <c r="M876" s="5">
        <v>100</v>
      </c>
      <c r="N876" s="5">
        <v>0</v>
      </c>
      <c r="O876" s="2">
        <v>0.79407309914990587</v>
      </c>
      <c r="P876" s="2">
        <v>0.95460069815209714</v>
      </c>
      <c r="Q876" s="2">
        <v>0.68915515929040783</v>
      </c>
      <c r="R876" s="2">
        <v>0.76356964485649115</v>
      </c>
    </row>
    <row r="877" spans="1:18" x14ac:dyDescent="0.3">
      <c r="A877" s="7">
        <v>250</v>
      </c>
      <c r="B877" s="7">
        <v>5</v>
      </c>
      <c r="C877" s="7">
        <v>0</v>
      </c>
      <c r="D877" s="7">
        <v>1</v>
      </c>
      <c r="E877" s="20" t="str">
        <f t="shared" si="13"/>
        <v>01</v>
      </c>
      <c r="F877" s="21">
        <v>2.48379779354776</v>
      </c>
      <c r="G877" s="4">
        <v>0.67600000000000005</v>
      </c>
      <c r="H877" s="4">
        <v>0.50724637681159401</v>
      </c>
      <c r="I877" s="4">
        <v>0.89500000000000002</v>
      </c>
      <c r="J877" s="4">
        <v>0.81699999999999995</v>
      </c>
      <c r="K877" s="5">
        <v>100</v>
      </c>
      <c r="L877" s="5">
        <v>100</v>
      </c>
      <c r="M877" s="5">
        <v>100</v>
      </c>
      <c r="N877" s="5">
        <v>100</v>
      </c>
      <c r="O877" s="2">
        <v>0.39156220293917288</v>
      </c>
      <c r="P877" s="2">
        <v>0.67875844310784605</v>
      </c>
      <c r="Q877" s="2">
        <v>0.11093156070728166</v>
      </c>
      <c r="R877" s="2">
        <v>0.20211618412213422</v>
      </c>
    </row>
    <row r="878" spans="1:18" x14ac:dyDescent="0.3">
      <c r="A878" s="7">
        <v>623</v>
      </c>
      <c r="B878" s="7">
        <v>26</v>
      </c>
      <c r="C878" s="7">
        <v>0</v>
      </c>
      <c r="D878" s="7">
        <v>1</v>
      </c>
      <c r="E878" s="20" t="str">
        <f t="shared" si="13"/>
        <v>01</v>
      </c>
      <c r="F878" s="21">
        <v>2.5624353051559998</v>
      </c>
      <c r="G878" s="4">
        <v>0.36899999999999999</v>
      </c>
      <c r="H878" s="4">
        <v>0.32700421940928298</v>
      </c>
      <c r="I878" s="4">
        <v>0.85299999999999998</v>
      </c>
      <c r="J878" s="4">
        <v>0.83199999999999996</v>
      </c>
      <c r="K878" s="5">
        <v>0</v>
      </c>
      <c r="L878" s="5">
        <v>0</v>
      </c>
      <c r="M878" s="5">
        <v>100</v>
      </c>
      <c r="N878" s="5">
        <v>100</v>
      </c>
      <c r="O878" s="2">
        <v>0.99695863494160986</v>
      </c>
      <c r="P878" s="2">
        <v>1.117782204775829</v>
      </c>
      <c r="Q878" s="2">
        <v>0.15899573149045795</v>
      </c>
      <c r="R878" s="2">
        <v>0.1839228381609285</v>
      </c>
    </row>
    <row r="879" spans="1:18" x14ac:dyDescent="0.3">
      <c r="A879" s="7">
        <v>432</v>
      </c>
      <c r="B879" s="7">
        <v>13</v>
      </c>
      <c r="C879" s="7">
        <v>0</v>
      </c>
      <c r="D879" s="7">
        <v>1</v>
      </c>
      <c r="E879" s="20" t="str">
        <f t="shared" si="13"/>
        <v>01</v>
      </c>
      <c r="F879" s="21">
        <v>2.6990042911411498</v>
      </c>
      <c r="G879" s="4">
        <v>0.39800000000000002</v>
      </c>
      <c r="H879" s="4">
        <v>0.34924078091106298</v>
      </c>
      <c r="I879" s="4">
        <v>0.65100000000000002</v>
      </c>
      <c r="J879" s="4">
        <v>0.56999999999999995</v>
      </c>
      <c r="K879" s="5">
        <v>0</v>
      </c>
      <c r="L879" s="5">
        <v>0</v>
      </c>
      <c r="M879" s="5">
        <v>100</v>
      </c>
      <c r="N879" s="5">
        <v>100</v>
      </c>
      <c r="O879" s="2">
        <v>0.92130327369769927</v>
      </c>
      <c r="P879" s="2">
        <v>1.0519936780121852</v>
      </c>
      <c r="Q879" s="2">
        <v>0.42924563677356775</v>
      </c>
      <c r="R879" s="2">
        <v>0.56211891815354131</v>
      </c>
    </row>
    <row r="880" spans="1:18" x14ac:dyDescent="0.3">
      <c r="A880" s="7">
        <v>703</v>
      </c>
      <c r="B880" s="7">
        <v>122</v>
      </c>
      <c r="C880" s="7">
        <v>0</v>
      </c>
      <c r="D880" s="7">
        <v>1</v>
      </c>
      <c r="E880" s="20" t="str">
        <f t="shared" si="13"/>
        <v>01</v>
      </c>
      <c r="F880" s="21">
        <v>2.72220660713602</v>
      </c>
      <c r="G880" s="4">
        <v>0.251</v>
      </c>
      <c r="H880" s="4">
        <v>0.19665271966527201</v>
      </c>
      <c r="I880" s="4">
        <v>0.18099999999999999</v>
      </c>
      <c r="J880" s="4">
        <v>0.16400000000000001</v>
      </c>
      <c r="K880" s="5">
        <v>0</v>
      </c>
      <c r="L880" s="5">
        <v>0</v>
      </c>
      <c r="M880" s="5">
        <v>0</v>
      </c>
      <c r="N880" s="5">
        <v>0</v>
      </c>
      <c r="O880" s="2">
        <v>1.3823023398503531</v>
      </c>
      <c r="P880" s="2">
        <v>1.6263159502214519</v>
      </c>
      <c r="Q880" s="2">
        <v>1.7092582477163114</v>
      </c>
      <c r="R880" s="2">
        <v>1.8078888511579385</v>
      </c>
    </row>
    <row r="881" spans="1:18" x14ac:dyDescent="0.3">
      <c r="A881" s="7">
        <v>930</v>
      </c>
      <c r="B881" s="7">
        <v>50</v>
      </c>
      <c r="C881" s="7">
        <v>0</v>
      </c>
      <c r="D881" s="7">
        <v>1</v>
      </c>
      <c r="E881" s="20" t="str">
        <f t="shared" si="13"/>
        <v>01</v>
      </c>
      <c r="F881" s="21">
        <v>2.8202326100391599</v>
      </c>
      <c r="G881" s="4">
        <v>0.31900000000000001</v>
      </c>
      <c r="H881" s="4">
        <v>0.28048780487804897</v>
      </c>
      <c r="I881" s="4">
        <v>0.44600000000000001</v>
      </c>
      <c r="J881" s="4">
        <v>0.40500000000000003</v>
      </c>
      <c r="K881" s="5">
        <v>0</v>
      </c>
      <c r="L881" s="5">
        <v>0</v>
      </c>
      <c r="M881" s="5">
        <v>0</v>
      </c>
      <c r="N881" s="5">
        <v>0</v>
      </c>
      <c r="O881" s="2">
        <v>1.1425641761972924</v>
      </c>
      <c r="P881" s="2">
        <v>1.2712250313351028</v>
      </c>
      <c r="Q881" s="2">
        <v>0.80743632696207301</v>
      </c>
      <c r="R881" s="2">
        <v>0.90386821187559785</v>
      </c>
    </row>
    <row r="882" spans="1:18" x14ac:dyDescent="0.3">
      <c r="A882" s="7">
        <v>563</v>
      </c>
      <c r="B882" s="7">
        <v>4</v>
      </c>
      <c r="C882" s="7">
        <v>0</v>
      </c>
      <c r="D882" s="7">
        <v>1</v>
      </c>
      <c r="E882" s="20" t="str">
        <f t="shared" si="13"/>
        <v>01</v>
      </c>
      <c r="F882" s="21">
        <v>3.2166581496284499</v>
      </c>
      <c r="G882" s="4">
        <v>0.36899999999999999</v>
      </c>
      <c r="H882" s="4">
        <v>0.33043478260869602</v>
      </c>
      <c r="I882" s="4">
        <v>0.77900000000000003</v>
      </c>
      <c r="J882" s="4">
        <v>0.755</v>
      </c>
      <c r="K882" s="5">
        <v>0</v>
      </c>
      <c r="L882" s="5">
        <v>0</v>
      </c>
      <c r="M882" s="5">
        <v>100</v>
      </c>
      <c r="N882" s="5">
        <v>100</v>
      </c>
      <c r="O882" s="2">
        <v>0.99695863494160986</v>
      </c>
      <c r="P882" s="2">
        <v>1.1073459686368632</v>
      </c>
      <c r="Q882" s="2">
        <v>0.24974423311138874</v>
      </c>
      <c r="R882" s="2">
        <v>0.28103752973311236</v>
      </c>
    </row>
    <row r="883" spans="1:18" x14ac:dyDescent="0.3">
      <c r="A883" s="7">
        <v>155</v>
      </c>
      <c r="B883" s="7">
        <v>3</v>
      </c>
      <c r="C883" s="7">
        <v>0</v>
      </c>
      <c r="D883" s="7">
        <v>1</v>
      </c>
      <c r="E883" s="20" t="str">
        <f t="shared" si="13"/>
        <v>01</v>
      </c>
      <c r="F883" s="21">
        <v>3.39941739842665</v>
      </c>
      <c r="G883" s="4">
        <v>0.32900000000000001</v>
      </c>
      <c r="H883" s="4">
        <v>0.29336188436830801</v>
      </c>
      <c r="I883" s="4">
        <v>0.37</v>
      </c>
      <c r="J883" s="4">
        <v>0.28799999999999998</v>
      </c>
      <c r="K883" s="5">
        <v>0</v>
      </c>
      <c r="L883" s="5">
        <v>0</v>
      </c>
      <c r="M883" s="5">
        <v>0</v>
      </c>
      <c r="N883" s="5">
        <v>0</v>
      </c>
      <c r="O883" s="2">
        <v>1.1116975282167652</v>
      </c>
      <c r="P883" s="2">
        <v>1.2263483318407735</v>
      </c>
      <c r="Q883" s="2">
        <v>0.9942522733438669</v>
      </c>
      <c r="R883" s="2">
        <v>1.2447947988461912</v>
      </c>
    </row>
    <row r="884" spans="1:18" x14ac:dyDescent="0.3">
      <c r="A884" s="7">
        <v>349</v>
      </c>
      <c r="B884" s="7">
        <v>492</v>
      </c>
      <c r="C884" s="7">
        <v>1</v>
      </c>
      <c r="D884" s="7">
        <v>1</v>
      </c>
      <c r="E884" s="20" t="str">
        <f t="shared" si="13"/>
        <v>11</v>
      </c>
      <c r="F884" s="21">
        <v>7.9014681526688203E-3</v>
      </c>
      <c r="G884" s="4">
        <v>0.35499999999999998</v>
      </c>
      <c r="H884" s="4">
        <v>0.97777777777777797</v>
      </c>
      <c r="I884" s="4">
        <v>1</v>
      </c>
      <c r="J884" s="4">
        <v>1</v>
      </c>
      <c r="K884" s="5">
        <v>0</v>
      </c>
      <c r="L884" s="5">
        <v>100</v>
      </c>
      <c r="M884" s="5">
        <v>100</v>
      </c>
      <c r="N884" s="5">
        <v>100</v>
      </c>
      <c r="O884" s="2">
        <v>1.0356374895067213</v>
      </c>
      <c r="P884" s="2">
        <v>2.2472855852058399E-2</v>
      </c>
      <c r="Q884" s="2">
        <v>1.0000050000287824E-5</v>
      </c>
      <c r="R884" s="2">
        <v>1.0000050000287824E-5</v>
      </c>
    </row>
    <row r="885" spans="1:18" x14ac:dyDescent="0.3">
      <c r="A885" s="7">
        <v>44</v>
      </c>
      <c r="B885" s="7">
        <v>492</v>
      </c>
      <c r="C885" s="7">
        <v>1</v>
      </c>
      <c r="D885" s="7">
        <v>1</v>
      </c>
      <c r="E885" s="20" t="str">
        <f t="shared" si="13"/>
        <v>11</v>
      </c>
      <c r="F885" s="21">
        <v>1.10978969717628E-2</v>
      </c>
      <c r="G885" s="4">
        <v>0.34799999999999998</v>
      </c>
      <c r="H885" s="4">
        <v>1</v>
      </c>
      <c r="I885" s="4">
        <v>1</v>
      </c>
      <c r="J885" s="4">
        <v>1</v>
      </c>
      <c r="K885" s="5">
        <v>0</v>
      </c>
      <c r="L885" s="5">
        <v>100</v>
      </c>
      <c r="M885" s="5">
        <v>100</v>
      </c>
      <c r="N885" s="5">
        <v>100</v>
      </c>
      <c r="O885" s="2">
        <v>1.0555527992076628</v>
      </c>
      <c r="P885" s="2">
        <v>1.0000050000287824E-5</v>
      </c>
      <c r="Q885" s="2">
        <v>1.0000050000287824E-5</v>
      </c>
      <c r="R885" s="2">
        <v>1.0000050000287824E-5</v>
      </c>
    </row>
    <row r="886" spans="1:18" x14ac:dyDescent="0.3">
      <c r="A886" s="7">
        <v>69</v>
      </c>
      <c r="B886" s="7">
        <v>482</v>
      </c>
      <c r="C886" s="7">
        <v>1</v>
      </c>
      <c r="D886" s="7">
        <v>1</v>
      </c>
      <c r="E886" s="20" t="str">
        <f t="shared" si="13"/>
        <v>11</v>
      </c>
      <c r="F886" s="21">
        <v>1.85781666085089E-2</v>
      </c>
      <c r="G886" s="4">
        <v>0.43</v>
      </c>
      <c r="H886" s="4">
        <v>0.98507462686567204</v>
      </c>
      <c r="I886" s="4">
        <v>0.999</v>
      </c>
      <c r="J886" s="4">
        <v>0.999</v>
      </c>
      <c r="K886" s="5">
        <v>0</v>
      </c>
      <c r="L886" s="5">
        <v>100</v>
      </c>
      <c r="M886" s="5">
        <v>100</v>
      </c>
      <c r="N886" s="5">
        <v>100</v>
      </c>
      <c r="O886" s="2">
        <v>0.84397007029452897</v>
      </c>
      <c r="P886" s="2">
        <v>1.5037877364540108E-2</v>
      </c>
      <c r="Q886" s="2">
        <v>1.0005003335835344E-3</v>
      </c>
      <c r="R886" s="2">
        <v>1.0005003335835344E-3</v>
      </c>
    </row>
    <row r="887" spans="1:18" x14ac:dyDescent="0.3">
      <c r="A887" s="7">
        <v>438</v>
      </c>
      <c r="B887" s="7">
        <v>483</v>
      </c>
      <c r="C887" s="7">
        <v>1</v>
      </c>
      <c r="D887" s="7">
        <v>1</v>
      </c>
      <c r="E887" s="20" t="str">
        <f t="shared" si="13"/>
        <v>11</v>
      </c>
      <c r="F887" s="21">
        <v>2.7240197943794599E-2</v>
      </c>
      <c r="G887" s="4">
        <v>0.57299999999999995</v>
      </c>
      <c r="H887" s="4">
        <v>1</v>
      </c>
      <c r="I887" s="4">
        <v>0.998</v>
      </c>
      <c r="J887" s="4">
        <v>1</v>
      </c>
      <c r="K887" s="5">
        <v>100</v>
      </c>
      <c r="L887" s="5">
        <v>100</v>
      </c>
      <c r="M887" s="5">
        <v>100</v>
      </c>
      <c r="N887" s="5">
        <v>100</v>
      </c>
      <c r="O887" s="2">
        <v>0.55686956226739759</v>
      </c>
      <c r="P887" s="2">
        <v>1.0000050000287824E-5</v>
      </c>
      <c r="Q887" s="2">
        <v>2.0020026706730793E-3</v>
      </c>
      <c r="R887" s="2">
        <v>1.0000050000287824E-5</v>
      </c>
    </row>
    <row r="888" spans="1:18" x14ac:dyDescent="0.3">
      <c r="A888" s="7">
        <v>454</v>
      </c>
      <c r="B888" s="7">
        <v>477</v>
      </c>
      <c r="C888" s="7">
        <v>1</v>
      </c>
      <c r="D888" s="7">
        <v>1</v>
      </c>
      <c r="E888" s="20" t="str">
        <f t="shared" si="13"/>
        <v>11</v>
      </c>
      <c r="F888" s="21">
        <v>2.7422003138412102E-2</v>
      </c>
      <c r="G888" s="4">
        <v>0.22</v>
      </c>
      <c r="H888" s="4">
        <v>1</v>
      </c>
      <c r="I888" s="4">
        <v>0.999</v>
      </c>
      <c r="J888" s="4">
        <v>1</v>
      </c>
      <c r="K888" s="5">
        <v>0</v>
      </c>
      <c r="L888" s="5">
        <v>100</v>
      </c>
      <c r="M888" s="5">
        <v>100</v>
      </c>
      <c r="N888" s="5">
        <v>100</v>
      </c>
      <c r="O888" s="2">
        <v>1.5141277326297755</v>
      </c>
      <c r="P888" s="2">
        <v>1.0000050000287824E-5</v>
      </c>
      <c r="Q888" s="2">
        <v>1.0005003335835344E-3</v>
      </c>
      <c r="R888" s="2">
        <v>1.0000050000287824E-5</v>
      </c>
    </row>
    <row r="889" spans="1:18" x14ac:dyDescent="0.3">
      <c r="A889" s="7">
        <v>860</v>
      </c>
      <c r="B889" s="7">
        <v>477</v>
      </c>
      <c r="C889" s="7">
        <v>1</v>
      </c>
      <c r="D889" s="7">
        <v>1</v>
      </c>
      <c r="E889" s="20" t="str">
        <f t="shared" si="13"/>
        <v>11</v>
      </c>
      <c r="F889" s="21">
        <v>2.8088050371927499E-2</v>
      </c>
      <c r="G889" s="4">
        <v>0.46100000000000002</v>
      </c>
      <c r="H889" s="4">
        <v>1</v>
      </c>
      <c r="I889" s="4">
        <v>0.99399999999999999</v>
      </c>
      <c r="J889" s="4">
        <v>1</v>
      </c>
      <c r="K889" s="5">
        <v>0</v>
      </c>
      <c r="L889" s="5">
        <v>100</v>
      </c>
      <c r="M889" s="5">
        <v>100</v>
      </c>
      <c r="N889" s="5">
        <v>100</v>
      </c>
      <c r="O889" s="2">
        <v>0.77435723598548845</v>
      </c>
      <c r="P889" s="2">
        <v>1.0000050000287824E-5</v>
      </c>
      <c r="Q889" s="2">
        <v>6.0180723255630212E-3</v>
      </c>
      <c r="R889" s="2">
        <v>1.0000050000287824E-5</v>
      </c>
    </row>
    <row r="890" spans="1:18" x14ac:dyDescent="0.3">
      <c r="A890" s="7">
        <v>217</v>
      </c>
      <c r="B890" s="7">
        <v>474</v>
      </c>
      <c r="C890" s="7">
        <v>1</v>
      </c>
      <c r="D890" s="7">
        <v>1</v>
      </c>
      <c r="E890" s="20" t="str">
        <f t="shared" si="13"/>
        <v>11</v>
      </c>
      <c r="F890" s="21">
        <v>2.9549947165143E-2</v>
      </c>
      <c r="G890" s="4">
        <v>0.29099999999999998</v>
      </c>
      <c r="H890" s="4">
        <v>1</v>
      </c>
      <c r="I890" s="4">
        <v>1</v>
      </c>
      <c r="J890" s="4">
        <v>1</v>
      </c>
      <c r="K890" s="5">
        <v>0</v>
      </c>
      <c r="L890" s="5">
        <v>100</v>
      </c>
      <c r="M890" s="5">
        <v>100</v>
      </c>
      <c r="N890" s="5">
        <v>100</v>
      </c>
      <c r="O890" s="2">
        <v>1.2344320118106447</v>
      </c>
      <c r="P890" s="2">
        <v>1.0000050000287824E-5</v>
      </c>
      <c r="Q890" s="2">
        <v>1.0000050000287824E-5</v>
      </c>
      <c r="R890" s="2">
        <v>1.0000050000287824E-5</v>
      </c>
    </row>
    <row r="891" spans="1:18" x14ac:dyDescent="0.3">
      <c r="A891" s="7">
        <v>350</v>
      </c>
      <c r="B891" s="7">
        <v>475</v>
      </c>
      <c r="C891" s="7">
        <v>1</v>
      </c>
      <c r="D891" s="7">
        <v>1</v>
      </c>
      <c r="E891" s="20" t="str">
        <f t="shared" si="13"/>
        <v>11</v>
      </c>
      <c r="F891" s="21">
        <v>3.2920490409242699E-2</v>
      </c>
      <c r="G891" s="4">
        <v>0.38800000000000001</v>
      </c>
      <c r="H891" s="4">
        <v>1</v>
      </c>
      <c r="I891" s="4">
        <v>0.997</v>
      </c>
      <c r="J891" s="4">
        <v>1</v>
      </c>
      <c r="K891" s="5">
        <v>0</v>
      </c>
      <c r="L891" s="5">
        <v>100</v>
      </c>
      <c r="M891" s="5">
        <v>100</v>
      </c>
      <c r="N891" s="5">
        <v>100</v>
      </c>
      <c r="O891" s="2">
        <v>0.94674993935886353</v>
      </c>
      <c r="P891" s="2">
        <v>1.0000050000287824E-5</v>
      </c>
      <c r="Q891" s="2">
        <v>3.0045090202987243E-3</v>
      </c>
      <c r="R891" s="2">
        <v>1.0000050000287824E-5</v>
      </c>
    </row>
    <row r="892" spans="1:18" x14ac:dyDescent="0.3">
      <c r="A892" s="7">
        <v>724</v>
      </c>
      <c r="B892" s="7">
        <v>471</v>
      </c>
      <c r="C892" s="7">
        <v>1</v>
      </c>
      <c r="D892" s="7">
        <v>1</v>
      </c>
      <c r="E892" s="20" t="str">
        <f t="shared" si="13"/>
        <v>11</v>
      </c>
      <c r="F892" s="21">
        <v>3.6212749332001498E-2</v>
      </c>
      <c r="G892" s="4">
        <v>0.27500000000000002</v>
      </c>
      <c r="H892" s="4">
        <v>1</v>
      </c>
      <c r="I892" s="4">
        <v>0.998</v>
      </c>
      <c r="J892" s="4">
        <v>0.998</v>
      </c>
      <c r="K892" s="5">
        <v>0</v>
      </c>
      <c r="L892" s="5">
        <v>100</v>
      </c>
      <c r="M892" s="5">
        <v>100</v>
      </c>
      <c r="N892" s="5">
        <v>100</v>
      </c>
      <c r="O892" s="2">
        <v>1.2909841813155656</v>
      </c>
      <c r="P892" s="2">
        <v>1.0000050000287824E-5</v>
      </c>
      <c r="Q892" s="2">
        <v>2.0020026706730793E-3</v>
      </c>
      <c r="R892" s="2">
        <v>2.0020026706730793E-3</v>
      </c>
    </row>
    <row r="893" spans="1:18" x14ac:dyDescent="0.3">
      <c r="A893" s="7">
        <v>799</v>
      </c>
      <c r="B893" s="7">
        <v>476</v>
      </c>
      <c r="C893" s="7">
        <v>1</v>
      </c>
      <c r="D893" s="7">
        <v>1</v>
      </c>
      <c r="E893" s="20" t="str">
        <f t="shared" si="13"/>
        <v>11</v>
      </c>
      <c r="F893" s="21">
        <v>3.7139247045085103E-2</v>
      </c>
      <c r="G893" s="4">
        <v>0.50700000000000001</v>
      </c>
      <c r="H893" s="4">
        <v>1</v>
      </c>
      <c r="I893" s="4">
        <v>0.998</v>
      </c>
      <c r="J893" s="4">
        <v>1</v>
      </c>
      <c r="K893" s="5">
        <v>100</v>
      </c>
      <c r="L893" s="5">
        <v>100</v>
      </c>
      <c r="M893" s="5">
        <v>100</v>
      </c>
      <c r="N893" s="5">
        <v>100</v>
      </c>
      <c r="O893" s="2">
        <v>0.67924427539095389</v>
      </c>
      <c r="P893" s="2">
        <v>1.0000050000287824E-5</v>
      </c>
      <c r="Q893" s="2">
        <v>2.0020026706730793E-3</v>
      </c>
      <c r="R893" s="2">
        <v>1.0000050000287824E-5</v>
      </c>
    </row>
    <row r="894" spans="1:18" x14ac:dyDescent="0.3">
      <c r="A894" s="7">
        <v>386</v>
      </c>
      <c r="B894" s="7">
        <v>470</v>
      </c>
      <c r="C894" s="7">
        <v>1</v>
      </c>
      <c r="D894" s="7">
        <v>1</v>
      </c>
      <c r="E894" s="20" t="str">
        <f t="shared" si="13"/>
        <v>11</v>
      </c>
      <c r="F894" s="21">
        <v>3.8506312307126603E-2</v>
      </c>
      <c r="G894" s="4">
        <v>0.55200000000000005</v>
      </c>
      <c r="H894" s="4">
        <v>1</v>
      </c>
      <c r="I894" s="4">
        <v>0.999</v>
      </c>
      <c r="J894" s="4">
        <v>1</v>
      </c>
      <c r="K894" s="5">
        <v>100</v>
      </c>
      <c r="L894" s="5">
        <v>100</v>
      </c>
      <c r="M894" s="5">
        <v>100</v>
      </c>
      <c r="N894" s="5">
        <v>100</v>
      </c>
      <c r="O894" s="2">
        <v>0.59420723270504161</v>
      </c>
      <c r="P894" s="2">
        <v>1.0000050000287824E-5</v>
      </c>
      <c r="Q894" s="2">
        <v>1.0005003335835344E-3</v>
      </c>
      <c r="R894" s="2">
        <v>1.0000050000287824E-5</v>
      </c>
    </row>
    <row r="895" spans="1:18" x14ac:dyDescent="0.3">
      <c r="A895" s="7">
        <v>916</v>
      </c>
      <c r="B895" s="7">
        <v>471</v>
      </c>
      <c r="C895" s="7">
        <v>1</v>
      </c>
      <c r="D895" s="7">
        <v>1</v>
      </c>
      <c r="E895" s="20" t="str">
        <f t="shared" si="13"/>
        <v>11</v>
      </c>
      <c r="F895" s="21">
        <v>3.8682802608250702E-2</v>
      </c>
      <c r="G895" s="4">
        <v>0.439</v>
      </c>
      <c r="H895" s="4">
        <v>0.974683544303797</v>
      </c>
      <c r="I895" s="4">
        <v>0.995</v>
      </c>
      <c r="J895" s="4">
        <v>1</v>
      </c>
      <c r="K895" s="5">
        <v>0</v>
      </c>
      <c r="L895" s="5">
        <v>100</v>
      </c>
      <c r="M895" s="5">
        <v>100</v>
      </c>
      <c r="N895" s="5">
        <v>100</v>
      </c>
      <c r="O895" s="2">
        <v>0.82325586590696564</v>
      </c>
      <c r="P895" s="2">
        <v>2.5642430613338124E-2</v>
      </c>
      <c r="Q895" s="2">
        <v>5.0125418235442863E-3</v>
      </c>
      <c r="R895" s="2">
        <v>1.0000050000287824E-5</v>
      </c>
    </row>
    <row r="896" spans="1:18" x14ac:dyDescent="0.3">
      <c r="A896" s="7">
        <v>232</v>
      </c>
      <c r="B896" s="7">
        <v>464</v>
      </c>
      <c r="C896" s="7">
        <v>1</v>
      </c>
      <c r="D896" s="7">
        <v>1</v>
      </c>
      <c r="E896" s="20" t="str">
        <f t="shared" si="13"/>
        <v>11</v>
      </c>
      <c r="F896" s="21">
        <v>4.3576727948694098E-2</v>
      </c>
      <c r="G896" s="4">
        <v>0.58799999999999997</v>
      </c>
      <c r="H896" s="4">
        <v>1</v>
      </c>
      <c r="I896" s="4">
        <v>0.997</v>
      </c>
      <c r="J896" s="4">
        <v>1</v>
      </c>
      <c r="K896" s="5">
        <v>100</v>
      </c>
      <c r="L896" s="5">
        <v>100</v>
      </c>
      <c r="M896" s="5">
        <v>100</v>
      </c>
      <c r="N896" s="5">
        <v>100</v>
      </c>
      <c r="O896" s="2">
        <v>0.53102833108351022</v>
      </c>
      <c r="P896" s="2">
        <v>1.0000050000287824E-5</v>
      </c>
      <c r="Q896" s="2">
        <v>3.0045090202987243E-3</v>
      </c>
      <c r="R896" s="2">
        <v>1.0000050000287824E-5</v>
      </c>
    </row>
    <row r="897" spans="1:18" x14ac:dyDescent="0.3">
      <c r="A897" s="7">
        <v>735</v>
      </c>
      <c r="B897" s="7">
        <v>461</v>
      </c>
      <c r="C897" s="7">
        <v>1</v>
      </c>
      <c r="D897" s="7">
        <v>1</v>
      </c>
      <c r="E897" s="20" t="str">
        <f t="shared" si="13"/>
        <v>11</v>
      </c>
      <c r="F897" s="21">
        <v>4.7837199076042398E-2</v>
      </c>
      <c r="G897" s="4">
        <v>0.60599999999999998</v>
      </c>
      <c r="H897" s="4">
        <v>1</v>
      </c>
      <c r="I897" s="4">
        <v>1</v>
      </c>
      <c r="J897" s="4">
        <v>1</v>
      </c>
      <c r="K897" s="5">
        <v>100</v>
      </c>
      <c r="L897" s="5">
        <v>100</v>
      </c>
      <c r="M897" s="5">
        <v>100</v>
      </c>
      <c r="N897" s="5">
        <v>100</v>
      </c>
      <c r="O897" s="2">
        <v>0.50087529291282262</v>
      </c>
      <c r="P897" s="2">
        <v>1.0000050000287824E-5</v>
      </c>
      <c r="Q897" s="2">
        <v>1.0000050000287824E-5</v>
      </c>
      <c r="R897" s="2">
        <v>1.0000050000287824E-5</v>
      </c>
    </row>
    <row r="898" spans="1:18" x14ac:dyDescent="0.3">
      <c r="A898" s="7">
        <v>688</v>
      </c>
      <c r="B898" s="7">
        <v>434</v>
      </c>
      <c r="C898" s="7">
        <v>1</v>
      </c>
      <c r="D898" s="7">
        <v>1</v>
      </c>
      <c r="E898" s="20" t="str">
        <f t="shared" ref="E898:E961" si="14">_xlfn.CONCAT(C898,D898)</f>
        <v>11</v>
      </c>
      <c r="F898" s="21">
        <v>7.3714658698375499E-2</v>
      </c>
      <c r="G898" s="4">
        <v>0.52400000000000002</v>
      </c>
      <c r="H898" s="4">
        <v>1</v>
      </c>
      <c r="I898" s="4">
        <v>0.998</v>
      </c>
      <c r="J898" s="4">
        <v>1</v>
      </c>
      <c r="K898" s="5">
        <v>100</v>
      </c>
      <c r="L898" s="5">
        <v>100</v>
      </c>
      <c r="M898" s="5">
        <v>100</v>
      </c>
      <c r="N898" s="5">
        <v>100</v>
      </c>
      <c r="O898" s="2">
        <v>0.64626359466109484</v>
      </c>
      <c r="P898" s="2">
        <v>1.0000050000287824E-5</v>
      </c>
      <c r="Q898" s="2">
        <v>2.0020026706730793E-3</v>
      </c>
      <c r="R898" s="2">
        <v>1.0000050000287824E-5</v>
      </c>
    </row>
    <row r="899" spans="1:18" x14ac:dyDescent="0.3">
      <c r="A899" s="7">
        <v>526</v>
      </c>
      <c r="B899" s="7">
        <v>441</v>
      </c>
      <c r="C899" s="7">
        <v>1</v>
      </c>
      <c r="D899" s="7">
        <v>1</v>
      </c>
      <c r="E899" s="20" t="str">
        <f t="shared" si="14"/>
        <v>11</v>
      </c>
      <c r="F899" s="21">
        <v>7.8821515031744893E-2</v>
      </c>
      <c r="G899" s="4">
        <v>0.30499999999999999</v>
      </c>
      <c r="H899" s="4">
        <v>1</v>
      </c>
      <c r="I899" s="4">
        <v>0.98799999999999999</v>
      </c>
      <c r="J899" s="4">
        <v>1</v>
      </c>
      <c r="K899" s="5">
        <v>0</v>
      </c>
      <c r="L899" s="5">
        <v>100</v>
      </c>
      <c r="M899" s="5">
        <v>100</v>
      </c>
      <c r="N899" s="5">
        <v>100</v>
      </c>
      <c r="O899" s="2">
        <v>1.1874435023747254</v>
      </c>
      <c r="P899" s="2">
        <v>1.0000050000287824E-5</v>
      </c>
      <c r="Q899" s="2">
        <v>1.2072581234269249E-2</v>
      </c>
      <c r="R899" s="2">
        <v>1.0000050000287824E-5</v>
      </c>
    </row>
    <row r="900" spans="1:18" x14ac:dyDescent="0.3">
      <c r="A900" s="7">
        <v>787</v>
      </c>
      <c r="B900" s="7">
        <v>411</v>
      </c>
      <c r="C900" s="7">
        <v>1</v>
      </c>
      <c r="D900" s="7">
        <v>1</v>
      </c>
      <c r="E900" s="20" t="str">
        <f t="shared" si="14"/>
        <v>11</v>
      </c>
      <c r="F900" s="21">
        <v>8.17476346062459E-2</v>
      </c>
      <c r="G900" s="4">
        <v>0.67</v>
      </c>
      <c r="H900" s="4">
        <v>1</v>
      </c>
      <c r="I900" s="4">
        <v>0.998</v>
      </c>
      <c r="J900" s="4">
        <v>1</v>
      </c>
      <c r="K900" s="5">
        <v>100</v>
      </c>
      <c r="L900" s="5">
        <v>100</v>
      </c>
      <c r="M900" s="5">
        <v>100</v>
      </c>
      <c r="N900" s="5">
        <v>100</v>
      </c>
      <c r="O900" s="2">
        <v>0.40047756659712525</v>
      </c>
      <c r="P900" s="2">
        <v>1.0000050000287824E-5</v>
      </c>
      <c r="Q900" s="2">
        <v>2.0020026706730793E-3</v>
      </c>
      <c r="R900" s="2">
        <v>1.0000050000287824E-5</v>
      </c>
    </row>
    <row r="901" spans="1:18" x14ac:dyDescent="0.3">
      <c r="A901" s="7">
        <v>756</v>
      </c>
      <c r="B901" s="7">
        <v>410</v>
      </c>
      <c r="C901" s="7">
        <v>1</v>
      </c>
      <c r="D901" s="7">
        <v>1</v>
      </c>
      <c r="E901" s="20" t="str">
        <f t="shared" si="14"/>
        <v>11</v>
      </c>
      <c r="F901" s="21">
        <v>0.10138095906996999</v>
      </c>
      <c r="G901" s="4">
        <v>0.50600000000000001</v>
      </c>
      <c r="H901" s="4">
        <v>1</v>
      </c>
      <c r="I901" s="4">
        <v>0.996</v>
      </c>
      <c r="J901" s="4">
        <v>1</v>
      </c>
      <c r="K901" s="5">
        <v>100</v>
      </c>
      <c r="L901" s="5">
        <v>100</v>
      </c>
      <c r="M901" s="5">
        <v>100</v>
      </c>
      <c r="N901" s="5">
        <v>100</v>
      </c>
      <c r="O901" s="2">
        <v>0.68121860969467152</v>
      </c>
      <c r="P901" s="2">
        <v>1.0000050000287824E-5</v>
      </c>
      <c r="Q901" s="2">
        <v>4.0080213975388218E-3</v>
      </c>
      <c r="R901" s="2">
        <v>1.0000050000287824E-5</v>
      </c>
    </row>
    <row r="902" spans="1:18" x14ac:dyDescent="0.3">
      <c r="A902" s="7">
        <v>339</v>
      </c>
      <c r="B902" s="7">
        <v>414</v>
      </c>
      <c r="C902" s="7">
        <v>1</v>
      </c>
      <c r="D902" s="7">
        <v>1</v>
      </c>
      <c r="E902" s="20" t="str">
        <f t="shared" si="14"/>
        <v>11</v>
      </c>
      <c r="F902" s="21">
        <v>0.109618436758834</v>
      </c>
      <c r="G902" s="4">
        <v>0.56399999999999995</v>
      </c>
      <c r="H902" s="4">
        <v>1</v>
      </c>
      <c r="I902" s="4">
        <v>0.998</v>
      </c>
      <c r="J902" s="4">
        <v>1</v>
      </c>
      <c r="K902" s="5">
        <v>100</v>
      </c>
      <c r="L902" s="5">
        <v>100</v>
      </c>
      <c r="M902" s="5">
        <v>100</v>
      </c>
      <c r="N902" s="5">
        <v>100</v>
      </c>
      <c r="O902" s="2">
        <v>0.57270102748407825</v>
      </c>
      <c r="P902" s="2">
        <v>1.0000050000287824E-5</v>
      </c>
      <c r="Q902" s="2">
        <v>2.0020026706730793E-3</v>
      </c>
      <c r="R902" s="2">
        <v>1.0000050000287824E-5</v>
      </c>
    </row>
    <row r="903" spans="1:18" x14ac:dyDescent="0.3">
      <c r="A903" s="7">
        <v>235</v>
      </c>
      <c r="B903" s="7">
        <v>397</v>
      </c>
      <c r="C903" s="7">
        <v>1</v>
      </c>
      <c r="D903" s="7">
        <v>1</v>
      </c>
      <c r="E903" s="20" t="str">
        <f t="shared" si="14"/>
        <v>11</v>
      </c>
      <c r="F903" s="21">
        <v>0.110475477225877</v>
      </c>
      <c r="G903" s="4">
        <v>0.5</v>
      </c>
      <c r="H903" s="4">
        <v>1</v>
      </c>
      <c r="I903" s="4">
        <v>0.996</v>
      </c>
      <c r="J903" s="4">
        <v>1</v>
      </c>
      <c r="K903" s="5">
        <v>0</v>
      </c>
      <c r="L903" s="5">
        <v>100</v>
      </c>
      <c r="M903" s="5">
        <v>100</v>
      </c>
      <c r="N903" s="5">
        <v>100</v>
      </c>
      <c r="O903" s="2">
        <v>0.69314718055994529</v>
      </c>
      <c r="P903" s="2">
        <v>1.0000050000287824E-5</v>
      </c>
      <c r="Q903" s="2">
        <v>4.0080213975388218E-3</v>
      </c>
      <c r="R903" s="2">
        <v>1.0000050000287824E-5</v>
      </c>
    </row>
    <row r="904" spans="1:18" x14ac:dyDescent="0.3">
      <c r="A904" s="7">
        <v>971</v>
      </c>
      <c r="B904" s="7">
        <v>418</v>
      </c>
      <c r="C904" s="7">
        <v>1</v>
      </c>
      <c r="D904" s="7">
        <v>1</v>
      </c>
      <c r="E904" s="20" t="str">
        <f t="shared" si="14"/>
        <v>11</v>
      </c>
      <c r="F904" s="21">
        <v>0.112669126626581</v>
      </c>
      <c r="G904" s="4">
        <v>0.38600000000000001</v>
      </c>
      <c r="H904" s="4">
        <v>0.82692307692307698</v>
      </c>
      <c r="I904" s="4">
        <v>0.99199999999999999</v>
      </c>
      <c r="J904" s="4">
        <v>0.99099999999999999</v>
      </c>
      <c r="K904" s="5">
        <v>0</v>
      </c>
      <c r="L904" s="5">
        <v>100</v>
      </c>
      <c r="M904" s="5">
        <v>100</v>
      </c>
      <c r="N904" s="5">
        <v>100</v>
      </c>
      <c r="O904" s="2">
        <v>0.95191790951730615</v>
      </c>
      <c r="P904" s="2">
        <v>0.19004360288786487</v>
      </c>
      <c r="Q904" s="2">
        <v>8.0321716972642666E-3</v>
      </c>
      <c r="R904" s="2">
        <v>9.0407446521490707E-3</v>
      </c>
    </row>
    <row r="905" spans="1:18" x14ac:dyDescent="0.3">
      <c r="A905" s="7">
        <v>430</v>
      </c>
      <c r="B905" s="7">
        <v>393</v>
      </c>
      <c r="C905" s="7">
        <v>1</v>
      </c>
      <c r="D905" s="7">
        <v>1</v>
      </c>
      <c r="E905" s="20" t="str">
        <f t="shared" si="14"/>
        <v>11</v>
      </c>
      <c r="F905" s="21">
        <v>0.112865479056415</v>
      </c>
      <c r="G905" s="4">
        <v>0.38600000000000001</v>
      </c>
      <c r="H905" s="4">
        <v>1</v>
      </c>
      <c r="I905" s="4">
        <v>0.98799999999999999</v>
      </c>
      <c r="J905" s="4">
        <v>1</v>
      </c>
      <c r="K905" s="5">
        <v>0</v>
      </c>
      <c r="L905" s="5">
        <v>100</v>
      </c>
      <c r="M905" s="5">
        <v>100</v>
      </c>
      <c r="N905" s="5">
        <v>100</v>
      </c>
      <c r="O905" s="2">
        <v>0.95191790951730615</v>
      </c>
      <c r="P905" s="2">
        <v>1.0000050000287824E-5</v>
      </c>
      <c r="Q905" s="2">
        <v>1.2072581234269249E-2</v>
      </c>
      <c r="R905" s="2">
        <v>1.0000050000287824E-5</v>
      </c>
    </row>
    <row r="906" spans="1:18" x14ac:dyDescent="0.3">
      <c r="A906" s="7">
        <v>399</v>
      </c>
      <c r="B906" s="7">
        <v>401</v>
      </c>
      <c r="C906" s="7">
        <v>1</v>
      </c>
      <c r="D906" s="7">
        <v>1</v>
      </c>
      <c r="E906" s="20" t="str">
        <f t="shared" si="14"/>
        <v>11</v>
      </c>
      <c r="F906" s="21">
        <v>0.11527771550490901</v>
      </c>
      <c r="G906" s="4">
        <v>0.224</v>
      </c>
      <c r="H906" s="4">
        <v>1</v>
      </c>
      <c r="I906" s="4">
        <v>0.99099999999999999</v>
      </c>
      <c r="J906" s="4">
        <v>0.997</v>
      </c>
      <c r="K906" s="5">
        <v>0</v>
      </c>
      <c r="L906" s="5">
        <v>100</v>
      </c>
      <c r="M906" s="5">
        <v>100</v>
      </c>
      <c r="N906" s="5">
        <v>100</v>
      </c>
      <c r="O906" s="2">
        <v>1.4961092271270973</v>
      </c>
      <c r="P906" s="2">
        <v>1.0000050000287824E-5</v>
      </c>
      <c r="Q906" s="2">
        <v>9.0407446521490707E-3</v>
      </c>
      <c r="R906" s="2">
        <v>3.0045090202987243E-3</v>
      </c>
    </row>
    <row r="907" spans="1:18" x14ac:dyDescent="0.3">
      <c r="A907" s="7">
        <v>741</v>
      </c>
      <c r="B907" s="7">
        <v>374</v>
      </c>
      <c r="C907" s="7">
        <v>1</v>
      </c>
      <c r="D907" s="7">
        <v>1</v>
      </c>
      <c r="E907" s="20" t="str">
        <f t="shared" si="14"/>
        <v>11</v>
      </c>
      <c r="F907" s="21">
        <v>0.12652424786488101</v>
      </c>
      <c r="G907" s="4">
        <v>0.77300000000000002</v>
      </c>
      <c r="H907" s="4">
        <v>1</v>
      </c>
      <c r="I907" s="4">
        <v>0.996</v>
      </c>
      <c r="J907" s="4">
        <v>1</v>
      </c>
      <c r="K907" s="5">
        <v>100</v>
      </c>
      <c r="L907" s="5">
        <v>100</v>
      </c>
      <c r="M907" s="5">
        <v>100</v>
      </c>
      <c r="N907" s="5">
        <v>100</v>
      </c>
      <c r="O907" s="2">
        <v>0.25747623039471507</v>
      </c>
      <c r="P907" s="2">
        <v>1.0000050000287824E-5</v>
      </c>
      <c r="Q907" s="2">
        <v>4.0080213975388218E-3</v>
      </c>
      <c r="R907" s="2">
        <v>1.0000050000287824E-5</v>
      </c>
    </row>
    <row r="908" spans="1:18" x14ac:dyDescent="0.3">
      <c r="A908" s="7">
        <v>873</v>
      </c>
      <c r="B908" s="7">
        <v>431</v>
      </c>
      <c r="C908" s="7">
        <v>1</v>
      </c>
      <c r="D908" s="7">
        <v>1</v>
      </c>
      <c r="E908" s="20" t="str">
        <f t="shared" si="14"/>
        <v>11</v>
      </c>
      <c r="F908" s="21">
        <v>0.130974703791845</v>
      </c>
      <c r="G908" s="4">
        <v>0.41799999999999998</v>
      </c>
      <c r="H908" s="4">
        <v>1</v>
      </c>
      <c r="I908" s="4">
        <v>0.94399999999999995</v>
      </c>
      <c r="J908" s="4">
        <v>1</v>
      </c>
      <c r="K908" s="5">
        <v>0</v>
      </c>
      <c r="L908" s="5">
        <v>100</v>
      </c>
      <c r="M908" s="5">
        <v>100</v>
      </c>
      <c r="N908" s="5">
        <v>100</v>
      </c>
      <c r="O908" s="2">
        <v>0.87227384645738082</v>
      </c>
      <c r="P908" s="2">
        <v>1.0000050000287824E-5</v>
      </c>
      <c r="Q908" s="2">
        <v>5.7629112836636416E-2</v>
      </c>
      <c r="R908" s="2">
        <v>1.0000050000287824E-5</v>
      </c>
    </row>
    <row r="909" spans="1:18" x14ac:dyDescent="0.3">
      <c r="A909" s="7">
        <v>314</v>
      </c>
      <c r="B909" s="7">
        <v>387</v>
      </c>
      <c r="C909" s="7">
        <v>1</v>
      </c>
      <c r="D909" s="7">
        <v>1</v>
      </c>
      <c r="E909" s="20" t="str">
        <f t="shared" si="14"/>
        <v>11</v>
      </c>
      <c r="F909" s="21">
        <v>0.14131658570497799</v>
      </c>
      <c r="G909" s="4">
        <v>0.58299999999999996</v>
      </c>
      <c r="H909" s="4">
        <v>1</v>
      </c>
      <c r="I909" s="4">
        <v>0.995</v>
      </c>
      <c r="J909" s="4">
        <v>1</v>
      </c>
      <c r="K909" s="5">
        <v>100</v>
      </c>
      <c r="L909" s="5">
        <v>100</v>
      </c>
      <c r="M909" s="5">
        <v>100</v>
      </c>
      <c r="N909" s="5">
        <v>100</v>
      </c>
      <c r="O909" s="2">
        <v>0.53956809263164474</v>
      </c>
      <c r="P909" s="2">
        <v>1.0000050000287824E-5</v>
      </c>
      <c r="Q909" s="2">
        <v>5.0125418235442863E-3</v>
      </c>
      <c r="R909" s="2">
        <v>1.0000050000287824E-5</v>
      </c>
    </row>
    <row r="910" spans="1:18" x14ac:dyDescent="0.3">
      <c r="A910" s="7">
        <v>163</v>
      </c>
      <c r="B910" s="7">
        <v>379</v>
      </c>
      <c r="C910" s="7">
        <v>1</v>
      </c>
      <c r="D910" s="7">
        <v>1</v>
      </c>
      <c r="E910" s="20" t="str">
        <f t="shared" si="14"/>
        <v>11</v>
      </c>
      <c r="F910" s="21">
        <v>0.143726409100049</v>
      </c>
      <c r="G910" s="4">
        <v>0.40200000000000002</v>
      </c>
      <c r="H910" s="4">
        <v>0.96296296296296302</v>
      </c>
      <c r="I910" s="4">
        <v>0.98699999999999999</v>
      </c>
      <c r="J910" s="4">
        <v>0.998</v>
      </c>
      <c r="K910" s="5">
        <v>0</v>
      </c>
      <c r="L910" s="5">
        <v>100</v>
      </c>
      <c r="M910" s="5">
        <v>100</v>
      </c>
      <c r="N910" s="5">
        <v>100</v>
      </c>
      <c r="O910" s="2">
        <v>0.91130319036311591</v>
      </c>
      <c r="P910" s="2">
        <v>3.7740327982846968E-2</v>
      </c>
      <c r="Q910" s="2">
        <v>1.3085239548655481E-2</v>
      </c>
      <c r="R910" s="2">
        <v>2.0020026706730793E-3</v>
      </c>
    </row>
    <row r="911" spans="1:18" x14ac:dyDescent="0.3">
      <c r="A911" s="7">
        <v>991</v>
      </c>
      <c r="B911" s="7">
        <v>392</v>
      </c>
      <c r="C911" s="7">
        <v>1</v>
      </c>
      <c r="D911" s="7">
        <v>1</v>
      </c>
      <c r="E911" s="20" t="str">
        <f t="shared" si="14"/>
        <v>11</v>
      </c>
      <c r="F911" s="21">
        <v>0.162922803966666</v>
      </c>
      <c r="G911" s="4">
        <v>0.34300000000000003</v>
      </c>
      <c r="H911" s="4">
        <v>0.75862068965517204</v>
      </c>
      <c r="I911" s="4">
        <v>0.98499999999999999</v>
      </c>
      <c r="J911" s="4">
        <v>1</v>
      </c>
      <c r="K911" s="5">
        <v>0</v>
      </c>
      <c r="L911" s="5">
        <v>100</v>
      </c>
      <c r="M911" s="5">
        <v>100</v>
      </c>
      <c r="N911" s="5">
        <v>100</v>
      </c>
      <c r="O911" s="2">
        <v>1.0700248318161971</v>
      </c>
      <c r="P911" s="2">
        <v>0.27625337662815869</v>
      </c>
      <c r="Q911" s="2">
        <v>1.5113637810048184E-2</v>
      </c>
      <c r="R911" s="2">
        <v>1.0000050000287824E-5</v>
      </c>
    </row>
    <row r="912" spans="1:18" x14ac:dyDescent="0.3">
      <c r="A912" s="7">
        <v>529</v>
      </c>
      <c r="B912" s="7">
        <v>354</v>
      </c>
      <c r="C912" s="7">
        <v>1</v>
      </c>
      <c r="D912" s="7">
        <v>1</v>
      </c>
      <c r="E912" s="20" t="str">
        <f t="shared" si="14"/>
        <v>11</v>
      </c>
      <c r="F912" s="21">
        <v>0.17158141334062901</v>
      </c>
      <c r="G912" s="4">
        <v>0.251</v>
      </c>
      <c r="H912" s="4">
        <v>1</v>
      </c>
      <c r="I912" s="4">
        <v>0.99</v>
      </c>
      <c r="J912" s="4">
        <v>1</v>
      </c>
      <c r="K912" s="5">
        <v>0</v>
      </c>
      <c r="L912" s="5">
        <v>100</v>
      </c>
      <c r="M912" s="5">
        <v>100</v>
      </c>
      <c r="N912" s="5">
        <v>100</v>
      </c>
      <c r="O912" s="2">
        <v>1.3823023398503531</v>
      </c>
      <c r="P912" s="2">
        <v>1.0000050000287824E-5</v>
      </c>
      <c r="Q912" s="2">
        <v>1.0050335853501451E-2</v>
      </c>
      <c r="R912" s="2">
        <v>1.0000050000287824E-5</v>
      </c>
    </row>
    <row r="913" spans="1:18" x14ac:dyDescent="0.3">
      <c r="A913" s="7">
        <v>269</v>
      </c>
      <c r="B913" s="7">
        <v>359</v>
      </c>
      <c r="C913" s="7">
        <v>1</v>
      </c>
      <c r="D913" s="7">
        <v>1</v>
      </c>
      <c r="E913" s="20" t="str">
        <f t="shared" si="14"/>
        <v>11</v>
      </c>
      <c r="F913" s="21">
        <v>0.18125485652478701</v>
      </c>
      <c r="G913" s="4">
        <v>0.40799999999999997</v>
      </c>
      <c r="H913" s="4">
        <v>1</v>
      </c>
      <c r="I913" s="4">
        <v>0.98499999999999999</v>
      </c>
      <c r="J913" s="4">
        <v>1</v>
      </c>
      <c r="K913" s="5">
        <v>0</v>
      </c>
      <c r="L913" s="5">
        <v>100</v>
      </c>
      <c r="M913" s="5">
        <v>100</v>
      </c>
      <c r="N913" s="5">
        <v>100</v>
      </c>
      <c r="O913" s="2">
        <v>0.89648810457797545</v>
      </c>
      <c r="P913" s="2">
        <v>1.0000050000287824E-5</v>
      </c>
      <c r="Q913" s="2">
        <v>1.5113637810048184E-2</v>
      </c>
      <c r="R913" s="2">
        <v>1.0000050000287824E-5</v>
      </c>
    </row>
    <row r="914" spans="1:18" x14ac:dyDescent="0.3">
      <c r="A914" s="7">
        <v>709</v>
      </c>
      <c r="B914" s="7">
        <v>346</v>
      </c>
      <c r="C914" s="7">
        <v>1</v>
      </c>
      <c r="D914" s="7">
        <v>1</v>
      </c>
      <c r="E914" s="20" t="str">
        <f t="shared" si="14"/>
        <v>11</v>
      </c>
      <c r="F914" s="21">
        <v>0.18279299360168899</v>
      </c>
      <c r="G914" s="4">
        <v>0.502</v>
      </c>
      <c r="H914" s="4">
        <v>1</v>
      </c>
      <c r="I914" s="4">
        <v>0.98699999999999999</v>
      </c>
      <c r="J914" s="4">
        <v>1</v>
      </c>
      <c r="K914" s="5">
        <v>100</v>
      </c>
      <c r="L914" s="5">
        <v>100</v>
      </c>
      <c r="M914" s="5">
        <v>100</v>
      </c>
      <c r="N914" s="5">
        <v>100</v>
      </c>
      <c r="O914" s="2">
        <v>0.68915515929040783</v>
      </c>
      <c r="P914" s="2">
        <v>1.0000050000287824E-5</v>
      </c>
      <c r="Q914" s="2">
        <v>1.3085239548655481E-2</v>
      </c>
      <c r="R914" s="2">
        <v>1.0000050000287824E-5</v>
      </c>
    </row>
    <row r="915" spans="1:18" x14ac:dyDescent="0.3">
      <c r="A915" s="7">
        <v>676</v>
      </c>
      <c r="B915" s="7">
        <v>370</v>
      </c>
      <c r="C915" s="7">
        <v>1</v>
      </c>
      <c r="D915" s="7">
        <v>1</v>
      </c>
      <c r="E915" s="20" t="str">
        <f t="shared" si="14"/>
        <v>11</v>
      </c>
      <c r="F915" s="21">
        <v>0.190822392471379</v>
      </c>
      <c r="G915" s="4">
        <v>0.67700000000000005</v>
      </c>
      <c r="H915" s="4">
        <v>1</v>
      </c>
      <c r="I915" s="4">
        <v>0.98899999999999999</v>
      </c>
      <c r="J915" s="4">
        <v>1</v>
      </c>
      <c r="K915" s="5">
        <v>100</v>
      </c>
      <c r="L915" s="5">
        <v>100</v>
      </c>
      <c r="M915" s="5">
        <v>100</v>
      </c>
      <c r="N915" s="5">
        <v>100</v>
      </c>
      <c r="O915" s="2">
        <v>0.39008400606986199</v>
      </c>
      <c r="P915" s="2">
        <v>1.0000050000287824E-5</v>
      </c>
      <c r="Q915" s="2">
        <v>1.1060947359424948E-2</v>
      </c>
      <c r="R915" s="2">
        <v>1.0000050000287824E-5</v>
      </c>
    </row>
    <row r="916" spans="1:18" x14ac:dyDescent="0.3">
      <c r="A916" s="7">
        <v>673</v>
      </c>
      <c r="B916" s="7">
        <v>338</v>
      </c>
      <c r="C916" s="7">
        <v>1</v>
      </c>
      <c r="D916" s="7">
        <v>1</v>
      </c>
      <c r="E916" s="20" t="str">
        <f t="shared" si="14"/>
        <v>11</v>
      </c>
      <c r="F916" s="21">
        <v>0.190908692546607</v>
      </c>
      <c r="G916" s="4">
        <v>0.40899999999999997</v>
      </c>
      <c r="H916" s="4">
        <v>1</v>
      </c>
      <c r="I916" s="4">
        <v>0.997</v>
      </c>
      <c r="J916" s="4">
        <v>1</v>
      </c>
      <c r="K916" s="5">
        <v>0</v>
      </c>
      <c r="L916" s="5">
        <v>100</v>
      </c>
      <c r="M916" s="5">
        <v>100</v>
      </c>
      <c r="N916" s="5">
        <v>100</v>
      </c>
      <c r="O916" s="2">
        <v>0.89404012293933532</v>
      </c>
      <c r="P916" s="2">
        <v>1.0000050000287824E-5</v>
      </c>
      <c r="Q916" s="2">
        <v>3.0045090202987243E-3</v>
      </c>
      <c r="R916" s="2">
        <v>1.0000050000287824E-5</v>
      </c>
    </row>
    <row r="917" spans="1:18" x14ac:dyDescent="0.3">
      <c r="A917" s="7">
        <v>134</v>
      </c>
      <c r="B917" s="7">
        <v>366</v>
      </c>
      <c r="C917" s="7">
        <v>1</v>
      </c>
      <c r="D917" s="7">
        <v>1</v>
      </c>
      <c r="E917" s="20" t="str">
        <f t="shared" si="14"/>
        <v>11</v>
      </c>
      <c r="F917" s="21">
        <v>0.19196763234234901</v>
      </c>
      <c r="G917" s="4">
        <v>0.629</v>
      </c>
      <c r="H917" s="4">
        <v>1</v>
      </c>
      <c r="I917" s="4">
        <v>0.98499999999999999</v>
      </c>
      <c r="J917" s="4">
        <v>1</v>
      </c>
      <c r="K917" s="5">
        <v>100</v>
      </c>
      <c r="L917" s="5">
        <v>100</v>
      </c>
      <c r="M917" s="5">
        <v>100</v>
      </c>
      <c r="N917" s="5">
        <v>100</v>
      </c>
      <c r="O917" s="2">
        <v>0.46362402228169652</v>
      </c>
      <c r="P917" s="2">
        <v>1.0000050000287824E-5</v>
      </c>
      <c r="Q917" s="2">
        <v>1.5113637810048184E-2</v>
      </c>
      <c r="R917" s="2">
        <v>1.0000050000287824E-5</v>
      </c>
    </row>
    <row r="918" spans="1:18" x14ac:dyDescent="0.3">
      <c r="A918" s="7">
        <v>209</v>
      </c>
      <c r="B918" s="7">
        <v>356</v>
      </c>
      <c r="C918" s="7">
        <v>1</v>
      </c>
      <c r="D918" s="7">
        <v>1</v>
      </c>
      <c r="E918" s="20" t="str">
        <f t="shared" si="14"/>
        <v>11</v>
      </c>
      <c r="F918" s="21">
        <v>0.19237467023717</v>
      </c>
      <c r="G918" s="4">
        <v>0.38100000000000001</v>
      </c>
      <c r="H918" s="4">
        <v>1</v>
      </c>
      <c r="I918" s="4">
        <v>0.98299999999999998</v>
      </c>
      <c r="J918" s="4">
        <v>1</v>
      </c>
      <c r="K918" s="5">
        <v>0</v>
      </c>
      <c r="L918" s="5">
        <v>100</v>
      </c>
      <c r="M918" s="5">
        <v>100</v>
      </c>
      <c r="N918" s="5">
        <v>100</v>
      </c>
      <c r="O918" s="2">
        <v>0.96495590385543606</v>
      </c>
      <c r="P918" s="2">
        <v>1.0000050000287824E-5</v>
      </c>
      <c r="Q918" s="2">
        <v>1.7146158834970514E-2</v>
      </c>
      <c r="R918" s="2">
        <v>1.0000050000287824E-5</v>
      </c>
    </row>
    <row r="919" spans="1:18" x14ac:dyDescent="0.3">
      <c r="A919" s="7">
        <v>290</v>
      </c>
      <c r="B919" s="7">
        <v>351</v>
      </c>
      <c r="C919" s="7">
        <v>1</v>
      </c>
      <c r="D919" s="7">
        <v>1</v>
      </c>
      <c r="E919" s="20" t="str">
        <f t="shared" si="14"/>
        <v>11</v>
      </c>
      <c r="F919" s="21">
        <v>0.193025016125218</v>
      </c>
      <c r="G919" s="4">
        <v>0.35899999999999999</v>
      </c>
      <c r="H919" s="4">
        <v>1</v>
      </c>
      <c r="I919" s="4">
        <v>0.98499999999999999</v>
      </c>
      <c r="J919" s="4">
        <v>1</v>
      </c>
      <c r="K919" s="5">
        <v>0</v>
      </c>
      <c r="L919" s="5">
        <v>100</v>
      </c>
      <c r="M919" s="5">
        <v>100</v>
      </c>
      <c r="N919" s="5">
        <v>100</v>
      </c>
      <c r="O919" s="2">
        <v>1.0244328904938582</v>
      </c>
      <c r="P919" s="2">
        <v>1.0000050000287824E-5</v>
      </c>
      <c r="Q919" s="2">
        <v>1.5113637810048184E-2</v>
      </c>
      <c r="R919" s="2">
        <v>1.0000050000287824E-5</v>
      </c>
    </row>
    <row r="920" spans="1:18" x14ac:dyDescent="0.3">
      <c r="A920" s="7">
        <v>895</v>
      </c>
      <c r="B920" s="7">
        <v>328</v>
      </c>
      <c r="C920" s="7">
        <v>1</v>
      </c>
      <c r="D920" s="7">
        <v>1</v>
      </c>
      <c r="E920" s="20" t="str">
        <f t="shared" si="14"/>
        <v>11</v>
      </c>
      <c r="F920" s="21">
        <v>0.20822954793772</v>
      </c>
      <c r="G920" s="4">
        <v>0.36299999999999999</v>
      </c>
      <c r="H920" s="4">
        <v>0.98333333333333295</v>
      </c>
      <c r="I920" s="4">
        <v>0.99099999999999999</v>
      </c>
      <c r="J920" s="4">
        <v>0.998</v>
      </c>
      <c r="K920" s="5">
        <v>0</v>
      </c>
      <c r="L920" s="5">
        <v>100</v>
      </c>
      <c r="M920" s="5">
        <v>100</v>
      </c>
      <c r="N920" s="5">
        <v>100</v>
      </c>
      <c r="O920" s="2">
        <v>1.0133524447172864</v>
      </c>
      <c r="P920" s="2">
        <v>1.6807118316381625E-2</v>
      </c>
      <c r="Q920" s="2">
        <v>9.0407446521490707E-3</v>
      </c>
      <c r="R920" s="2">
        <v>2.0020026706730793E-3</v>
      </c>
    </row>
    <row r="921" spans="1:18" x14ac:dyDescent="0.3">
      <c r="A921" s="7">
        <v>342</v>
      </c>
      <c r="B921" s="7">
        <v>363</v>
      </c>
      <c r="C921" s="7">
        <v>1</v>
      </c>
      <c r="D921" s="7">
        <v>1</v>
      </c>
      <c r="E921" s="20" t="str">
        <f t="shared" si="14"/>
        <v>11</v>
      </c>
      <c r="F921" s="21">
        <v>0.21821061069478601</v>
      </c>
      <c r="G921" s="4">
        <v>0.34899999999999998</v>
      </c>
      <c r="H921" s="4">
        <v>0.96153846153846201</v>
      </c>
      <c r="I921" s="4">
        <v>0.97799999999999998</v>
      </c>
      <c r="J921" s="4">
        <v>0.97899999999999998</v>
      </c>
      <c r="K921" s="5">
        <v>0</v>
      </c>
      <c r="L921" s="5">
        <v>100</v>
      </c>
      <c r="M921" s="5">
        <v>100</v>
      </c>
      <c r="N921" s="5">
        <v>100</v>
      </c>
      <c r="O921" s="2">
        <v>1.05268335677971</v>
      </c>
      <c r="P921" s="2">
        <v>3.9220713153280809E-2</v>
      </c>
      <c r="Q921" s="2">
        <v>2.2245608947319737E-2</v>
      </c>
      <c r="R921" s="2">
        <v>2.1223636451626688E-2</v>
      </c>
    </row>
    <row r="922" spans="1:18" x14ac:dyDescent="0.3">
      <c r="A922" s="7">
        <v>336</v>
      </c>
      <c r="B922" s="7">
        <v>354</v>
      </c>
      <c r="C922" s="7">
        <v>1</v>
      </c>
      <c r="D922" s="7">
        <v>1</v>
      </c>
      <c r="E922" s="20" t="str">
        <f t="shared" si="14"/>
        <v>11</v>
      </c>
      <c r="F922" s="21">
        <v>0.21946602268202201</v>
      </c>
      <c r="G922" s="4">
        <v>0.48399999999999999</v>
      </c>
      <c r="H922" s="4">
        <v>1</v>
      </c>
      <c r="I922" s="4">
        <v>0.99199999999999999</v>
      </c>
      <c r="J922" s="4">
        <v>1</v>
      </c>
      <c r="K922" s="5">
        <v>0</v>
      </c>
      <c r="L922" s="5">
        <v>100</v>
      </c>
      <c r="M922" s="5">
        <v>100</v>
      </c>
      <c r="N922" s="5">
        <v>100</v>
      </c>
      <c r="O922" s="2">
        <v>0.72567037226550535</v>
      </c>
      <c r="P922" s="2">
        <v>1.0000050000287824E-5</v>
      </c>
      <c r="Q922" s="2">
        <v>8.0321716972642666E-3</v>
      </c>
      <c r="R922" s="2">
        <v>1.0000050000287824E-5</v>
      </c>
    </row>
    <row r="923" spans="1:18" x14ac:dyDescent="0.3">
      <c r="A923" s="7">
        <v>24</v>
      </c>
      <c r="B923" s="7">
        <v>355</v>
      </c>
      <c r="C923" s="7">
        <v>1</v>
      </c>
      <c r="D923" s="7">
        <v>1</v>
      </c>
      <c r="E923" s="20" t="str">
        <f t="shared" si="14"/>
        <v>11</v>
      </c>
      <c r="F923" s="21">
        <v>0.222380728748996</v>
      </c>
      <c r="G923" s="4">
        <v>0.41</v>
      </c>
      <c r="H923" s="4">
        <v>1</v>
      </c>
      <c r="I923" s="4">
        <v>0.99299999999999999</v>
      </c>
      <c r="J923" s="4">
        <v>1</v>
      </c>
      <c r="K923" s="5">
        <v>0</v>
      </c>
      <c r="L923" s="5">
        <v>100</v>
      </c>
      <c r="M923" s="5">
        <v>100</v>
      </c>
      <c r="N923" s="5">
        <v>100</v>
      </c>
      <c r="O923" s="2">
        <v>0.89159811928378363</v>
      </c>
      <c r="P923" s="2">
        <v>1.0000050000287824E-5</v>
      </c>
      <c r="Q923" s="2">
        <v>7.0246149369644663E-3</v>
      </c>
      <c r="R923" s="2">
        <v>1.0000050000287824E-5</v>
      </c>
    </row>
    <row r="924" spans="1:18" x14ac:dyDescent="0.3">
      <c r="A924" s="7">
        <v>263</v>
      </c>
      <c r="B924" s="7">
        <v>339</v>
      </c>
      <c r="C924" s="7">
        <v>1</v>
      </c>
      <c r="D924" s="7">
        <v>1</v>
      </c>
      <c r="E924" s="20" t="str">
        <f t="shared" si="14"/>
        <v>11</v>
      </c>
      <c r="F924" s="21">
        <v>0.237476106551229</v>
      </c>
      <c r="G924" s="4">
        <v>0.84</v>
      </c>
      <c r="H924" s="4">
        <v>1</v>
      </c>
      <c r="I924" s="4">
        <v>0.98599999999999999</v>
      </c>
      <c r="J924" s="4">
        <v>1</v>
      </c>
      <c r="K924" s="5">
        <v>100</v>
      </c>
      <c r="L924" s="5">
        <v>100</v>
      </c>
      <c r="M924" s="5">
        <v>100</v>
      </c>
      <c r="N924" s="5">
        <v>100</v>
      </c>
      <c r="O924" s="2">
        <v>0.1743533871447778</v>
      </c>
      <c r="P924" s="2">
        <v>1.0000050000287824E-5</v>
      </c>
      <c r="Q924" s="2">
        <v>1.4098924379501648E-2</v>
      </c>
      <c r="R924" s="2">
        <v>1.0000050000287824E-5</v>
      </c>
    </row>
    <row r="925" spans="1:18" x14ac:dyDescent="0.3">
      <c r="A925" s="7">
        <v>664</v>
      </c>
      <c r="B925" s="7">
        <v>302</v>
      </c>
      <c r="C925" s="7">
        <v>1</v>
      </c>
      <c r="D925" s="7">
        <v>1</v>
      </c>
      <c r="E925" s="20" t="str">
        <f t="shared" si="14"/>
        <v>11</v>
      </c>
      <c r="F925" s="21">
        <v>0.23981710331772099</v>
      </c>
      <c r="G925" s="4">
        <v>0.65900000000000003</v>
      </c>
      <c r="H925" s="4">
        <v>1</v>
      </c>
      <c r="I925" s="4">
        <v>0.99099999999999999</v>
      </c>
      <c r="J925" s="4">
        <v>1</v>
      </c>
      <c r="K925" s="5">
        <v>100</v>
      </c>
      <c r="L925" s="5">
        <v>100</v>
      </c>
      <c r="M925" s="5">
        <v>100</v>
      </c>
      <c r="N925" s="5">
        <v>100</v>
      </c>
      <c r="O925" s="2">
        <v>0.41703174447962976</v>
      </c>
      <c r="P925" s="2">
        <v>1.0000050000287824E-5</v>
      </c>
      <c r="Q925" s="2">
        <v>9.0407446521490707E-3</v>
      </c>
      <c r="R925" s="2">
        <v>1.0000050000287824E-5</v>
      </c>
    </row>
    <row r="926" spans="1:18" x14ac:dyDescent="0.3">
      <c r="A926" s="7">
        <v>707</v>
      </c>
      <c r="B926" s="7">
        <v>336</v>
      </c>
      <c r="C926" s="7">
        <v>1</v>
      </c>
      <c r="D926" s="7">
        <v>1</v>
      </c>
      <c r="E926" s="20" t="str">
        <f t="shared" si="14"/>
        <v>11</v>
      </c>
      <c r="F926" s="21">
        <v>0.26365115025552599</v>
      </c>
      <c r="G926" s="4">
        <v>0.249</v>
      </c>
      <c r="H926" s="4">
        <v>1</v>
      </c>
      <c r="I926" s="4">
        <v>0.97699999999999998</v>
      </c>
      <c r="J926" s="4">
        <v>0.998</v>
      </c>
      <c r="K926" s="5">
        <v>0</v>
      </c>
      <c r="L926" s="5">
        <v>100</v>
      </c>
      <c r="M926" s="5">
        <v>100</v>
      </c>
      <c r="N926" s="5">
        <v>100</v>
      </c>
      <c r="O926" s="2">
        <v>1.3903023825174294</v>
      </c>
      <c r="P926" s="2">
        <v>1.0000050000287824E-5</v>
      </c>
      <c r="Q926" s="2">
        <v>2.3268626939354331E-2</v>
      </c>
      <c r="R926" s="2">
        <v>2.0020026706730793E-3</v>
      </c>
    </row>
    <row r="927" spans="1:18" x14ac:dyDescent="0.3">
      <c r="A927" s="7">
        <v>668</v>
      </c>
      <c r="B927" s="7">
        <v>308</v>
      </c>
      <c r="C927" s="7">
        <v>1</v>
      </c>
      <c r="D927" s="7">
        <v>1</v>
      </c>
      <c r="E927" s="20" t="str">
        <f t="shared" si="14"/>
        <v>11</v>
      </c>
      <c r="F927" s="21">
        <v>0.274587619720285</v>
      </c>
      <c r="G927" s="4">
        <v>0.72599999999999998</v>
      </c>
      <c r="H927" s="4">
        <v>1</v>
      </c>
      <c r="I927" s="4">
        <v>0.98399999999999999</v>
      </c>
      <c r="J927" s="4">
        <v>1</v>
      </c>
      <c r="K927" s="5">
        <v>100</v>
      </c>
      <c r="L927" s="5">
        <v>100</v>
      </c>
      <c r="M927" s="5">
        <v>100</v>
      </c>
      <c r="N927" s="5">
        <v>100</v>
      </c>
      <c r="O927" s="2">
        <v>0.32020526415734102</v>
      </c>
      <c r="P927" s="2">
        <v>1.0000050000287824E-5</v>
      </c>
      <c r="Q927" s="2">
        <v>1.6129381929883644E-2</v>
      </c>
      <c r="R927" s="2">
        <v>1.0000050000287824E-5</v>
      </c>
    </row>
    <row r="928" spans="1:18" x14ac:dyDescent="0.3">
      <c r="A928" s="7">
        <v>158</v>
      </c>
      <c r="B928" s="7">
        <v>302</v>
      </c>
      <c r="C928" s="7">
        <v>1</v>
      </c>
      <c r="D928" s="7">
        <v>1</v>
      </c>
      <c r="E928" s="20" t="str">
        <f t="shared" si="14"/>
        <v>11</v>
      </c>
      <c r="F928" s="21">
        <v>0.28065494857185203</v>
      </c>
      <c r="G928" s="4">
        <v>0.78200000000000003</v>
      </c>
      <c r="H928" s="4">
        <v>0.98870056497175096</v>
      </c>
      <c r="I928" s="4">
        <v>0.98299999999999998</v>
      </c>
      <c r="J928" s="4">
        <v>0.997</v>
      </c>
      <c r="K928" s="5">
        <v>100</v>
      </c>
      <c r="L928" s="5">
        <v>100</v>
      </c>
      <c r="M928" s="5">
        <v>100</v>
      </c>
      <c r="N928" s="5">
        <v>100</v>
      </c>
      <c r="O928" s="2">
        <v>0.24590053843682594</v>
      </c>
      <c r="P928" s="2">
        <v>1.1363758650315544E-2</v>
      </c>
      <c r="Q928" s="2">
        <v>1.7146158834970514E-2</v>
      </c>
      <c r="R928" s="2">
        <v>3.0045090202987243E-3</v>
      </c>
    </row>
    <row r="929" spans="1:18" x14ac:dyDescent="0.3">
      <c r="A929" s="7">
        <v>889</v>
      </c>
      <c r="B929" s="7">
        <v>291</v>
      </c>
      <c r="C929" s="7">
        <v>1</v>
      </c>
      <c r="D929" s="7">
        <v>1</v>
      </c>
      <c r="E929" s="20" t="str">
        <f t="shared" si="14"/>
        <v>11</v>
      </c>
      <c r="F929" s="21">
        <v>0.28667199809167498</v>
      </c>
      <c r="G929" s="4">
        <v>0.61</v>
      </c>
      <c r="H929" s="4">
        <v>1</v>
      </c>
      <c r="I929" s="4">
        <v>0.98699999999999999</v>
      </c>
      <c r="J929" s="4">
        <v>1</v>
      </c>
      <c r="K929" s="5">
        <v>100</v>
      </c>
      <c r="L929" s="5">
        <v>100</v>
      </c>
      <c r="M929" s="5">
        <v>100</v>
      </c>
      <c r="N929" s="5">
        <v>100</v>
      </c>
      <c r="O929" s="2">
        <v>0.49429632181478012</v>
      </c>
      <c r="P929" s="2">
        <v>1.0000050000287824E-5</v>
      </c>
      <c r="Q929" s="2">
        <v>1.3085239548655481E-2</v>
      </c>
      <c r="R929" s="2">
        <v>1.0000050000287824E-5</v>
      </c>
    </row>
    <row r="930" spans="1:18" x14ac:dyDescent="0.3">
      <c r="A930" s="7">
        <v>328</v>
      </c>
      <c r="B930" s="7">
        <v>283</v>
      </c>
      <c r="C930" s="7">
        <v>1</v>
      </c>
      <c r="D930" s="7">
        <v>1</v>
      </c>
      <c r="E930" s="20" t="str">
        <f t="shared" si="14"/>
        <v>11</v>
      </c>
      <c r="F930" s="21">
        <v>0.307303994883593</v>
      </c>
      <c r="G930" s="4">
        <v>0.51100000000000001</v>
      </c>
      <c r="H930" s="4">
        <v>1</v>
      </c>
      <c r="I930" s="4">
        <v>0.99199999999999999</v>
      </c>
      <c r="J930" s="4">
        <v>1</v>
      </c>
      <c r="K930" s="5">
        <v>100</v>
      </c>
      <c r="L930" s="5">
        <v>100</v>
      </c>
      <c r="M930" s="5">
        <v>100</v>
      </c>
      <c r="N930" s="5">
        <v>100</v>
      </c>
      <c r="O930" s="2">
        <v>0.67138568877843263</v>
      </c>
      <c r="P930" s="2">
        <v>1.0000050000287824E-5</v>
      </c>
      <c r="Q930" s="2">
        <v>8.0321716972642666E-3</v>
      </c>
      <c r="R930" s="2">
        <v>1.0000050000287824E-5</v>
      </c>
    </row>
    <row r="931" spans="1:18" x14ac:dyDescent="0.3">
      <c r="A931" s="7">
        <v>238</v>
      </c>
      <c r="B931" s="7">
        <v>271</v>
      </c>
      <c r="C931" s="7">
        <v>1</v>
      </c>
      <c r="D931" s="7">
        <v>1</v>
      </c>
      <c r="E931" s="20" t="str">
        <f t="shared" si="14"/>
        <v>11</v>
      </c>
      <c r="F931" s="21">
        <v>0.319047379488895</v>
      </c>
      <c r="G931" s="4">
        <v>0.52600000000000002</v>
      </c>
      <c r="H931" s="4">
        <v>0.99019607843137303</v>
      </c>
      <c r="I931" s="4">
        <v>0.98699999999999999</v>
      </c>
      <c r="J931" s="4">
        <v>1</v>
      </c>
      <c r="K931" s="5">
        <v>100</v>
      </c>
      <c r="L931" s="5">
        <v>100</v>
      </c>
      <c r="M931" s="5">
        <v>100</v>
      </c>
      <c r="N931" s="5">
        <v>100</v>
      </c>
      <c r="O931" s="2">
        <v>0.64245406624442714</v>
      </c>
      <c r="P931" s="2">
        <v>9.8522964430111468E-3</v>
      </c>
      <c r="Q931" s="2">
        <v>1.3085239548655481E-2</v>
      </c>
      <c r="R931" s="2">
        <v>1.0000050000287824E-5</v>
      </c>
    </row>
    <row r="932" spans="1:18" x14ac:dyDescent="0.3">
      <c r="A932" s="7">
        <v>750</v>
      </c>
      <c r="B932" s="7">
        <v>291</v>
      </c>
      <c r="C932" s="7">
        <v>1</v>
      </c>
      <c r="D932" s="7">
        <v>1</v>
      </c>
      <c r="E932" s="20" t="str">
        <f t="shared" si="14"/>
        <v>11</v>
      </c>
      <c r="F932" s="21">
        <v>0.32417019876340503</v>
      </c>
      <c r="G932" s="4">
        <v>0.52200000000000002</v>
      </c>
      <c r="H932" s="4">
        <v>1</v>
      </c>
      <c r="I932" s="4">
        <v>0.98799999999999999</v>
      </c>
      <c r="J932" s="4">
        <v>1</v>
      </c>
      <c r="K932" s="5">
        <v>100</v>
      </c>
      <c r="L932" s="5">
        <v>100</v>
      </c>
      <c r="M932" s="5">
        <v>100</v>
      </c>
      <c r="N932" s="5">
        <v>100</v>
      </c>
      <c r="O932" s="2">
        <v>0.65008769109949827</v>
      </c>
      <c r="P932" s="2">
        <v>1.0000050000287824E-5</v>
      </c>
      <c r="Q932" s="2">
        <v>1.2072581234269249E-2</v>
      </c>
      <c r="R932" s="2">
        <v>1.0000050000287824E-5</v>
      </c>
    </row>
    <row r="933" spans="1:18" x14ac:dyDescent="0.3">
      <c r="A933" s="7">
        <v>682</v>
      </c>
      <c r="B933" s="7">
        <v>275</v>
      </c>
      <c r="C933" s="7">
        <v>1</v>
      </c>
      <c r="D933" s="7">
        <v>1</v>
      </c>
      <c r="E933" s="20" t="str">
        <f t="shared" si="14"/>
        <v>11</v>
      </c>
      <c r="F933" s="21">
        <v>0.32696236995436201</v>
      </c>
      <c r="G933" s="4">
        <v>0.53</v>
      </c>
      <c r="H933" s="4">
        <v>0.91011235955056202</v>
      </c>
      <c r="I933" s="4">
        <v>0.98899999999999999</v>
      </c>
      <c r="J933" s="4">
        <v>0.96599999999999997</v>
      </c>
      <c r="K933" s="5">
        <v>100</v>
      </c>
      <c r="L933" s="5">
        <v>100</v>
      </c>
      <c r="M933" s="5">
        <v>100</v>
      </c>
      <c r="N933" s="5">
        <v>100</v>
      </c>
      <c r="O933" s="2">
        <v>0.6348782724359695</v>
      </c>
      <c r="P933" s="2">
        <v>9.4187215059700832E-2</v>
      </c>
      <c r="Q933" s="2">
        <v>1.1060947359424948E-2</v>
      </c>
      <c r="R933" s="2">
        <v>3.459144476961909E-2</v>
      </c>
    </row>
    <row r="934" spans="1:18" x14ac:dyDescent="0.3">
      <c r="A934" s="7">
        <v>276</v>
      </c>
      <c r="B934" s="7">
        <v>273</v>
      </c>
      <c r="C934" s="7">
        <v>1</v>
      </c>
      <c r="D934" s="7">
        <v>1</v>
      </c>
      <c r="E934" s="20" t="str">
        <f t="shared" si="14"/>
        <v>11</v>
      </c>
      <c r="F934" s="21">
        <v>0.33423580517178503</v>
      </c>
      <c r="G934" s="4">
        <v>0.34699999999999998</v>
      </c>
      <c r="H934" s="4">
        <v>0.97727272727272696</v>
      </c>
      <c r="I934" s="4">
        <v>0.98</v>
      </c>
      <c r="J934" s="4">
        <v>0.995</v>
      </c>
      <c r="K934" s="5">
        <v>0</v>
      </c>
      <c r="L934" s="5">
        <v>100</v>
      </c>
      <c r="M934" s="5">
        <v>100</v>
      </c>
      <c r="N934" s="5">
        <v>100</v>
      </c>
      <c r="O934" s="2">
        <v>1.058430499035278</v>
      </c>
      <c r="P934" s="2">
        <v>2.2989518224699058E-2</v>
      </c>
      <c r="Q934" s="2">
        <v>2.0202707317519466E-2</v>
      </c>
      <c r="R934" s="2">
        <v>5.0125418235442863E-3</v>
      </c>
    </row>
    <row r="935" spans="1:18" x14ac:dyDescent="0.3">
      <c r="A935" s="7">
        <v>326</v>
      </c>
      <c r="B935" s="7">
        <v>285</v>
      </c>
      <c r="C935" s="7">
        <v>1</v>
      </c>
      <c r="D935" s="7">
        <v>1</v>
      </c>
      <c r="E935" s="20" t="str">
        <f t="shared" si="14"/>
        <v>11</v>
      </c>
      <c r="F935" s="21">
        <v>0.33452888848753898</v>
      </c>
      <c r="G935" s="4">
        <v>0.55300000000000005</v>
      </c>
      <c r="H935" s="4">
        <v>0.98850574712643702</v>
      </c>
      <c r="I935" s="4">
        <v>0.98099999999999998</v>
      </c>
      <c r="J935" s="4">
        <v>1</v>
      </c>
      <c r="K935" s="5">
        <v>100</v>
      </c>
      <c r="L935" s="5">
        <v>100</v>
      </c>
      <c r="M935" s="5">
        <v>100</v>
      </c>
      <c r="N935" s="5">
        <v>100</v>
      </c>
      <c r="O935" s="2">
        <v>0.5923972774598022</v>
      </c>
      <c r="P935" s="2">
        <v>1.1560822401075747E-2</v>
      </c>
      <c r="Q935" s="2">
        <v>1.9182819416773987E-2</v>
      </c>
      <c r="R935" s="2">
        <v>1.0000050000287824E-5</v>
      </c>
    </row>
    <row r="936" spans="1:18" x14ac:dyDescent="0.3">
      <c r="A936" s="7">
        <v>852</v>
      </c>
      <c r="B936" s="7">
        <v>263</v>
      </c>
      <c r="C936" s="7">
        <v>1</v>
      </c>
      <c r="D936" s="7">
        <v>1</v>
      </c>
      <c r="E936" s="20" t="str">
        <f t="shared" si="14"/>
        <v>11</v>
      </c>
      <c r="F936" s="21">
        <v>0.33928975737801997</v>
      </c>
      <c r="G936" s="4">
        <v>0.251</v>
      </c>
      <c r="H936" s="4">
        <v>1</v>
      </c>
      <c r="I936" s="4">
        <v>0.98399999999999999</v>
      </c>
      <c r="J936" s="4">
        <v>1</v>
      </c>
      <c r="K936" s="5">
        <v>0</v>
      </c>
      <c r="L936" s="5">
        <v>100</v>
      </c>
      <c r="M936" s="5">
        <v>100</v>
      </c>
      <c r="N936" s="5">
        <v>100</v>
      </c>
      <c r="O936" s="2">
        <v>1.3823023398503531</v>
      </c>
      <c r="P936" s="2">
        <v>1.0000050000287824E-5</v>
      </c>
      <c r="Q936" s="2">
        <v>1.6129381929883644E-2</v>
      </c>
      <c r="R936" s="2">
        <v>1.0000050000287824E-5</v>
      </c>
    </row>
    <row r="937" spans="1:18" x14ac:dyDescent="0.3">
      <c r="A937" s="7">
        <v>887</v>
      </c>
      <c r="B937" s="7">
        <v>264</v>
      </c>
      <c r="C937" s="7">
        <v>1</v>
      </c>
      <c r="D937" s="7">
        <v>1</v>
      </c>
      <c r="E937" s="20" t="str">
        <f t="shared" si="14"/>
        <v>11</v>
      </c>
      <c r="F937" s="21">
        <v>0.34389136657511699</v>
      </c>
      <c r="G937" s="4">
        <v>0.371</v>
      </c>
      <c r="H937" s="4">
        <v>1</v>
      </c>
      <c r="I937" s="4">
        <v>0.96399999999999997</v>
      </c>
      <c r="J937" s="4">
        <v>1</v>
      </c>
      <c r="K937" s="5">
        <v>0</v>
      </c>
      <c r="L937" s="5">
        <v>100</v>
      </c>
      <c r="M937" s="5">
        <v>100</v>
      </c>
      <c r="N937" s="5">
        <v>100</v>
      </c>
      <c r="O937" s="2">
        <v>0.99155321637470195</v>
      </c>
      <c r="P937" s="2">
        <v>1.0000050000287824E-5</v>
      </c>
      <c r="Q937" s="2">
        <v>3.666398437159147E-2</v>
      </c>
      <c r="R937" s="2">
        <v>1.0000050000287824E-5</v>
      </c>
    </row>
    <row r="938" spans="1:18" x14ac:dyDescent="0.3">
      <c r="A938" s="7">
        <v>720</v>
      </c>
      <c r="B938" s="7">
        <v>284</v>
      </c>
      <c r="C938" s="7">
        <v>1</v>
      </c>
      <c r="D938" s="7">
        <v>1</v>
      </c>
      <c r="E938" s="20" t="str">
        <f t="shared" si="14"/>
        <v>11</v>
      </c>
      <c r="F938" s="21">
        <v>0.34723168319243403</v>
      </c>
      <c r="G938" s="4">
        <v>0.68100000000000005</v>
      </c>
      <c r="H938" s="4">
        <v>0.98214285714285698</v>
      </c>
      <c r="I938" s="4">
        <v>0.98199999999999998</v>
      </c>
      <c r="J938" s="4">
        <v>1</v>
      </c>
      <c r="K938" s="5">
        <v>100</v>
      </c>
      <c r="L938" s="5">
        <v>100</v>
      </c>
      <c r="M938" s="5">
        <v>100</v>
      </c>
      <c r="N938" s="5">
        <v>100</v>
      </c>
      <c r="O938" s="2">
        <v>0.3841929728326246</v>
      </c>
      <c r="P938" s="2">
        <v>1.8018505502678476E-2</v>
      </c>
      <c r="Q938" s="2">
        <v>1.816397062767118E-2</v>
      </c>
      <c r="R938" s="2">
        <v>1.0000050000287824E-5</v>
      </c>
    </row>
    <row r="939" spans="1:18" x14ac:dyDescent="0.3">
      <c r="A939" s="7">
        <v>176</v>
      </c>
      <c r="B939" s="7">
        <v>265</v>
      </c>
      <c r="C939" s="7">
        <v>1</v>
      </c>
      <c r="D939" s="7">
        <v>1</v>
      </c>
      <c r="E939" s="20" t="str">
        <f t="shared" si="14"/>
        <v>11</v>
      </c>
      <c r="F939" s="21">
        <v>0.35491388504480398</v>
      </c>
      <c r="G939" s="4">
        <v>0.80100000000000005</v>
      </c>
      <c r="H939" s="4">
        <v>1</v>
      </c>
      <c r="I939" s="4">
        <v>0.99099999999999999</v>
      </c>
      <c r="J939" s="4">
        <v>1</v>
      </c>
      <c r="K939" s="5">
        <v>100</v>
      </c>
      <c r="L939" s="5">
        <v>100</v>
      </c>
      <c r="M939" s="5">
        <v>100</v>
      </c>
      <c r="N939" s="5">
        <v>100</v>
      </c>
      <c r="O939" s="2">
        <v>0.22189433191377778</v>
      </c>
      <c r="P939" s="2">
        <v>1.0000050000287824E-5</v>
      </c>
      <c r="Q939" s="2">
        <v>9.0407446521490707E-3</v>
      </c>
      <c r="R939" s="2">
        <v>1.0000050000287824E-5</v>
      </c>
    </row>
    <row r="940" spans="1:18" x14ac:dyDescent="0.3">
      <c r="A940" s="7">
        <v>406</v>
      </c>
      <c r="B940" s="7">
        <v>276</v>
      </c>
      <c r="C940" s="7">
        <v>1</v>
      </c>
      <c r="D940" s="7">
        <v>1</v>
      </c>
      <c r="E940" s="20" t="str">
        <f t="shared" si="14"/>
        <v>11</v>
      </c>
      <c r="F940" s="21">
        <v>0.37076780240030799</v>
      </c>
      <c r="G940" s="4">
        <v>0.60899999999999999</v>
      </c>
      <c r="H940" s="4">
        <v>0.99145299145299104</v>
      </c>
      <c r="I940" s="4">
        <v>0.98199999999999998</v>
      </c>
      <c r="J940" s="4">
        <v>1</v>
      </c>
      <c r="K940" s="5">
        <v>100</v>
      </c>
      <c r="L940" s="5">
        <v>100</v>
      </c>
      <c r="M940" s="5">
        <v>100</v>
      </c>
      <c r="N940" s="5">
        <v>100</v>
      </c>
      <c r="O940" s="2">
        <v>0.49593701127224005</v>
      </c>
      <c r="P940" s="2">
        <v>8.5837436913918895E-3</v>
      </c>
      <c r="Q940" s="2">
        <v>1.816397062767118E-2</v>
      </c>
      <c r="R940" s="2">
        <v>1.0000050000287824E-5</v>
      </c>
    </row>
    <row r="941" spans="1:18" x14ac:dyDescent="0.3">
      <c r="A941" s="7">
        <v>849</v>
      </c>
      <c r="B941" s="7">
        <v>270</v>
      </c>
      <c r="C941" s="7">
        <v>1</v>
      </c>
      <c r="D941" s="7">
        <v>1</v>
      </c>
      <c r="E941" s="20" t="str">
        <f t="shared" si="14"/>
        <v>11</v>
      </c>
      <c r="F941" s="21">
        <v>0.38114393509653</v>
      </c>
      <c r="G941" s="4">
        <v>0.60899999999999999</v>
      </c>
      <c r="H941" s="4">
        <v>1</v>
      </c>
      <c r="I941" s="4">
        <v>0.98499999999999999</v>
      </c>
      <c r="J941" s="4">
        <v>1</v>
      </c>
      <c r="K941" s="5">
        <v>100</v>
      </c>
      <c r="L941" s="5">
        <v>100</v>
      </c>
      <c r="M941" s="5">
        <v>100</v>
      </c>
      <c r="N941" s="5">
        <v>100</v>
      </c>
      <c r="O941" s="2">
        <v>0.49593701127224005</v>
      </c>
      <c r="P941" s="2">
        <v>1.0000050000287824E-5</v>
      </c>
      <c r="Q941" s="2">
        <v>1.5113637810048184E-2</v>
      </c>
      <c r="R941" s="2">
        <v>1.0000050000287824E-5</v>
      </c>
    </row>
    <row r="942" spans="1:18" x14ac:dyDescent="0.3">
      <c r="A942" s="7">
        <v>727</v>
      </c>
      <c r="B942" s="7">
        <v>347</v>
      </c>
      <c r="C942" s="7">
        <v>1</v>
      </c>
      <c r="D942" s="7">
        <v>1</v>
      </c>
      <c r="E942" s="20" t="str">
        <f t="shared" si="14"/>
        <v>11</v>
      </c>
      <c r="F942" s="21">
        <v>0.40112862794968901</v>
      </c>
      <c r="G942" s="4">
        <v>0.53</v>
      </c>
      <c r="H942" s="4">
        <v>1</v>
      </c>
      <c r="I942" s="4">
        <v>0.98</v>
      </c>
      <c r="J942" s="4">
        <v>1</v>
      </c>
      <c r="K942" s="5">
        <v>100</v>
      </c>
      <c r="L942" s="5">
        <v>100</v>
      </c>
      <c r="M942" s="5">
        <v>100</v>
      </c>
      <c r="N942" s="5">
        <v>100</v>
      </c>
      <c r="O942" s="2">
        <v>0.6348782724359695</v>
      </c>
      <c r="P942" s="2">
        <v>1.0000050000287824E-5</v>
      </c>
      <c r="Q942" s="2">
        <v>2.0202707317519466E-2</v>
      </c>
      <c r="R942" s="2">
        <v>1.0000050000287824E-5</v>
      </c>
    </row>
    <row r="943" spans="1:18" x14ac:dyDescent="0.3">
      <c r="A943" s="7">
        <v>379</v>
      </c>
      <c r="B943" s="7">
        <v>252</v>
      </c>
      <c r="C943" s="7">
        <v>1</v>
      </c>
      <c r="D943" s="7">
        <v>1</v>
      </c>
      <c r="E943" s="20" t="str">
        <f t="shared" si="14"/>
        <v>11</v>
      </c>
      <c r="F943" s="21">
        <v>0.421565780932047</v>
      </c>
      <c r="G943" s="4">
        <v>0.29599999999999999</v>
      </c>
      <c r="H943" s="4">
        <v>0.94117647058823495</v>
      </c>
      <c r="I943" s="4">
        <v>0.92500000000000004</v>
      </c>
      <c r="J943" s="4">
        <v>0.96299999999999997</v>
      </c>
      <c r="K943" s="5">
        <v>0</v>
      </c>
      <c r="L943" s="5">
        <v>100</v>
      </c>
      <c r="M943" s="5">
        <v>100</v>
      </c>
      <c r="N943" s="5">
        <v>100</v>
      </c>
      <c r="O943" s="2">
        <v>1.2173958246580767</v>
      </c>
      <c r="P943" s="2">
        <v>6.0624621816435208E-2</v>
      </c>
      <c r="Q943" s="2">
        <v>7.7961541469711806E-2</v>
      </c>
      <c r="R943" s="2">
        <v>3.7701867184011528E-2</v>
      </c>
    </row>
    <row r="944" spans="1:18" x14ac:dyDescent="0.3">
      <c r="A944" s="7">
        <v>579</v>
      </c>
      <c r="B944" s="7">
        <v>259</v>
      </c>
      <c r="C944" s="7">
        <v>1</v>
      </c>
      <c r="D944" s="7">
        <v>1</v>
      </c>
      <c r="E944" s="20" t="str">
        <f t="shared" si="14"/>
        <v>11</v>
      </c>
      <c r="F944" s="21">
        <v>0.42717715174604498</v>
      </c>
      <c r="G944" s="4">
        <v>0.72099999999999997</v>
      </c>
      <c r="H944" s="4">
        <v>1</v>
      </c>
      <c r="I944" s="4">
        <v>0.98899999999999999</v>
      </c>
      <c r="J944" s="4">
        <v>1</v>
      </c>
      <c r="K944" s="5">
        <v>100</v>
      </c>
      <c r="L944" s="5">
        <v>100</v>
      </c>
      <c r="M944" s="5">
        <v>100</v>
      </c>
      <c r="N944" s="5">
        <v>100</v>
      </c>
      <c r="O944" s="2">
        <v>0.327116141697188</v>
      </c>
      <c r="P944" s="2">
        <v>1.0000050000287824E-5</v>
      </c>
      <c r="Q944" s="2">
        <v>1.1060947359424948E-2</v>
      </c>
      <c r="R944" s="2">
        <v>1.0000050000287824E-5</v>
      </c>
    </row>
    <row r="945" spans="1:18" x14ac:dyDescent="0.3">
      <c r="A945" s="7">
        <v>816</v>
      </c>
      <c r="B945" s="7">
        <v>241</v>
      </c>
      <c r="C945" s="7">
        <v>1</v>
      </c>
      <c r="D945" s="7">
        <v>1</v>
      </c>
      <c r="E945" s="20" t="str">
        <f t="shared" si="14"/>
        <v>11</v>
      </c>
      <c r="F945" s="21">
        <v>0.42855706136806299</v>
      </c>
      <c r="G945" s="4">
        <v>0.87</v>
      </c>
      <c r="H945" s="4">
        <v>0.99348534201954397</v>
      </c>
      <c r="I945" s="4">
        <v>0.99199999999999999</v>
      </c>
      <c r="J945" s="4">
        <v>0.998</v>
      </c>
      <c r="K945" s="5">
        <v>100</v>
      </c>
      <c r="L945" s="5">
        <v>100</v>
      </c>
      <c r="M945" s="5">
        <v>100</v>
      </c>
      <c r="N945" s="5">
        <v>100</v>
      </c>
      <c r="O945" s="2">
        <v>0.13926206733350766</v>
      </c>
      <c r="P945" s="2">
        <v>6.5359709797855334E-3</v>
      </c>
      <c r="Q945" s="2">
        <v>8.0321716972642666E-3</v>
      </c>
      <c r="R945" s="2">
        <v>2.0020026706730793E-3</v>
      </c>
    </row>
    <row r="946" spans="1:18" x14ac:dyDescent="0.3">
      <c r="A946" s="7">
        <v>173</v>
      </c>
      <c r="B946" s="7">
        <v>234</v>
      </c>
      <c r="C946" s="7">
        <v>1</v>
      </c>
      <c r="D946" s="7">
        <v>1</v>
      </c>
      <c r="E946" s="20" t="str">
        <f t="shared" si="14"/>
        <v>11</v>
      </c>
      <c r="F946" s="21">
        <v>0.43851170559538799</v>
      </c>
      <c r="G946" s="4">
        <v>0.82299999999999995</v>
      </c>
      <c r="H946" s="4">
        <v>0.994285714285714</v>
      </c>
      <c r="I946" s="4">
        <v>0.98</v>
      </c>
      <c r="J946" s="4">
        <v>0.98699999999999999</v>
      </c>
      <c r="K946" s="5">
        <v>100</v>
      </c>
      <c r="L946" s="5">
        <v>100</v>
      </c>
      <c r="M946" s="5">
        <v>100</v>
      </c>
      <c r="N946" s="5">
        <v>100</v>
      </c>
      <c r="O946" s="2">
        <v>0.19479907830506729</v>
      </c>
      <c r="P946" s="2">
        <v>5.7306747089853182E-3</v>
      </c>
      <c r="Q946" s="2">
        <v>2.0202707317519466E-2</v>
      </c>
      <c r="R946" s="2">
        <v>1.3085239548655481E-2</v>
      </c>
    </row>
    <row r="947" spans="1:18" x14ac:dyDescent="0.3">
      <c r="A947" s="7">
        <v>135</v>
      </c>
      <c r="B947" s="7">
        <v>203</v>
      </c>
      <c r="C947" s="7">
        <v>1</v>
      </c>
      <c r="D947" s="7">
        <v>1</v>
      </c>
      <c r="E947" s="20" t="str">
        <f t="shared" si="14"/>
        <v>11</v>
      </c>
      <c r="F947" s="21">
        <v>0.492229050868152</v>
      </c>
      <c r="G947" s="4">
        <v>0.59899999999999998</v>
      </c>
      <c r="H947" s="4">
        <v>0.98540145985401495</v>
      </c>
      <c r="I947" s="4">
        <v>0.98599999999999999</v>
      </c>
      <c r="J947" s="4">
        <v>1</v>
      </c>
      <c r="K947" s="5">
        <v>100</v>
      </c>
      <c r="L947" s="5">
        <v>100</v>
      </c>
      <c r="M947" s="5">
        <v>100</v>
      </c>
      <c r="N947" s="5">
        <v>100</v>
      </c>
      <c r="O947" s="2">
        <v>0.51249368086668778</v>
      </c>
      <c r="P947" s="2">
        <v>1.4706147389695111E-2</v>
      </c>
      <c r="Q947" s="2">
        <v>1.4098924379501648E-2</v>
      </c>
      <c r="R947" s="2">
        <v>1.0000050000287824E-5</v>
      </c>
    </row>
    <row r="948" spans="1:18" x14ac:dyDescent="0.3">
      <c r="A948" s="7">
        <v>149</v>
      </c>
      <c r="B948" s="7">
        <v>216</v>
      </c>
      <c r="C948" s="7">
        <v>1</v>
      </c>
      <c r="D948" s="7">
        <v>1</v>
      </c>
      <c r="E948" s="20" t="str">
        <f t="shared" si="14"/>
        <v>11</v>
      </c>
      <c r="F948" s="21">
        <v>0.49348912064009198</v>
      </c>
      <c r="G948" s="4">
        <v>0.34300000000000003</v>
      </c>
      <c r="H948" s="4">
        <v>1</v>
      </c>
      <c r="I948" s="4">
        <v>0.96599999999999997</v>
      </c>
      <c r="J948" s="4">
        <v>1</v>
      </c>
      <c r="K948" s="5">
        <v>0</v>
      </c>
      <c r="L948" s="5">
        <v>100</v>
      </c>
      <c r="M948" s="5">
        <v>100</v>
      </c>
      <c r="N948" s="5">
        <v>100</v>
      </c>
      <c r="O948" s="2">
        <v>1.0700248318161971</v>
      </c>
      <c r="P948" s="2">
        <v>1.0000050000287824E-5</v>
      </c>
      <c r="Q948" s="2">
        <v>3.459144476961909E-2</v>
      </c>
      <c r="R948" s="2">
        <v>1.0000050000287824E-5</v>
      </c>
    </row>
    <row r="949" spans="1:18" x14ac:dyDescent="0.3">
      <c r="A949" s="7">
        <v>445</v>
      </c>
      <c r="B949" s="7">
        <v>205</v>
      </c>
      <c r="C949" s="7">
        <v>1</v>
      </c>
      <c r="D949" s="7">
        <v>1</v>
      </c>
      <c r="E949" s="20" t="str">
        <f t="shared" si="14"/>
        <v>11</v>
      </c>
      <c r="F949" s="21">
        <v>0.49898627564550202</v>
      </c>
      <c r="G949" s="4">
        <v>0.47099999999999997</v>
      </c>
      <c r="H949" s="4">
        <v>1</v>
      </c>
      <c r="I949" s="4">
        <v>0.98799999999999999</v>
      </c>
      <c r="J949" s="4">
        <v>1</v>
      </c>
      <c r="K949" s="5">
        <v>0</v>
      </c>
      <c r="L949" s="5">
        <v>100</v>
      </c>
      <c r="M949" s="5">
        <v>100</v>
      </c>
      <c r="N949" s="5">
        <v>100</v>
      </c>
      <c r="O949" s="2">
        <v>0.75289718496571933</v>
      </c>
      <c r="P949" s="2">
        <v>1.0000050000287824E-5</v>
      </c>
      <c r="Q949" s="2">
        <v>1.2072581234269249E-2</v>
      </c>
      <c r="R949" s="2">
        <v>1.0000050000287824E-5</v>
      </c>
    </row>
    <row r="950" spans="1:18" x14ac:dyDescent="0.3">
      <c r="A950" s="7">
        <v>934</v>
      </c>
      <c r="B950" s="7">
        <v>181</v>
      </c>
      <c r="C950" s="7">
        <v>1</v>
      </c>
      <c r="D950" s="7">
        <v>1</v>
      </c>
      <c r="E950" s="20" t="str">
        <f t="shared" si="14"/>
        <v>11</v>
      </c>
      <c r="F950" s="21">
        <v>0.51855411484471303</v>
      </c>
      <c r="G950" s="4">
        <v>0.497</v>
      </c>
      <c r="H950" s="4">
        <v>1</v>
      </c>
      <c r="I950" s="4">
        <v>0.97699999999999998</v>
      </c>
      <c r="J950" s="4">
        <v>1</v>
      </c>
      <c r="K950" s="5">
        <v>0</v>
      </c>
      <c r="L950" s="5">
        <v>100</v>
      </c>
      <c r="M950" s="5">
        <v>100</v>
      </c>
      <c r="N950" s="5">
        <v>100</v>
      </c>
      <c r="O950" s="2">
        <v>0.69916525288550835</v>
      </c>
      <c r="P950" s="2">
        <v>1.0000050000287824E-5</v>
      </c>
      <c r="Q950" s="2">
        <v>2.3268626939354331E-2</v>
      </c>
      <c r="R950" s="2">
        <v>1.0000050000287824E-5</v>
      </c>
    </row>
    <row r="951" spans="1:18" x14ac:dyDescent="0.3">
      <c r="A951" s="7">
        <v>268</v>
      </c>
      <c r="B951" s="7">
        <v>201</v>
      </c>
      <c r="C951" s="7">
        <v>1</v>
      </c>
      <c r="D951" s="7">
        <v>1</v>
      </c>
      <c r="E951" s="20" t="str">
        <f t="shared" si="14"/>
        <v>11</v>
      </c>
      <c r="F951" s="21">
        <v>0.51871687144516698</v>
      </c>
      <c r="G951" s="4">
        <v>0.54900000000000004</v>
      </c>
      <c r="H951" s="4">
        <v>1</v>
      </c>
      <c r="I951" s="4">
        <v>0.98399999999999999</v>
      </c>
      <c r="J951" s="4">
        <v>1</v>
      </c>
      <c r="K951" s="5">
        <v>100</v>
      </c>
      <c r="L951" s="5">
        <v>100</v>
      </c>
      <c r="M951" s="5">
        <v>100</v>
      </c>
      <c r="N951" s="5">
        <v>100</v>
      </c>
      <c r="O951" s="2">
        <v>0.59965683747260634</v>
      </c>
      <c r="P951" s="2">
        <v>1.0000050000287824E-5</v>
      </c>
      <c r="Q951" s="2">
        <v>1.6129381929883644E-2</v>
      </c>
      <c r="R951" s="2">
        <v>1.0000050000287824E-5</v>
      </c>
    </row>
    <row r="952" spans="1:18" x14ac:dyDescent="0.3">
      <c r="A952" s="7">
        <v>933</v>
      </c>
      <c r="B952" s="7">
        <v>192</v>
      </c>
      <c r="C952" s="7">
        <v>1</v>
      </c>
      <c r="D952" s="7">
        <v>1</v>
      </c>
      <c r="E952" s="20" t="str">
        <f t="shared" si="14"/>
        <v>11</v>
      </c>
      <c r="F952" s="21">
        <v>0.53977319966298298</v>
      </c>
      <c r="G952" s="4">
        <v>0.64600000000000002</v>
      </c>
      <c r="H952" s="4">
        <v>1</v>
      </c>
      <c r="I952" s="4">
        <v>0.99</v>
      </c>
      <c r="J952" s="4">
        <v>1</v>
      </c>
      <c r="K952" s="5">
        <v>100</v>
      </c>
      <c r="L952" s="5">
        <v>100</v>
      </c>
      <c r="M952" s="5">
        <v>100</v>
      </c>
      <c r="N952" s="5">
        <v>100</v>
      </c>
      <c r="O952" s="2">
        <v>0.43695577519953516</v>
      </c>
      <c r="P952" s="2">
        <v>1.0000050000287824E-5</v>
      </c>
      <c r="Q952" s="2">
        <v>1.0050335853501451E-2</v>
      </c>
      <c r="R952" s="2">
        <v>1.0000050000287824E-5</v>
      </c>
    </row>
    <row r="953" spans="1:18" x14ac:dyDescent="0.3">
      <c r="A953" s="7">
        <v>922</v>
      </c>
      <c r="B953" s="7">
        <v>198</v>
      </c>
      <c r="C953" s="7">
        <v>1</v>
      </c>
      <c r="D953" s="7">
        <v>1</v>
      </c>
      <c r="E953" s="20" t="str">
        <f t="shared" si="14"/>
        <v>11</v>
      </c>
      <c r="F953" s="21">
        <v>0.55761248440615896</v>
      </c>
      <c r="G953" s="4">
        <v>0.32600000000000001</v>
      </c>
      <c r="H953" s="4">
        <v>1</v>
      </c>
      <c r="I953" s="4">
        <v>0.96299999999999997</v>
      </c>
      <c r="J953" s="4">
        <v>1</v>
      </c>
      <c r="K953" s="5">
        <v>0</v>
      </c>
      <c r="L953" s="5">
        <v>100</v>
      </c>
      <c r="M953" s="5">
        <v>100</v>
      </c>
      <c r="N953" s="5">
        <v>100</v>
      </c>
      <c r="O953" s="2">
        <v>1.1208578976154293</v>
      </c>
      <c r="P953" s="2">
        <v>1.0000050000287824E-5</v>
      </c>
      <c r="Q953" s="2">
        <v>3.7701867184011528E-2</v>
      </c>
      <c r="R953" s="2">
        <v>1.0000050000287824E-5</v>
      </c>
    </row>
    <row r="954" spans="1:18" x14ac:dyDescent="0.3">
      <c r="A954" s="7">
        <v>392</v>
      </c>
      <c r="B954" s="7">
        <v>195</v>
      </c>
      <c r="C954" s="7">
        <v>1</v>
      </c>
      <c r="D954" s="7">
        <v>1</v>
      </c>
      <c r="E954" s="20" t="str">
        <f t="shared" si="14"/>
        <v>11</v>
      </c>
      <c r="F954" s="21">
        <v>0.56976380847040897</v>
      </c>
      <c r="G954" s="4">
        <v>0.34899999999999998</v>
      </c>
      <c r="H954" s="4">
        <v>0.96428571428571397</v>
      </c>
      <c r="I954" s="4">
        <v>0.94299999999999995</v>
      </c>
      <c r="J954" s="4">
        <v>0.94899999999999995</v>
      </c>
      <c r="K954" s="5">
        <v>0</v>
      </c>
      <c r="L954" s="5">
        <v>100</v>
      </c>
      <c r="M954" s="5">
        <v>100</v>
      </c>
      <c r="N954" s="5">
        <v>100</v>
      </c>
      <c r="O954" s="2">
        <v>1.05268335677971</v>
      </c>
      <c r="P954" s="2">
        <v>3.636764417087518E-2</v>
      </c>
      <c r="Q954" s="2">
        <v>5.8688996348679613E-2</v>
      </c>
      <c r="R954" s="2">
        <v>5.2346480372209236E-2</v>
      </c>
    </row>
    <row r="955" spans="1:18" x14ac:dyDescent="0.3">
      <c r="A955" s="7">
        <v>960</v>
      </c>
      <c r="B955" s="7">
        <v>184</v>
      </c>
      <c r="C955" s="7">
        <v>1</v>
      </c>
      <c r="D955" s="7">
        <v>1</v>
      </c>
      <c r="E955" s="20" t="str">
        <f t="shared" si="14"/>
        <v>11</v>
      </c>
      <c r="F955" s="21">
        <v>0.58563763931926305</v>
      </c>
      <c r="G955" s="4">
        <v>0.27800000000000002</v>
      </c>
      <c r="H955" s="4">
        <v>1</v>
      </c>
      <c r="I955" s="4">
        <v>0.95199999999999996</v>
      </c>
      <c r="J955" s="4">
        <v>0.99399999999999999</v>
      </c>
      <c r="K955" s="5">
        <v>0</v>
      </c>
      <c r="L955" s="5">
        <v>100</v>
      </c>
      <c r="M955" s="5">
        <v>100</v>
      </c>
      <c r="N955" s="5">
        <v>100</v>
      </c>
      <c r="O955" s="2">
        <v>1.2801341652914999</v>
      </c>
      <c r="P955" s="2">
        <v>1.0000050000287824E-5</v>
      </c>
      <c r="Q955" s="2">
        <v>4.9190244190771781E-2</v>
      </c>
      <c r="R955" s="2">
        <v>6.0180723255630212E-3</v>
      </c>
    </row>
    <row r="956" spans="1:18" x14ac:dyDescent="0.3">
      <c r="A956" s="7">
        <v>646</v>
      </c>
      <c r="B956" s="7">
        <v>177</v>
      </c>
      <c r="C956" s="7">
        <v>1</v>
      </c>
      <c r="D956" s="7">
        <v>1</v>
      </c>
      <c r="E956" s="20" t="str">
        <f t="shared" si="14"/>
        <v>11</v>
      </c>
      <c r="F956" s="21">
        <v>0.58656059335576505</v>
      </c>
      <c r="G956" s="4">
        <v>0.60199999999999998</v>
      </c>
      <c r="H956" s="4">
        <v>0.98901098901098905</v>
      </c>
      <c r="I956" s="4">
        <v>0.96799999999999997</v>
      </c>
      <c r="J956" s="4">
        <v>0.999</v>
      </c>
      <c r="K956" s="5">
        <v>100</v>
      </c>
      <c r="L956" s="5">
        <v>100</v>
      </c>
      <c r="M956" s="5">
        <v>100</v>
      </c>
      <c r="N956" s="5">
        <v>100</v>
      </c>
      <c r="O956" s="2">
        <v>0.50749783367331602</v>
      </c>
      <c r="P956" s="2">
        <v>1.1049836186584935E-2</v>
      </c>
      <c r="Q956" s="2">
        <v>3.2523191705560062E-2</v>
      </c>
      <c r="R956" s="2">
        <v>1.0005003335835344E-3</v>
      </c>
    </row>
    <row r="957" spans="1:18" x14ac:dyDescent="0.3">
      <c r="A957" s="7">
        <v>121</v>
      </c>
      <c r="B957" s="7">
        <v>184</v>
      </c>
      <c r="C957" s="7">
        <v>1</v>
      </c>
      <c r="D957" s="7">
        <v>1</v>
      </c>
      <c r="E957" s="20" t="str">
        <f t="shared" si="14"/>
        <v>11</v>
      </c>
      <c r="F957" s="21">
        <v>0.609012843445918</v>
      </c>
      <c r="G957" s="4">
        <v>0.65800000000000003</v>
      </c>
      <c r="H957" s="4">
        <v>1</v>
      </c>
      <c r="I957" s="4">
        <v>0.96199999999999997</v>
      </c>
      <c r="J957" s="4">
        <v>1</v>
      </c>
      <c r="K957" s="5">
        <v>100</v>
      </c>
      <c r="L957" s="5">
        <v>100</v>
      </c>
      <c r="M957" s="5">
        <v>100</v>
      </c>
      <c r="N957" s="5">
        <v>100</v>
      </c>
      <c r="O957" s="2">
        <v>0.41855034765681981</v>
      </c>
      <c r="P957" s="2">
        <v>1.0000050000287824E-5</v>
      </c>
      <c r="Q957" s="2">
        <v>3.8740828316430595E-2</v>
      </c>
      <c r="R957" s="2">
        <v>1.0000050000287824E-5</v>
      </c>
    </row>
    <row r="958" spans="1:18" x14ac:dyDescent="0.3">
      <c r="A958" s="7">
        <v>618</v>
      </c>
      <c r="B958" s="7">
        <v>172</v>
      </c>
      <c r="C958" s="7">
        <v>1</v>
      </c>
      <c r="D958" s="7">
        <v>1</v>
      </c>
      <c r="E958" s="20" t="str">
        <f t="shared" si="14"/>
        <v>11</v>
      </c>
      <c r="F958" s="21">
        <v>0.61544814630897404</v>
      </c>
      <c r="G958" s="4">
        <v>0.44700000000000001</v>
      </c>
      <c r="H958" s="4">
        <v>1</v>
      </c>
      <c r="I958" s="4">
        <v>0.98299999999999998</v>
      </c>
      <c r="J958" s="4">
        <v>1</v>
      </c>
      <c r="K958" s="5">
        <v>0</v>
      </c>
      <c r="L958" s="5">
        <v>100</v>
      </c>
      <c r="M958" s="5">
        <v>100</v>
      </c>
      <c r="N958" s="5">
        <v>100</v>
      </c>
      <c r="O958" s="2">
        <v>0.80519668436856817</v>
      </c>
      <c r="P958" s="2">
        <v>1.0000050000287824E-5</v>
      </c>
      <c r="Q958" s="2">
        <v>1.7146158834970514E-2</v>
      </c>
      <c r="R958" s="2">
        <v>1.0000050000287824E-5</v>
      </c>
    </row>
    <row r="959" spans="1:18" x14ac:dyDescent="0.3">
      <c r="A959" s="7">
        <v>632</v>
      </c>
      <c r="B959" s="7">
        <v>161</v>
      </c>
      <c r="C959" s="7">
        <v>1</v>
      </c>
      <c r="D959" s="7">
        <v>1</v>
      </c>
      <c r="E959" s="20" t="str">
        <f t="shared" si="14"/>
        <v>11</v>
      </c>
      <c r="F959" s="21">
        <v>0.63770723255291295</v>
      </c>
      <c r="G959" s="4">
        <v>0.53900000000000003</v>
      </c>
      <c r="H959" s="4">
        <v>1</v>
      </c>
      <c r="I959" s="4">
        <v>0.96</v>
      </c>
      <c r="J959" s="4">
        <v>1</v>
      </c>
      <c r="K959" s="5">
        <v>100</v>
      </c>
      <c r="L959" s="5">
        <v>100</v>
      </c>
      <c r="M959" s="5">
        <v>100</v>
      </c>
      <c r="N959" s="5">
        <v>100</v>
      </c>
      <c r="O959" s="2">
        <v>0.61803970807313979</v>
      </c>
      <c r="P959" s="2">
        <v>1.0000050000287824E-5</v>
      </c>
      <c r="Q959" s="2">
        <v>4.0821994520255166E-2</v>
      </c>
      <c r="R959" s="2">
        <v>1.0000050000287824E-5</v>
      </c>
    </row>
    <row r="960" spans="1:18" x14ac:dyDescent="0.3">
      <c r="A960" s="7">
        <v>352</v>
      </c>
      <c r="B960" s="7">
        <v>156</v>
      </c>
      <c r="C960" s="7">
        <v>1</v>
      </c>
      <c r="D960" s="7">
        <v>1</v>
      </c>
      <c r="E960" s="20" t="str">
        <f t="shared" si="14"/>
        <v>11</v>
      </c>
      <c r="F960" s="21">
        <v>0.63803472579537401</v>
      </c>
      <c r="G960" s="4">
        <v>0.53100000000000003</v>
      </c>
      <c r="H960" s="4">
        <v>1</v>
      </c>
      <c r="I960" s="4">
        <v>0.97499999999999998</v>
      </c>
      <c r="J960" s="4">
        <v>1</v>
      </c>
      <c r="K960" s="5">
        <v>100</v>
      </c>
      <c r="L960" s="5">
        <v>100</v>
      </c>
      <c r="M960" s="5">
        <v>100</v>
      </c>
      <c r="N960" s="5">
        <v>100</v>
      </c>
      <c r="O960" s="2">
        <v>0.63299325774019821</v>
      </c>
      <c r="P960" s="2">
        <v>1.0000050000287824E-5</v>
      </c>
      <c r="Q960" s="2">
        <v>2.5317807984289897E-2</v>
      </c>
      <c r="R960" s="2">
        <v>1.0000050000287824E-5</v>
      </c>
    </row>
    <row r="961" spans="1:18" x14ac:dyDescent="0.3">
      <c r="A961" s="7">
        <v>795</v>
      </c>
      <c r="B961" s="7">
        <v>134</v>
      </c>
      <c r="C961" s="7">
        <v>1</v>
      </c>
      <c r="D961" s="7">
        <v>1</v>
      </c>
      <c r="E961" s="20" t="str">
        <f t="shared" si="14"/>
        <v>11</v>
      </c>
      <c r="F961" s="21">
        <v>0.66255709864050405</v>
      </c>
      <c r="G961" s="4">
        <v>0.42</v>
      </c>
      <c r="H961" s="4">
        <v>1</v>
      </c>
      <c r="I961" s="4">
        <v>0.93899999999999995</v>
      </c>
      <c r="J961" s="4">
        <v>1</v>
      </c>
      <c r="K961" s="5">
        <v>0</v>
      </c>
      <c r="L961" s="5">
        <v>100</v>
      </c>
      <c r="M961" s="5">
        <v>100</v>
      </c>
      <c r="N961" s="5">
        <v>100</v>
      </c>
      <c r="O961" s="2">
        <v>0.86750056770472306</v>
      </c>
      <c r="P961" s="2">
        <v>1.0000050000287824E-5</v>
      </c>
      <c r="Q961" s="2">
        <v>6.2939799773874205E-2</v>
      </c>
      <c r="R961" s="2">
        <v>1.0000050000287824E-5</v>
      </c>
    </row>
    <row r="962" spans="1:18" x14ac:dyDescent="0.3">
      <c r="A962" s="7">
        <v>84</v>
      </c>
      <c r="B962" s="7">
        <v>160</v>
      </c>
      <c r="C962" s="7">
        <v>1</v>
      </c>
      <c r="D962" s="7">
        <v>1</v>
      </c>
      <c r="E962" s="20" t="str">
        <f t="shared" ref="E962:E1025" si="15">_xlfn.CONCAT(C962,D962)</f>
        <v>11</v>
      </c>
      <c r="F962" s="21">
        <v>0.67312238422103998</v>
      </c>
      <c r="G962" s="4">
        <v>0.32600000000000001</v>
      </c>
      <c r="H962" s="4">
        <v>0.95384615384615401</v>
      </c>
      <c r="I962" s="4">
        <v>0.93600000000000005</v>
      </c>
      <c r="J962" s="4">
        <v>0.996</v>
      </c>
      <c r="K962" s="5">
        <v>0</v>
      </c>
      <c r="L962" s="5">
        <v>100</v>
      </c>
      <c r="M962" s="5">
        <v>100</v>
      </c>
      <c r="N962" s="5">
        <v>100</v>
      </c>
      <c r="O962" s="2">
        <v>1.1208578976154293</v>
      </c>
      <c r="P962" s="2">
        <v>4.7252884850545386E-2</v>
      </c>
      <c r="Q962" s="2">
        <v>6.6139802504544945E-2</v>
      </c>
      <c r="R962" s="2">
        <v>4.0080213975388218E-3</v>
      </c>
    </row>
    <row r="963" spans="1:18" x14ac:dyDescent="0.3">
      <c r="A963" s="7">
        <v>21</v>
      </c>
      <c r="B963" s="7">
        <v>140</v>
      </c>
      <c r="C963" s="7">
        <v>1</v>
      </c>
      <c r="D963" s="7">
        <v>1</v>
      </c>
      <c r="E963" s="20" t="str">
        <f t="shared" si="15"/>
        <v>11</v>
      </c>
      <c r="F963" s="21">
        <v>0.70306716647475398</v>
      </c>
      <c r="G963" s="4">
        <v>0.34</v>
      </c>
      <c r="H963" s="4">
        <v>1</v>
      </c>
      <c r="I963" s="4">
        <v>0.878</v>
      </c>
      <c r="J963" s="4">
        <v>1</v>
      </c>
      <c r="K963" s="5">
        <v>0</v>
      </c>
      <c r="L963" s="5">
        <v>100</v>
      </c>
      <c r="M963" s="5">
        <v>100</v>
      </c>
      <c r="N963" s="5">
        <v>100</v>
      </c>
      <c r="O963" s="2">
        <v>1.0788096613719298</v>
      </c>
      <c r="P963" s="2">
        <v>1.0000050000287824E-5</v>
      </c>
      <c r="Q963" s="2">
        <v>0.13010868534702039</v>
      </c>
      <c r="R963" s="2">
        <v>1.0000050000287824E-5</v>
      </c>
    </row>
    <row r="964" spans="1:18" x14ac:dyDescent="0.3">
      <c r="A964" s="7">
        <v>874</v>
      </c>
      <c r="B964" s="7">
        <v>143</v>
      </c>
      <c r="C964" s="7">
        <v>1</v>
      </c>
      <c r="D964" s="7">
        <v>1</v>
      </c>
      <c r="E964" s="20" t="str">
        <f t="shared" si="15"/>
        <v>11</v>
      </c>
      <c r="F964" s="21">
        <v>0.71070494110484095</v>
      </c>
      <c r="G964" s="4">
        <v>0.33100000000000002</v>
      </c>
      <c r="H964" s="4">
        <v>1</v>
      </c>
      <c r="I964" s="4">
        <v>4.1000000000000002E-2</v>
      </c>
      <c r="J964" s="4">
        <v>1</v>
      </c>
      <c r="K964" s="5">
        <v>0</v>
      </c>
      <c r="L964" s="5">
        <v>100</v>
      </c>
      <c r="M964" s="5">
        <v>0</v>
      </c>
      <c r="N964" s="5">
        <v>100</v>
      </c>
      <c r="O964" s="2">
        <v>1.1056369036050742</v>
      </c>
      <c r="P964" s="2">
        <v>1.0000050000287824E-5</v>
      </c>
      <c r="Q964" s="2">
        <v>3.1941832122778293</v>
      </c>
      <c r="R964" s="2">
        <v>1.0000050000287824E-5</v>
      </c>
    </row>
    <row r="965" spans="1:18" x14ac:dyDescent="0.3">
      <c r="A965" s="7">
        <v>620</v>
      </c>
      <c r="B965" s="7">
        <v>145</v>
      </c>
      <c r="C965" s="7">
        <v>1</v>
      </c>
      <c r="D965" s="7">
        <v>1</v>
      </c>
      <c r="E965" s="20" t="str">
        <f t="shared" si="15"/>
        <v>11</v>
      </c>
      <c r="F965" s="21">
        <v>0.768510545781942</v>
      </c>
      <c r="G965" s="4">
        <v>0.44800000000000001</v>
      </c>
      <c r="H965" s="4">
        <v>1</v>
      </c>
      <c r="I965" s="4">
        <v>0.93700000000000006</v>
      </c>
      <c r="J965" s="4">
        <v>1</v>
      </c>
      <c r="K965" s="5">
        <v>0</v>
      </c>
      <c r="L965" s="5">
        <v>100</v>
      </c>
      <c r="M965" s="5">
        <v>100</v>
      </c>
      <c r="N965" s="5">
        <v>100</v>
      </c>
      <c r="O965" s="2">
        <v>0.80296204656715187</v>
      </c>
      <c r="P965" s="2">
        <v>1.0000050000287824E-5</v>
      </c>
      <c r="Q965" s="2">
        <v>6.5071996743714805E-2</v>
      </c>
      <c r="R965" s="2">
        <v>1.0000050000287824E-5</v>
      </c>
    </row>
    <row r="966" spans="1:18" x14ac:dyDescent="0.3">
      <c r="A966" s="7">
        <v>322</v>
      </c>
      <c r="B966" s="7">
        <v>144</v>
      </c>
      <c r="C966" s="7">
        <v>1</v>
      </c>
      <c r="D966" s="7">
        <v>1</v>
      </c>
      <c r="E966" s="20" t="str">
        <f t="shared" si="15"/>
        <v>11</v>
      </c>
      <c r="F966" s="21">
        <v>0.79237752995328503</v>
      </c>
      <c r="G966" s="4">
        <v>0.35899999999999999</v>
      </c>
      <c r="H966" s="4">
        <v>1</v>
      </c>
      <c r="I966" s="4">
        <v>0.97799999999999998</v>
      </c>
      <c r="J966" s="4">
        <v>1</v>
      </c>
      <c r="K966" s="5">
        <v>0</v>
      </c>
      <c r="L966" s="5">
        <v>100</v>
      </c>
      <c r="M966" s="5">
        <v>100</v>
      </c>
      <c r="N966" s="5">
        <v>100</v>
      </c>
      <c r="O966" s="2">
        <v>1.0244328904938582</v>
      </c>
      <c r="P966" s="2">
        <v>1.0000050000287824E-5</v>
      </c>
      <c r="Q966" s="2">
        <v>2.2245608947319737E-2</v>
      </c>
      <c r="R966" s="2">
        <v>1.0000050000287824E-5</v>
      </c>
    </row>
    <row r="967" spans="1:18" x14ac:dyDescent="0.3">
      <c r="A967" s="7">
        <v>50</v>
      </c>
      <c r="B967" s="7">
        <v>139</v>
      </c>
      <c r="C967" s="7">
        <v>1</v>
      </c>
      <c r="D967" s="7">
        <v>1</v>
      </c>
      <c r="E967" s="20" t="str">
        <f t="shared" si="15"/>
        <v>11</v>
      </c>
      <c r="F967" s="21">
        <v>0.79656620338750905</v>
      </c>
      <c r="G967" s="4">
        <v>0.71099999999999997</v>
      </c>
      <c r="H967" s="4">
        <v>1</v>
      </c>
      <c r="I967" s="4">
        <v>0.97399999999999998</v>
      </c>
      <c r="J967" s="4">
        <v>1</v>
      </c>
      <c r="K967" s="5">
        <v>100</v>
      </c>
      <c r="L967" s="5">
        <v>100</v>
      </c>
      <c r="M967" s="5">
        <v>100</v>
      </c>
      <c r="N967" s="5">
        <v>100</v>
      </c>
      <c r="O967" s="2">
        <v>0.3410828491788962</v>
      </c>
      <c r="P967" s="2">
        <v>1.0000050000287824E-5</v>
      </c>
      <c r="Q967" s="2">
        <v>2.6343975339601977E-2</v>
      </c>
      <c r="R967" s="2">
        <v>1.0000050000287824E-5</v>
      </c>
    </row>
    <row r="968" spans="1:18" x14ac:dyDescent="0.3">
      <c r="A968" s="7">
        <v>910</v>
      </c>
      <c r="B968" s="7">
        <v>120</v>
      </c>
      <c r="C968" s="7">
        <v>1</v>
      </c>
      <c r="D968" s="7">
        <v>1</v>
      </c>
      <c r="E968" s="20" t="str">
        <f t="shared" si="15"/>
        <v>11</v>
      </c>
      <c r="F968" s="21">
        <v>0.81830831226427003</v>
      </c>
      <c r="G968" s="4">
        <v>0.45200000000000001</v>
      </c>
      <c r="H968" s="4">
        <v>0.97530864197530898</v>
      </c>
      <c r="I968" s="4">
        <v>0.96799999999999997</v>
      </c>
      <c r="J968" s="4">
        <v>0.999</v>
      </c>
      <c r="K968" s="5">
        <v>0</v>
      </c>
      <c r="L968" s="5">
        <v>100</v>
      </c>
      <c r="M968" s="5">
        <v>100</v>
      </c>
      <c r="N968" s="5">
        <v>100</v>
      </c>
      <c r="O968" s="2">
        <v>0.79407309914990587</v>
      </c>
      <c r="P968" s="2">
        <v>2.500130220541693E-2</v>
      </c>
      <c r="Q968" s="2">
        <v>3.2523191705560062E-2</v>
      </c>
      <c r="R968" s="2">
        <v>1.0005003335835344E-3</v>
      </c>
    </row>
    <row r="969" spans="1:18" x14ac:dyDescent="0.3">
      <c r="A969" s="7">
        <v>942</v>
      </c>
      <c r="B969" s="7">
        <v>129</v>
      </c>
      <c r="C969" s="7">
        <v>1</v>
      </c>
      <c r="D969" s="7">
        <v>1</v>
      </c>
      <c r="E969" s="20" t="str">
        <f t="shared" si="15"/>
        <v>11</v>
      </c>
      <c r="F969" s="21">
        <v>0.82304027818092196</v>
      </c>
      <c r="G969" s="4">
        <v>0.76600000000000001</v>
      </c>
      <c r="H969" s="4">
        <v>1</v>
      </c>
      <c r="I969" s="4">
        <v>0.95599999999999996</v>
      </c>
      <c r="J969" s="4">
        <v>1</v>
      </c>
      <c r="K969" s="5">
        <v>100</v>
      </c>
      <c r="L969" s="5">
        <v>100</v>
      </c>
      <c r="M969" s="5">
        <v>100</v>
      </c>
      <c r="N969" s="5">
        <v>100</v>
      </c>
      <c r="O969" s="2">
        <v>0.26657310924154576</v>
      </c>
      <c r="P969" s="2">
        <v>1.0000050000287824E-5</v>
      </c>
      <c r="Q969" s="2">
        <v>4.4997365930735805E-2</v>
      </c>
      <c r="R969" s="2">
        <v>1.0000050000287824E-5</v>
      </c>
    </row>
    <row r="970" spans="1:18" x14ac:dyDescent="0.3">
      <c r="A970" s="7">
        <v>48</v>
      </c>
      <c r="B970" s="7">
        <v>126</v>
      </c>
      <c r="C970" s="7">
        <v>1</v>
      </c>
      <c r="D970" s="7">
        <v>1</v>
      </c>
      <c r="E970" s="20" t="str">
        <f t="shared" si="15"/>
        <v>11</v>
      </c>
      <c r="F970" s="21">
        <v>0.83578798928227305</v>
      </c>
      <c r="G970" s="4">
        <v>0.69099999999999995</v>
      </c>
      <c r="H970" s="4">
        <v>0.99421965317919103</v>
      </c>
      <c r="I970" s="4">
        <v>0.95199999999999996</v>
      </c>
      <c r="J970" s="4">
        <v>0.996</v>
      </c>
      <c r="K970" s="5">
        <v>100</v>
      </c>
      <c r="L970" s="5">
        <v>100</v>
      </c>
      <c r="M970" s="5">
        <v>100</v>
      </c>
      <c r="N970" s="5">
        <v>100</v>
      </c>
      <c r="O970" s="2">
        <v>0.36961545521446726</v>
      </c>
      <c r="P970" s="2">
        <v>5.7971176843256223E-3</v>
      </c>
      <c r="Q970" s="2">
        <v>4.9190244190771781E-2</v>
      </c>
      <c r="R970" s="2">
        <v>4.0080213975388218E-3</v>
      </c>
    </row>
    <row r="971" spans="1:18" x14ac:dyDescent="0.3">
      <c r="A971" s="7">
        <v>375</v>
      </c>
      <c r="B971" s="7">
        <v>122</v>
      </c>
      <c r="C971" s="7">
        <v>1</v>
      </c>
      <c r="D971" s="7">
        <v>1</v>
      </c>
      <c r="E971" s="20" t="str">
        <f t="shared" si="15"/>
        <v>11</v>
      </c>
      <c r="F971" s="21">
        <v>0.86701515962047004</v>
      </c>
      <c r="G971" s="4">
        <v>0.371</v>
      </c>
      <c r="H971" s="4">
        <v>1</v>
      </c>
      <c r="I971" s="4">
        <v>0.94</v>
      </c>
      <c r="J971" s="4">
        <v>1</v>
      </c>
      <c r="K971" s="5">
        <v>0</v>
      </c>
      <c r="L971" s="5">
        <v>100</v>
      </c>
      <c r="M971" s="5">
        <v>100</v>
      </c>
      <c r="N971" s="5">
        <v>100</v>
      </c>
      <c r="O971" s="2">
        <v>0.99155321637470195</v>
      </c>
      <c r="P971" s="2">
        <v>1.0000050000287824E-5</v>
      </c>
      <c r="Q971" s="2">
        <v>6.1875403718087529E-2</v>
      </c>
      <c r="R971" s="2">
        <v>1.0000050000287824E-5</v>
      </c>
    </row>
    <row r="972" spans="1:18" x14ac:dyDescent="0.3">
      <c r="A972" s="7">
        <v>396</v>
      </c>
      <c r="B972" s="7">
        <v>116</v>
      </c>
      <c r="C972" s="7">
        <v>1</v>
      </c>
      <c r="D972" s="7">
        <v>1</v>
      </c>
      <c r="E972" s="20" t="str">
        <f t="shared" si="15"/>
        <v>11</v>
      </c>
      <c r="F972" s="21">
        <v>0.88638795573766804</v>
      </c>
      <c r="G972" s="4">
        <v>0.38400000000000001</v>
      </c>
      <c r="H972" s="4">
        <v>0.90476190476190499</v>
      </c>
      <c r="I972" s="4">
        <v>0.97899999999999998</v>
      </c>
      <c r="J972" s="4">
        <v>0.92700000000000005</v>
      </c>
      <c r="K972" s="5">
        <v>0</v>
      </c>
      <c r="L972" s="5">
        <v>100</v>
      </c>
      <c r="M972" s="5">
        <v>100</v>
      </c>
      <c r="N972" s="5">
        <v>100</v>
      </c>
      <c r="O972" s="2">
        <v>0.95711272639441014</v>
      </c>
      <c r="P972" s="2">
        <v>0.10008345855698228</v>
      </c>
      <c r="Q972" s="2">
        <v>2.1223636451626688E-2</v>
      </c>
      <c r="R972" s="2">
        <v>7.5801713416281849E-2</v>
      </c>
    </row>
    <row r="973" spans="1:18" x14ac:dyDescent="0.3">
      <c r="A973" s="7">
        <v>612</v>
      </c>
      <c r="B973" s="7">
        <v>115</v>
      </c>
      <c r="C973" s="7">
        <v>1</v>
      </c>
      <c r="D973" s="7">
        <v>1</v>
      </c>
      <c r="E973" s="20" t="str">
        <f t="shared" si="15"/>
        <v>11</v>
      </c>
      <c r="F973" s="21">
        <v>0.90685223469548104</v>
      </c>
      <c r="G973" s="4">
        <v>0.629</v>
      </c>
      <c r="H973" s="4">
        <v>1</v>
      </c>
      <c r="I973" s="4">
        <v>0.93100000000000005</v>
      </c>
      <c r="J973" s="4">
        <v>1</v>
      </c>
      <c r="K973" s="5">
        <v>100</v>
      </c>
      <c r="L973" s="5">
        <v>100</v>
      </c>
      <c r="M973" s="5">
        <v>100</v>
      </c>
      <c r="N973" s="5">
        <v>100</v>
      </c>
      <c r="O973" s="2">
        <v>0.46362402228169652</v>
      </c>
      <c r="P973" s="2">
        <v>1.0000050000287824E-5</v>
      </c>
      <c r="Q973" s="2">
        <v>7.1496001705069923E-2</v>
      </c>
      <c r="R973" s="2">
        <v>1.0000050000287824E-5</v>
      </c>
    </row>
    <row r="974" spans="1:18" x14ac:dyDescent="0.3">
      <c r="A974" s="7">
        <v>681</v>
      </c>
      <c r="B974" s="7">
        <v>94</v>
      </c>
      <c r="C974" s="7">
        <v>1</v>
      </c>
      <c r="D974" s="7">
        <v>1</v>
      </c>
      <c r="E974" s="20" t="str">
        <f t="shared" si="15"/>
        <v>11</v>
      </c>
      <c r="F974" s="21">
        <v>0.976712037185682</v>
      </c>
      <c r="G974" s="4">
        <v>0.57099999999999995</v>
      </c>
      <c r="H974" s="4">
        <v>0.99275362318840599</v>
      </c>
      <c r="I974" s="4">
        <v>0.97199999999999998</v>
      </c>
      <c r="J974" s="4">
        <v>0.98699999999999999</v>
      </c>
      <c r="K974" s="5">
        <v>100</v>
      </c>
      <c r="L974" s="5">
        <v>100</v>
      </c>
      <c r="M974" s="5">
        <v>100</v>
      </c>
      <c r="N974" s="5">
        <v>100</v>
      </c>
      <c r="O974" s="2">
        <v>0.56036606932612687</v>
      </c>
      <c r="P974" s="2">
        <v>7.2727593290795849E-3</v>
      </c>
      <c r="Q974" s="2">
        <v>2.8399474521698002E-2</v>
      </c>
      <c r="R974" s="2">
        <v>1.3085239548655481E-2</v>
      </c>
    </row>
    <row r="975" spans="1:18" x14ac:dyDescent="0.3">
      <c r="A975" s="7">
        <v>118</v>
      </c>
      <c r="B975" s="7">
        <v>83</v>
      </c>
      <c r="C975" s="7">
        <v>1</v>
      </c>
      <c r="D975" s="7">
        <v>1</v>
      </c>
      <c r="E975" s="20" t="str">
        <f t="shared" si="15"/>
        <v>11</v>
      </c>
      <c r="F975" s="21">
        <v>1.00212616698181</v>
      </c>
      <c r="G975" s="4">
        <v>0.61399999999999999</v>
      </c>
      <c r="H975" s="4">
        <v>0.95798319327731096</v>
      </c>
      <c r="I975" s="4">
        <v>0.95499999999999996</v>
      </c>
      <c r="J975" s="4">
        <v>0.999</v>
      </c>
      <c r="K975" s="5">
        <v>100</v>
      </c>
      <c r="L975" s="5">
        <v>100</v>
      </c>
      <c r="M975" s="5">
        <v>100</v>
      </c>
      <c r="N975" s="5">
        <v>100</v>
      </c>
      <c r="O975" s="2">
        <v>0.48776035083499458</v>
      </c>
      <c r="P975" s="2">
        <v>4.2925044717033886E-2</v>
      </c>
      <c r="Q975" s="2">
        <v>4.6043938501406846E-2</v>
      </c>
      <c r="R975" s="2">
        <v>1.0005003335835344E-3</v>
      </c>
    </row>
    <row r="976" spans="1:18" x14ac:dyDescent="0.3">
      <c r="A976" s="7">
        <v>760</v>
      </c>
      <c r="B976" s="7">
        <v>77</v>
      </c>
      <c r="C976" s="7">
        <v>1</v>
      </c>
      <c r="D976" s="7">
        <v>1</v>
      </c>
      <c r="E976" s="20" t="str">
        <f t="shared" si="15"/>
        <v>11</v>
      </c>
      <c r="F976" s="21">
        <v>1.0912988489637601</v>
      </c>
      <c r="G976" s="4">
        <v>0.40899999999999997</v>
      </c>
      <c r="H976" s="4">
        <v>1</v>
      </c>
      <c r="I976" s="4">
        <v>0.95399999999999996</v>
      </c>
      <c r="J976" s="4">
        <v>1</v>
      </c>
      <c r="K976" s="5">
        <v>0</v>
      </c>
      <c r="L976" s="5">
        <v>100</v>
      </c>
      <c r="M976" s="5">
        <v>100</v>
      </c>
      <c r="N976" s="5">
        <v>100</v>
      </c>
      <c r="O976" s="2">
        <v>0.89404012293933532</v>
      </c>
      <c r="P976" s="2">
        <v>1.0000050000287824E-5</v>
      </c>
      <c r="Q976" s="2">
        <v>4.7091607533850569E-2</v>
      </c>
      <c r="R976" s="2">
        <v>1.0000050000287824E-5</v>
      </c>
    </row>
    <row r="977" spans="1:18" x14ac:dyDescent="0.3">
      <c r="A977" s="7">
        <v>690</v>
      </c>
      <c r="B977" s="7">
        <v>69</v>
      </c>
      <c r="C977" s="7">
        <v>1</v>
      </c>
      <c r="D977" s="7">
        <v>1</v>
      </c>
      <c r="E977" s="20" t="str">
        <f t="shared" si="15"/>
        <v>11</v>
      </c>
      <c r="F977" s="21">
        <v>1.0953804885453899</v>
      </c>
      <c r="G977" s="4">
        <v>0.28100000000000003</v>
      </c>
      <c r="H977" s="4">
        <v>1</v>
      </c>
      <c r="I977" s="4">
        <v>0.94599999999999995</v>
      </c>
      <c r="J977" s="4">
        <v>0.998</v>
      </c>
      <c r="K977" s="5">
        <v>0</v>
      </c>
      <c r="L977" s="5">
        <v>100</v>
      </c>
      <c r="M977" s="5">
        <v>100</v>
      </c>
      <c r="N977" s="5">
        <v>100</v>
      </c>
      <c r="O977" s="2">
        <v>1.2694006096483912</v>
      </c>
      <c r="P977" s="2">
        <v>1.0000050000287824E-5</v>
      </c>
      <c r="Q977" s="2">
        <v>5.5512709930258829E-2</v>
      </c>
      <c r="R977" s="2">
        <v>2.0020026706730793E-3</v>
      </c>
    </row>
    <row r="978" spans="1:18" x14ac:dyDescent="0.3">
      <c r="A978" s="7">
        <v>307</v>
      </c>
      <c r="B978" s="7">
        <v>106</v>
      </c>
      <c r="C978" s="7">
        <v>1</v>
      </c>
      <c r="D978" s="7">
        <v>1</v>
      </c>
      <c r="E978" s="20" t="str">
        <f t="shared" si="15"/>
        <v>11</v>
      </c>
      <c r="F978" s="21">
        <v>1.13195360547547</v>
      </c>
      <c r="G978" s="4">
        <v>0.39900000000000002</v>
      </c>
      <c r="H978" s="4">
        <v>1</v>
      </c>
      <c r="I978" s="4">
        <v>0.871</v>
      </c>
      <c r="J978" s="4">
        <v>1</v>
      </c>
      <c r="K978" s="5">
        <v>0</v>
      </c>
      <c r="L978" s="5">
        <v>100</v>
      </c>
      <c r="M978" s="5">
        <v>100</v>
      </c>
      <c r="N978" s="5">
        <v>100</v>
      </c>
      <c r="O978" s="2">
        <v>0.91879386209227354</v>
      </c>
      <c r="P978" s="2">
        <v>1.0000050000287824E-5</v>
      </c>
      <c r="Q978" s="2">
        <v>0.13811330212963427</v>
      </c>
      <c r="R978" s="2">
        <v>1.0000050000287824E-5</v>
      </c>
    </row>
    <row r="979" spans="1:18" x14ac:dyDescent="0.3">
      <c r="A979" s="7">
        <v>990</v>
      </c>
      <c r="B979" s="7">
        <v>144</v>
      </c>
      <c r="C979" s="7">
        <v>1</v>
      </c>
      <c r="D979" s="7">
        <v>1</v>
      </c>
      <c r="E979" s="20" t="str">
        <f t="shared" si="15"/>
        <v>11</v>
      </c>
      <c r="F979" s="21">
        <v>1.1602445350252599</v>
      </c>
      <c r="G979" s="4">
        <v>0.497</v>
      </c>
      <c r="H979" s="4">
        <v>1</v>
      </c>
      <c r="I979" s="4">
        <v>0.85</v>
      </c>
      <c r="J979" s="4">
        <v>1</v>
      </c>
      <c r="K979" s="5">
        <v>0</v>
      </c>
      <c r="L979" s="5">
        <v>100</v>
      </c>
      <c r="M979" s="5">
        <v>100</v>
      </c>
      <c r="N979" s="5">
        <v>100</v>
      </c>
      <c r="O979" s="2">
        <v>0.69916525288550835</v>
      </c>
      <c r="P979" s="2">
        <v>1.0000050000287824E-5</v>
      </c>
      <c r="Q979" s="2">
        <v>0.16251892949777494</v>
      </c>
      <c r="R979" s="2">
        <v>1.0000050000287824E-5</v>
      </c>
    </row>
    <row r="980" spans="1:18" x14ac:dyDescent="0.3">
      <c r="A980" s="7">
        <v>770</v>
      </c>
      <c r="B980" s="7">
        <v>49</v>
      </c>
      <c r="C980" s="7">
        <v>1</v>
      </c>
      <c r="D980" s="7">
        <v>1</v>
      </c>
      <c r="E980" s="20" t="str">
        <f t="shared" si="15"/>
        <v>11</v>
      </c>
      <c r="F980" s="21">
        <v>1.17659896660005</v>
      </c>
      <c r="G980" s="4">
        <v>0.65500000000000003</v>
      </c>
      <c r="H980" s="4">
        <v>1</v>
      </c>
      <c r="I980" s="4">
        <v>0.90900000000000003</v>
      </c>
      <c r="J980" s="4">
        <v>1</v>
      </c>
      <c r="K980" s="5">
        <v>100</v>
      </c>
      <c r="L980" s="5">
        <v>100</v>
      </c>
      <c r="M980" s="5">
        <v>100</v>
      </c>
      <c r="N980" s="5">
        <v>100</v>
      </c>
      <c r="O980" s="2">
        <v>0.42312004334688508</v>
      </c>
      <c r="P980" s="2">
        <v>1.0000050000287824E-5</v>
      </c>
      <c r="Q980" s="2">
        <v>9.5410184804658182E-2</v>
      </c>
      <c r="R980" s="2">
        <v>1.0000050000287824E-5</v>
      </c>
    </row>
    <row r="981" spans="1:18" x14ac:dyDescent="0.3">
      <c r="A981" s="7">
        <v>446</v>
      </c>
      <c r="B981" s="7">
        <v>75</v>
      </c>
      <c r="C981" s="7">
        <v>1</v>
      </c>
      <c r="D981" s="7">
        <v>1</v>
      </c>
      <c r="E981" s="20" t="str">
        <f t="shared" si="15"/>
        <v>11</v>
      </c>
      <c r="F981" s="21">
        <v>1.1951911795239301</v>
      </c>
      <c r="G981" s="4">
        <v>0.70799999999999996</v>
      </c>
      <c r="H981" s="4">
        <v>1</v>
      </c>
      <c r="I981" s="4">
        <v>0.93799999999999994</v>
      </c>
      <c r="J981" s="4">
        <v>1</v>
      </c>
      <c r="K981" s="5">
        <v>100</v>
      </c>
      <c r="L981" s="5">
        <v>100</v>
      </c>
      <c r="M981" s="5">
        <v>100</v>
      </c>
      <c r="N981" s="5">
        <v>100</v>
      </c>
      <c r="O981" s="2">
        <v>0.34531118528841737</v>
      </c>
      <c r="P981" s="2">
        <v>1.0000050000287824E-5</v>
      </c>
      <c r="Q981" s="2">
        <v>6.4005329975912434E-2</v>
      </c>
      <c r="R981" s="2">
        <v>1.0000050000287824E-5</v>
      </c>
    </row>
    <row r="982" spans="1:18" x14ac:dyDescent="0.3">
      <c r="A982" s="7">
        <v>442</v>
      </c>
      <c r="B982" s="7">
        <v>66</v>
      </c>
      <c r="C982" s="7">
        <v>1</v>
      </c>
      <c r="D982" s="7">
        <v>1</v>
      </c>
      <c r="E982" s="20" t="str">
        <f t="shared" si="15"/>
        <v>11</v>
      </c>
      <c r="F982" s="21">
        <v>1.2022234506412499</v>
      </c>
      <c r="G982" s="4">
        <v>0.34799999999999998</v>
      </c>
      <c r="H982" s="4">
        <v>1</v>
      </c>
      <c r="I982" s="4">
        <v>0.97499999999999998</v>
      </c>
      <c r="J982" s="4">
        <v>0.997</v>
      </c>
      <c r="K982" s="5">
        <v>0</v>
      </c>
      <c r="L982" s="5">
        <v>100</v>
      </c>
      <c r="M982" s="5">
        <v>100</v>
      </c>
      <c r="N982" s="5">
        <v>100</v>
      </c>
      <c r="O982" s="2">
        <v>1.0555527992076628</v>
      </c>
      <c r="P982" s="2">
        <v>1.0000050000287824E-5</v>
      </c>
      <c r="Q982" s="2">
        <v>2.5317807984289897E-2</v>
      </c>
      <c r="R982" s="2">
        <v>3.0045090202987243E-3</v>
      </c>
    </row>
    <row r="983" spans="1:18" x14ac:dyDescent="0.3">
      <c r="A983" s="7">
        <v>745</v>
      </c>
      <c r="B983" s="7">
        <v>46</v>
      </c>
      <c r="C983" s="7">
        <v>1</v>
      </c>
      <c r="D983" s="7">
        <v>1</v>
      </c>
      <c r="E983" s="20" t="str">
        <f t="shared" si="15"/>
        <v>11</v>
      </c>
      <c r="F983" s="21">
        <v>1.2696360594123499</v>
      </c>
      <c r="G983" s="4">
        <v>0.57399999999999995</v>
      </c>
      <c r="H983" s="4">
        <v>1</v>
      </c>
      <c r="I983" s="4">
        <v>0.93200000000000005</v>
      </c>
      <c r="J983" s="4">
        <v>1</v>
      </c>
      <c r="K983" s="5">
        <v>100</v>
      </c>
      <c r="L983" s="5">
        <v>100</v>
      </c>
      <c r="M983" s="5">
        <v>100</v>
      </c>
      <c r="N983" s="5">
        <v>100</v>
      </c>
      <c r="O983" s="2">
        <v>0.55512588266257068</v>
      </c>
      <c r="P983" s="2">
        <v>1.0000050000287824E-5</v>
      </c>
      <c r="Q983" s="2">
        <v>7.042246429654582E-2</v>
      </c>
      <c r="R983" s="2">
        <v>1.0000050000287824E-5</v>
      </c>
    </row>
    <row r="984" spans="1:18" x14ac:dyDescent="0.3">
      <c r="A984" s="7">
        <v>274</v>
      </c>
      <c r="B984" s="7">
        <v>106</v>
      </c>
      <c r="C984" s="7">
        <v>1</v>
      </c>
      <c r="D984" s="7">
        <v>1</v>
      </c>
      <c r="E984" s="20" t="str">
        <f t="shared" si="15"/>
        <v>11</v>
      </c>
      <c r="F984" s="21">
        <v>1.37673377136207</v>
      </c>
      <c r="G984" s="4">
        <v>0.46300000000000002</v>
      </c>
      <c r="H984" s="4">
        <v>1</v>
      </c>
      <c r="I984" s="4">
        <v>0.85699999999999998</v>
      </c>
      <c r="J984" s="4">
        <v>1</v>
      </c>
      <c r="K984" s="5">
        <v>0</v>
      </c>
      <c r="L984" s="5">
        <v>100</v>
      </c>
      <c r="M984" s="5">
        <v>100</v>
      </c>
      <c r="N984" s="5">
        <v>100</v>
      </c>
      <c r="O984" s="2">
        <v>0.77002822489590295</v>
      </c>
      <c r="P984" s="2">
        <v>1.0000050000287824E-5</v>
      </c>
      <c r="Q984" s="2">
        <v>0.15431736038435728</v>
      </c>
      <c r="R984" s="2">
        <v>1.0000050000287824E-5</v>
      </c>
    </row>
    <row r="985" spans="1:18" x14ac:dyDescent="0.3">
      <c r="A985" s="7">
        <v>784</v>
      </c>
      <c r="B985" s="7">
        <v>37</v>
      </c>
      <c r="C985" s="7">
        <v>1</v>
      </c>
      <c r="D985" s="7">
        <v>1</v>
      </c>
      <c r="E985" s="20" t="str">
        <f t="shared" si="15"/>
        <v>11</v>
      </c>
      <c r="F985" s="21">
        <v>1.45661038044549</v>
      </c>
      <c r="G985" s="4">
        <v>0.57799999999999996</v>
      </c>
      <c r="H985" s="4">
        <v>1</v>
      </c>
      <c r="I985" s="4">
        <v>0.86699999999999999</v>
      </c>
      <c r="J985" s="4">
        <v>1</v>
      </c>
      <c r="K985" s="5">
        <v>100</v>
      </c>
      <c r="L985" s="5">
        <v>100</v>
      </c>
      <c r="M985" s="5">
        <v>100</v>
      </c>
      <c r="N985" s="5">
        <v>100</v>
      </c>
      <c r="O985" s="2">
        <v>0.54818141030975964</v>
      </c>
      <c r="P985" s="2">
        <v>1.0000050000287824E-5</v>
      </c>
      <c r="Q985" s="2">
        <v>0.1427163022015952</v>
      </c>
      <c r="R985" s="2">
        <v>1.0000050000287824E-5</v>
      </c>
    </row>
    <row r="986" spans="1:18" x14ac:dyDescent="0.3">
      <c r="A986" s="7">
        <v>941</v>
      </c>
      <c r="B986" s="7">
        <v>55</v>
      </c>
      <c r="C986" s="7">
        <v>1</v>
      </c>
      <c r="D986" s="7">
        <v>1</v>
      </c>
      <c r="E986" s="20" t="str">
        <f t="shared" si="15"/>
        <v>11</v>
      </c>
      <c r="F986" s="21">
        <v>1.47792698308496</v>
      </c>
      <c r="G986" s="4">
        <v>0.41199999999999998</v>
      </c>
      <c r="H986" s="4">
        <v>1</v>
      </c>
      <c r="I986" s="4">
        <v>0.97099999999999997</v>
      </c>
      <c r="J986" s="4">
        <v>1</v>
      </c>
      <c r="K986" s="5">
        <v>0</v>
      </c>
      <c r="L986" s="5">
        <v>100</v>
      </c>
      <c r="M986" s="5">
        <v>100</v>
      </c>
      <c r="N986" s="5">
        <v>100</v>
      </c>
      <c r="O986" s="2">
        <v>0.88673192963261072</v>
      </c>
      <c r="P986" s="2">
        <v>1.0000050000287824E-5</v>
      </c>
      <c r="Q986" s="2">
        <v>2.9428810690812168E-2</v>
      </c>
      <c r="R986" s="2">
        <v>1.0000050000287824E-5</v>
      </c>
    </row>
    <row r="987" spans="1:18" x14ac:dyDescent="0.3">
      <c r="A987" s="7">
        <v>300</v>
      </c>
      <c r="B987" s="7">
        <v>46</v>
      </c>
      <c r="C987" s="7">
        <v>1</v>
      </c>
      <c r="D987" s="7">
        <v>1</v>
      </c>
      <c r="E987" s="20" t="str">
        <f t="shared" si="15"/>
        <v>11</v>
      </c>
      <c r="F987" s="21">
        <v>1.4789540506725101</v>
      </c>
      <c r="G987" s="4">
        <v>0.68200000000000005</v>
      </c>
      <c r="H987" s="4">
        <v>0.97727272727272696</v>
      </c>
      <c r="I987" s="4">
        <v>0.92200000000000004</v>
      </c>
      <c r="J987" s="4">
        <v>0.89800000000000002</v>
      </c>
      <c r="K987" s="5">
        <v>100</v>
      </c>
      <c r="L987" s="5">
        <v>100</v>
      </c>
      <c r="M987" s="5">
        <v>100</v>
      </c>
      <c r="N987" s="5">
        <v>100</v>
      </c>
      <c r="O987" s="2">
        <v>0.38272562113867487</v>
      </c>
      <c r="P987" s="2">
        <v>2.2989518224699058E-2</v>
      </c>
      <c r="Q987" s="2">
        <v>8.1210055425543173E-2</v>
      </c>
      <c r="R987" s="2">
        <v>0.10758521067993743</v>
      </c>
    </row>
    <row r="988" spans="1:18" x14ac:dyDescent="0.3">
      <c r="A988" s="7">
        <v>164</v>
      </c>
      <c r="B988" s="7">
        <v>39</v>
      </c>
      <c r="C988" s="7">
        <v>1</v>
      </c>
      <c r="D988" s="7">
        <v>1</v>
      </c>
      <c r="E988" s="20" t="str">
        <f t="shared" si="15"/>
        <v>11</v>
      </c>
      <c r="F988" s="21">
        <v>1.49268416714769</v>
      </c>
      <c r="G988" s="4">
        <v>0.436</v>
      </c>
      <c r="H988" s="4">
        <v>1</v>
      </c>
      <c r="I988" s="4">
        <v>0.90500000000000003</v>
      </c>
      <c r="J988" s="4">
        <v>0.998</v>
      </c>
      <c r="K988" s="5">
        <v>0</v>
      </c>
      <c r="L988" s="5">
        <v>100</v>
      </c>
      <c r="M988" s="5">
        <v>100</v>
      </c>
      <c r="N988" s="5">
        <v>100</v>
      </c>
      <c r="O988" s="2">
        <v>0.83011303563310268</v>
      </c>
      <c r="P988" s="2">
        <v>1.0000050000287824E-5</v>
      </c>
      <c r="Q988" s="2">
        <v>9.9820335282210904E-2</v>
      </c>
      <c r="R988" s="2">
        <v>2.0020026706730793E-3</v>
      </c>
    </row>
    <row r="989" spans="1:18" x14ac:dyDescent="0.3">
      <c r="A989" s="7">
        <v>614</v>
      </c>
      <c r="B989" s="7">
        <v>29</v>
      </c>
      <c r="C989" s="7">
        <v>1</v>
      </c>
      <c r="D989" s="7">
        <v>1</v>
      </c>
      <c r="E989" s="20" t="str">
        <f t="shared" si="15"/>
        <v>11</v>
      </c>
      <c r="F989" s="21">
        <v>1.5871669476100301</v>
      </c>
      <c r="G989" s="4">
        <v>0.374</v>
      </c>
      <c r="H989" s="4">
        <v>1</v>
      </c>
      <c r="I989" s="4">
        <v>0.85699999999999998</v>
      </c>
      <c r="J989" s="4">
        <v>1</v>
      </c>
      <c r="K989" s="5">
        <v>0</v>
      </c>
      <c r="L989" s="5">
        <v>100</v>
      </c>
      <c r="M989" s="5">
        <v>100</v>
      </c>
      <c r="N989" s="5">
        <v>100</v>
      </c>
      <c r="O989" s="2">
        <v>0.98349948156760514</v>
      </c>
      <c r="P989" s="2">
        <v>1.0000050000287824E-5</v>
      </c>
      <c r="Q989" s="2">
        <v>0.15431736038435728</v>
      </c>
      <c r="R989" s="2">
        <v>1.0000050000287824E-5</v>
      </c>
    </row>
    <row r="990" spans="1:18" x14ac:dyDescent="0.3">
      <c r="A990" s="7">
        <v>698</v>
      </c>
      <c r="B990" s="7">
        <v>50</v>
      </c>
      <c r="C990" s="7">
        <v>1</v>
      </c>
      <c r="D990" s="7">
        <v>1</v>
      </c>
      <c r="E990" s="20" t="str">
        <f t="shared" si="15"/>
        <v>11</v>
      </c>
      <c r="F990" s="21">
        <v>1.588730552905</v>
      </c>
      <c r="G990" s="4">
        <v>0.64300000000000002</v>
      </c>
      <c r="H990" s="4">
        <v>0.97315436241610698</v>
      </c>
      <c r="I990" s="4">
        <v>0.90200000000000002</v>
      </c>
      <c r="J990" s="4">
        <v>0.98699999999999999</v>
      </c>
      <c r="K990" s="5">
        <v>100</v>
      </c>
      <c r="L990" s="5">
        <v>100</v>
      </c>
      <c r="M990" s="5">
        <v>100</v>
      </c>
      <c r="N990" s="5">
        <v>100</v>
      </c>
      <c r="O990" s="2">
        <v>0.44161055474451766</v>
      </c>
      <c r="P990" s="2">
        <v>2.7212563524885155E-2</v>
      </c>
      <c r="Q990" s="2">
        <v>0.10314075891951337</v>
      </c>
      <c r="R990" s="2">
        <v>1.3085239548655481E-2</v>
      </c>
    </row>
    <row r="991" spans="1:18" x14ac:dyDescent="0.3">
      <c r="A991" s="7">
        <v>843</v>
      </c>
      <c r="B991" s="7">
        <v>25</v>
      </c>
      <c r="C991" s="7">
        <v>1</v>
      </c>
      <c r="D991" s="7">
        <v>1</v>
      </c>
      <c r="E991" s="20" t="str">
        <f t="shared" si="15"/>
        <v>11</v>
      </c>
      <c r="F991" s="21">
        <v>1.7756475100140701</v>
      </c>
      <c r="G991" s="4">
        <v>0.51200000000000001</v>
      </c>
      <c r="H991" s="4">
        <v>1</v>
      </c>
      <c r="I991" s="4">
        <v>0.94299999999999995</v>
      </c>
      <c r="J991" s="4">
        <v>1</v>
      </c>
      <c r="K991" s="5">
        <v>100</v>
      </c>
      <c r="L991" s="5">
        <v>100</v>
      </c>
      <c r="M991" s="5">
        <v>100</v>
      </c>
      <c r="N991" s="5">
        <v>100</v>
      </c>
      <c r="O991" s="2">
        <v>0.66943065394262924</v>
      </c>
      <c r="P991" s="2">
        <v>1.0000050000287824E-5</v>
      </c>
      <c r="Q991" s="2">
        <v>5.8688996348679613E-2</v>
      </c>
      <c r="R991" s="2">
        <v>1.0000050000287824E-5</v>
      </c>
    </row>
    <row r="992" spans="1:18" x14ac:dyDescent="0.3">
      <c r="A992" s="7">
        <v>870</v>
      </c>
      <c r="B992" s="7">
        <v>24</v>
      </c>
      <c r="C992" s="7">
        <v>1</v>
      </c>
      <c r="D992" s="7">
        <v>1</v>
      </c>
      <c r="E992" s="20" t="str">
        <f t="shared" si="15"/>
        <v>11</v>
      </c>
      <c r="F992" s="21">
        <v>1.80052537073328</v>
      </c>
      <c r="G992" s="4">
        <v>0.371</v>
      </c>
      <c r="H992" s="4">
        <v>1</v>
      </c>
      <c r="I992" s="4">
        <v>0.80300000000000005</v>
      </c>
      <c r="J992" s="4">
        <v>1</v>
      </c>
      <c r="K992" s="5">
        <v>0</v>
      </c>
      <c r="L992" s="5">
        <v>100</v>
      </c>
      <c r="M992" s="5">
        <v>100</v>
      </c>
      <c r="N992" s="5">
        <v>100</v>
      </c>
      <c r="O992" s="2">
        <v>0.99155321637470195</v>
      </c>
      <c r="P992" s="2">
        <v>1.0000050000287824E-5</v>
      </c>
      <c r="Q992" s="2">
        <v>0.21940056503537533</v>
      </c>
      <c r="R992" s="2">
        <v>1.0000050000287824E-5</v>
      </c>
    </row>
    <row r="993" spans="1:18" x14ac:dyDescent="0.3">
      <c r="A993" s="7">
        <v>822</v>
      </c>
      <c r="B993" s="7">
        <v>18</v>
      </c>
      <c r="C993" s="7">
        <v>1</v>
      </c>
      <c r="D993" s="7">
        <v>1</v>
      </c>
      <c r="E993" s="20" t="str">
        <f t="shared" si="15"/>
        <v>11</v>
      </c>
      <c r="F993" s="21">
        <v>1.86977915126242</v>
      </c>
      <c r="G993" s="4">
        <v>0.623</v>
      </c>
      <c r="H993" s="4">
        <v>0.98795180722891596</v>
      </c>
      <c r="I993" s="4">
        <v>0.93899999999999995</v>
      </c>
      <c r="J993" s="4">
        <v>0.98699999999999999</v>
      </c>
      <c r="K993" s="5">
        <v>100</v>
      </c>
      <c r="L993" s="5">
        <v>100</v>
      </c>
      <c r="M993" s="5">
        <v>100</v>
      </c>
      <c r="N993" s="5">
        <v>100</v>
      </c>
      <c r="O993" s="2">
        <v>0.47320876019468389</v>
      </c>
      <c r="P993" s="2">
        <v>1.2121360532344512E-2</v>
      </c>
      <c r="Q993" s="2">
        <v>6.2939799773874205E-2</v>
      </c>
      <c r="R993" s="2">
        <v>1.3085239548655481E-2</v>
      </c>
    </row>
    <row r="994" spans="1:18" x14ac:dyDescent="0.3">
      <c r="A994" s="7">
        <v>716</v>
      </c>
      <c r="B994" s="7">
        <v>22</v>
      </c>
      <c r="C994" s="7">
        <v>1</v>
      </c>
      <c r="D994" s="7">
        <v>1</v>
      </c>
      <c r="E994" s="20" t="str">
        <f t="shared" si="15"/>
        <v>11</v>
      </c>
      <c r="F994" s="21">
        <v>1.9097546198106501</v>
      </c>
      <c r="G994" s="4">
        <v>0.68799999999999994</v>
      </c>
      <c r="H994" s="4">
        <v>1</v>
      </c>
      <c r="I994" s="4">
        <v>0.9</v>
      </c>
      <c r="J994" s="4">
        <v>1</v>
      </c>
      <c r="K994" s="5">
        <v>100</v>
      </c>
      <c r="L994" s="5">
        <v>100</v>
      </c>
      <c r="M994" s="5">
        <v>100</v>
      </c>
      <c r="N994" s="5">
        <v>100</v>
      </c>
      <c r="O994" s="2">
        <v>0.37396644104879345</v>
      </c>
      <c r="P994" s="2">
        <v>1.0000050000287824E-5</v>
      </c>
      <c r="Q994" s="2">
        <v>0.10536051565782628</v>
      </c>
      <c r="R994" s="2">
        <v>1.0000050000287824E-5</v>
      </c>
    </row>
    <row r="995" spans="1:18" x14ac:dyDescent="0.3">
      <c r="A995" s="7">
        <v>957</v>
      </c>
      <c r="B995" s="7">
        <v>37</v>
      </c>
      <c r="C995" s="7">
        <v>1</v>
      </c>
      <c r="D995" s="7">
        <v>1</v>
      </c>
      <c r="E995" s="20" t="str">
        <f t="shared" si="15"/>
        <v>11</v>
      </c>
      <c r="F995" s="21">
        <v>2.0633705817009802</v>
      </c>
      <c r="G995" s="4">
        <v>0.68100000000000005</v>
      </c>
      <c r="H995" s="4">
        <v>1</v>
      </c>
      <c r="I995" s="4">
        <v>0.93400000000000005</v>
      </c>
      <c r="J995" s="4">
        <v>1</v>
      </c>
      <c r="K995" s="5">
        <v>100</v>
      </c>
      <c r="L995" s="5">
        <v>100</v>
      </c>
      <c r="M995" s="5">
        <v>100</v>
      </c>
      <c r="N995" s="5">
        <v>100</v>
      </c>
      <c r="O995" s="2">
        <v>0.3841929728326246</v>
      </c>
      <c r="P995" s="2">
        <v>1.0000050000287824E-5</v>
      </c>
      <c r="Q995" s="2">
        <v>6.8278840753294379E-2</v>
      </c>
      <c r="R995" s="2">
        <v>1.0000050000287824E-5</v>
      </c>
    </row>
    <row r="996" spans="1:18" x14ac:dyDescent="0.3">
      <c r="A996" s="7">
        <v>266</v>
      </c>
      <c r="B996" s="7">
        <v>14</v>
      </c>
      <c r="C996" s="7">
        <v>1</v>
      </c>
      <c r="D996" s="7">
        <v>1</v>
      </c>
      <c r="E996" s="20" t="str">
        <f t="shared" si="15"/>
        <v>11</v>
      </c>
      <c r="F996" s="21">
        <v>2.2370580899397798</v>
      </c>
      <c r="G996" s="4">
        <v>0.32100000000000001</v>
      </c>
      <c r="H996" s="4">
        <v>0.95454545454545503</v>
      </c>
      <c r="I996" s="4">
        <v>0.84499999999999997</v>
      </c>
      <c r="J996" s="4">
        <v>0.89700000000000002</v>
      </c>
      <c r="K996" s="5">
        <v>0</v>
      </c>
      <c r="L996" s="5">
        <v>100</v>
      </c>
      <c r="M996" s="5">
        <v>100</v>
      </c>
      <c r="N996" s="5">
        <v>100</v>
      </c>
      <c r="O996" s="2">
        <v>1.1363141558521213</v>
      </c>
      <c r="P996" s="2">
        <v>4.6520015634892352E-2</v>
      </c>
      <c r="Q996" s="2">
        <v>0.16841865162496325</v>
      </c>
      <c r="R996" s="2">
        <v>0.10869941692334091</v>
      </c>
    </row>
    <row r="997" spans="1:18" x14ac:dyDescent="0.3">
      <c r="A997" s="7">
        <v>348</v>
      </c>
      <c r="B997" s="7">
        <v>55</v>
      </c>
      <c r="C997" s="7">
        <v>1</v>
      </c>
      <c r="D997" s="7">
        <v>1</v>
      </c>
      <c r="E997" s="20" t="str">
        <f t="shared" si="15"/>
        <v>11</v>
      </c>
      <c r="F997" s="21">
        <v>2.3573079677636701</v>
      </c>
      <c r="G997" s="4">
        <v>0.44900000000000001</v>
      </c>
      <c r="H997" s="4">
        <v>1</v>
      </c>
      <c r="I997" s="4">
        <v>0.83599999999999997</v>
      </c>
      <c r="J997" s="4">
        <v>0.998</v>
      </c>
      <c r="K997" s="5">
        <v>0</v>
      </c>
      <c r="L997" s="5">
        <v>100</v>
      </c>
      <c r="M997" s="5">
        <v>100</v>
      </c>
      <c r="N997" s="5">
        <v>100</v>
      </c>
      <c r="O997" s="2">
        <v>0.80073239123988271</v>
      </c>
      <c r="P997" s="2">
        <v>1.0000050000287824E-5</v>
      </c>
      <c r="Q997" s="2">
        <v>0.17912666589743548</v>
      </c>
      <c r="R997" s="2">
        <v>2.0020026706730793E-3</v>
      </c>
    </row>
    <row r="998" spans="1:18" x14ac:dyDescent="0.3">
      <c r="A998" s="7">
        <v>201</v>
      </c>
      <c r="B998" s="7">
        <v>22</v>
      </c>
      <c r="C998" s="7">
        <v>1</v>
      </c>
      <c r="D998" s="7">
        <v>1</v>
      </c>
      <c r="E998" s="20" t="str">
        <f t="shared" si="15"/>
        <v>11</v>
      </c>
      <c r="F998" s="21">
        <v>2.4696378746143401</v>
      </c>
      <c r="G998" s="4">
        <v>0.27100000000000002</v>
      </c>
      <c r="H998" s="4">
        <v>1</v>
      </c>
      <c r="I998" s="4">
        <v>0.128</v>
      </c>
      <c r="J998" s="4">
        <v>0.99399999999999999</v>
      </c>
      <c r="K998" s="5">
        <v>0</v>
      </c>
      <c r="L998" s="5">
        <v>100</v>
      </c>
      <c r="M998" s="5">
        <v>0</v>
      </c>
      <c r="N998" s="5">
        <v>100</v>
      </c>
      <c r="O998" s="2">
        <v>1.305636458102436</v>
      </c>
      <c r="P998" s="2">
        <v>1.0000050000287824E-5</v>
      </c>
      <c r="Q998" s="2">
        <v>2.0557250150625199</v>
      </c>
      <c r="R998" s="2">
        <v>6.0180723255630212E-3</v>
      </c>
    </row>
    <row r="999" spans="1:18" x14ac:dyDescent="0.3">
      <c r="A999" s="7">
        <v>721</v>
      </c>
      <c r="B999" s="7">
        <v>47</v>
      </c>
      <c r="C999" s="7">
        <v>1</v>
      </c>
      <c r="D999" s="7">
        <v>1</v>
      </c>
      <c r="E999" s="20" t="str">
        <f t="shared" si="15"/>
        <v>11</v>
      </c>
      <c r="F999" s="21">
        <v>2.5336128848752701</v>
      </c>
      <c r="G999" s="4">
        <v>0.61099999999999999</v>
      </c>
      <c r="H999" s="4">
        <v>1</v>
      </c>
      <c r="I999" s="4">
        <v>0.83899999999999997</v>
      </c>
      <c r="J999" s="4">
        <v>1</v>
      </c>
      <c r="K999" s="5">
        <v>100</v>
      </c>
      <c r="L999" s="5">
        <v>100</v>
      </c>
      <c r="M999" s="5">
        <v>100</v>
      </c>
      <c r="N999" s="5">
        <v>100</v>
      </c>
      <c r="O999" s="2">
        <v>0.49265831981054176</v>
      </c>
      <c r="P999" s="2">
        <v>1.0000050000287824E-5</v>
      </c>
      <c r="Q999" s="2">
        <v>0.17554457251493091</v>
      </c>
      <c r="R999" s="2">
        <v>1.0000050000287824E-5</v>
      </c>
    </row>
    <row r="1000" spans="1:18" x14ac:dyDescent="0.3">
      <c r="A1000" s="7">
        <v>76</v>
      </c>
      <c r="B1000" s="7">
        <v>97</v>
      </c>
      <c r="C1000" s="7">
        <v>1</v>
      </c>
      <c r="D1000" s="7">
        <v>1</v>
      </c>
      <c r="E1000" s="20" t="str">
        <f t="shared" si="15"/>
        <v>11</v>
      </c>
      <c r="F1000" s="21">
        <v>2.6569108287868901</v>
      </c>
      <c r="G1000" s="4">
        <v>0.53500000000000003</v>
      </c>
      <c r="H1000" s="4">
        <v>1</v>
      </c>
      <c r="I1000" s="4">
        <v>0.79</v>
      </c>
      <c r="J1000" s="4">
        <v>1</v>
      </c>
      <c r="K1000" s="5">
        <v>100</v>
      </c>
      <c r="L1000" s="5">
        <v>100</v>
      </c>
      <c r="M1000" s="5">
        <v>100</v>
      </c>
      <c r="N1000" s="5">
        <v>100</v>
      </c>
      <c r="O1000" s="2">
        <v>0.62548853208613042</v>
      </c>
      <c r="P1000" s="2">
        <v>1.0000050000287824E-5</v>
      </c>
      <c r="Q1000" s="2">
        <v>0.23572233352106983</v>
      </c>
      <c r="R1000" s="2">
        <v>1.0000050000287824E-5</v>
      </c>
    </row>
    <row r="1001" spans="1:18" x14ac:dyDescent="0.3">
      <c r="A1001" s="7">
        <v>819</v>
      </c>
      <c r="B1001" s="7">
        <v>94</v>
      </c>
      <c r="C1001" s="7">
        <v>1</v>
      </c>
      <c r="D1001" s="7">
        <v>1</v>
      </c>
      <c r="E1001" s="20" t="str">
        <f t="shared" si="15"/>
        <v>11</v>
      </c>
      <c r="F1001" s="21">
        <v>4.36034792709565</v>
      </c>
      <c r="G1001" s="4">
        <v>0.45</v>
      </c>
      <c r="H1001" s="4">
        <v>0.95348837209302295</v>
      </c>
      <c r="I1001" s="4">
        <v>0.28499999999999998</v>
      </c>
      <c r="J1001" s="4">
        <v>0.9</v>
      </c>
      <c r="K1001" s="5">
        <v>0</v>
      </c>
      <c r="L1001" s="5">
        <v>100</v>
      </c>
      <c r="M1001" s="5">
        <v>0</v>
      </c>
      <c r="N1001" s="5">
        <v>100</v>
      </c>
      <c r="O1001" s="2">
        <v>0.79850769621777162</v>
      </c>
      <c r="P1001" s="2">
        <v>4.7628048989254941E-2</v>
      </c>
      <c r="Q1001" s="2">
        <v>1.2552660987134867</v>
      </c>
      <c r="R1001" s="2">
        <v>0.10536051565782628</v>
      </c>
    </row>
    <row r="1002" spans="1:18" x14ac:dyDescent="0.3">
      <c r="P1002" s="2"/>
    </row>
  </sheetData>
  <sortState xmlns:xlrd2="http://schemas.microsoft.com/office/spreadsheetml/2017/richdata2" ref="A2:R1002">
    <sortCondition ref="E2:E1002"/>
    <sortCondition ref="F2:F1002"/>
  </sortState>
  <conditionalFormatting sqref="E2:E1001">
    <cfRule type="containsText" dxfId="7" priority="10" operator="containsText" text="11">
      <formula>NOT(ISERROR(SEARCH("11",E2)))</formula>
    </cfRule>
    <cfRule type="containsText" dxfId="6" priority="11" operator="containsText" text="10">
      <formula>NOT(ISERROR(SEARCH("10",E2)))</formula>
    </cfRule>
    <cfRule type="containsText" dxfId="5" priority="12" operator="containsText" text="01">
      <formula>NOT(ISERROR(SEARCH("01",E2)))</formula>
    </cfRule>
    <cfRule type="containsText" dxfId="4" priority="13" operator="containsText" text="00">
      <formula>NOT(ISERROR(SEARCH("00",E2)))</formula>
    </cfRule>
  </conditionalFormatting>
  <conditionalFormatting sqref="O1002:R1048576">
    <cfRule type="colorScale" priority="2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conditionalFormatting sqref="F1002:F1048576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2:N1048576">
    <cfRule type="colorScale" priority="624">
      <colorScale>
        <cfvo type="min"/>
        <cfvo type="max"/>
        <color theme="0" tint="-0.14999847407452621"/>
        <color theme="4" tint="0.39997558519241921"/>
      </colorScale>
    </cfRule>
    <cfRule type="colorScale" priority="625">
      <colorScale>
        <cfvo type="min"/>
        <cfvo type="max"/>
        <color theme="0" tint="-4.9989318521683403E-2"/>
        <color rgb="FF7030A0"/>
      </colorScale>
    </cfRule>
  </conditionalFormatting>
  <conditionalFormatting sqref="O2:R1001">
    <cfRule type="colorScale" priority="62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62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2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62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799-75C6-43C6-88F4-922132219BAA}">
  <dimension ref="A1:R1002"/>
  <sheetViews>
    <sheetView zoomScaleNormal="10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77734375" style="7" bestFit="1" customWidth="1"/>
    <col min="2" max="2" width="5.6640625" style="7" bestFit="1" customWidth="1"/>
    <col min="3" max="4" width="1.77734375" style="5" bestFit="1" customWidth="1"/>
    <col min="5" max="5" width="2.77734375" style="9" bestFit="1" customWidth="1"/>
    <col min="6" max="6" width="7.88671875" style="20" bestFit="1" customWidth="1"/>
    <col min="7" max="10" width="7.44140625" style="4" customWidth="1"/>
    <col min="11" max="14" width="7.109375" style="3" customWidth="1"/>
    <col min="15" max="18" width="7.21875" customWidth="1"/>
  </cols>
  <sheetData>
    <row r="1" spans="1:18" s="10" customFormat="1" x14ac:dyDescent="0.3">
      <c r="A1" s="6" t="s">
        <v>0</v>
      </c>
      <c r="B1" s="6" t="s">
        <v>2</v>
      </c>
      <c r="C1" s="6" t="s">
        <v>3</v>
      </c>
      <c r="D1" s="6" t="s">
        <v>4</v>
      </c>
      <c r="E1" s="8" t="s">
        <v>32</v>
      </c>
      <c r="F1" s="8" t="s">
        <v>5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  <c r="O1" s="10" t="s">
        <v>18</v>
      </c>
      <c r="P1" s="10" t="s">
        <v>19</v>
      </c>
      <c r="Q1" s="10" t="s">
        <v>20</v>
      </c>
      <c r="R1" s="10" t="s">
        <v>21</v>
      </c>
    </row>
    <row r="2" spans="1:18" x14ac:dyDescent="0.3">
      <c r="A2" s="7">
        <v>677</v>
      </c>
      <c r="B2" s="7">
        <v>499</v>
      </c>
      <c r="C2" s="7">
        <v>0</v>
      </c>
      <c r="D2" s="7">
        <v>0</v>
      </c>
      <c r="E2" s="20" t="str">
        <f t="shared" ref="E2:E65" si="0">_xlfn.CONCAT(C2,D2)</f>
        <v>00</v>
      </c>
      <c r="F2" s="21">
        <v>4.6427987700933799E-4</v>
      </c>
      <c r="G2" s="4">
        <v>0.66200000000000003</v>
      </c>
      <c r="H2" s="4">
        <v>0.50439882697947203</v>
      </c>
      <c r="I2" s="4">
        <v>0</v>
      </c>
      <c r="J2" s="4">
        <v>0</v>
      </c>
      <c r="K2" s="5">
        <v>0</v>
      </c>
      <c r="L2" s="5">
        <v>0</v>
      </c>
      <c r="M2" s="5">
        <v>100</v>
      </c>
      <c r="N2" s="5">
        <v>100</v>
      </c>
      <c r="O2" s="2">
        <v>1.0847093834991184</v>
      </c>
      <c r="P2" s="2">
        <v>0.70198376236044313</v>
      </c>
      <c r="Q2" s="2">
        <v>1.0000050000287824E-5</v>
      </c>
      <c r="R2" s="2">
        <v>1.0000050000287824E-5</v>
      </c>
    </row>
    <row r="3" spans="1:18" x14ac:dyDescent="0.3">
      <c r="A3" s="7">
        <v>454</v>
      </c>
      <c r="B3" s="7">
        <v>497</v>
      </c>
      <c r="C3" s="7">
        <v>0</v>
      </c>
      <c r="D3" s="7">
        <v>0</v>
      </c>
      <c r="E3" s="20" t="str">
        <f t="shared" si="0"/>
        <v>00</v>
      </c>
      <c r="F3" s="21">
        <v>1.18015366799046E-3</v>
      </c>
      <c r="G3" s="4">
        <v>0.45300000000000001</v>
      </c>
      <c r="H3" s="4">
        <v>0.376470588235294</v>
      </c>
      <c r="I3" s="4">
        <v>0</v>
      </c>
      <c r="J3" s="4">
        <v>0</v>
      </c>
      <c r="K3" s="5">
        <v>100</v>
      </c>
      <c r="L3" s="5">
        <v>100</v>
      </c>
      <c r="M3" s="5">
        <v>100</v>
      </c>
      <c r="N3" s="5">
        <v>100</v>
      </c>
      <c r="O3" s="2">
        <v>0.60330647656015601</v>
      </c>
      <c r="P3" s="2">
        <v>0.47235934293819443</v>
      </c>
      <c r="Q3" s="2">
        <v>1.0000050000287824E-5</v>
      </c>
      <c r="R3" s="2">
        <v>1.0000050000287824E-5</v>
      </c>
    </row>
    <row r="4" spans="1:18" x14ac:dyDescent="0.3">
      <c r="A4" s="7">
        <v>45</v>
      </c>
      <c r="B4" s="7">
        <v>500</v>
      </c>
      <c r="C4" s="7">
        <v>0</v>
      </c>
      <c r="D4" s="7">
        <v>0</v>
      </c>
      <c r="E4" s="20" t="str">
        <f t="shared" si="0"/>
        <v>00</v>
      </c>
      <c r="F4" s="21">
        <v>1.2311750992595101E-3</v>
      </c>
      <c r="G4" s="4">
        <v>0.498</v>
      </c>
      <c r="H4" s="4">
        <v>0.42401960784313703</v>
      </c>
      <c r="I4" s="4">
        <v>0</v>
      </c>
      <c r="J4" s="4">
        <v>0</v>
      </c>
      <c r="K4" s="5">
        <v>100</v>
      </c>
      <c r="L4" s="5">
        <v>100</v>
      </c>
      <c r="M4" s="5">
        <v>100</v>
      </c>
      <c r="N4" s="5">
        <v>100</v>
      </c>
      <c r="O4" s="2">
        <v>0.68915515929040783</v>
      </c>
      <c r="P4" s="2">
        <v>0.55168166026000243</v>
      </c>
      <c r="Q4" s="2">
        <v>1.0000050000287824E-5</v>
      </c>
      <c r="R4" s="2">
        <v>1.0000050000287824E-5</v>
      </c>
    </row>
    <row r="5" spans="1:18" x14ac:dyDescent="0.3">
      <c r="A5" s="7">
        <v>662</v>
      </c>
      <c r="B5" s="7">
        <v>495</v>
      </c>
      <c r="C5" s="7">
        <v>0</v>
      </c>
      <c r="D5" s="7">
        <v>0</v>
      </c>
      <c r="E5" s="20" t="str">
        <f t="shared" si="0"/>
        <v>00</v>
      </c>
      <c r="F5" s="21">
        <v>2.8917881709993399E-3</v>
      </c>
      <c r="G5" s="4">
        <v>0.55800000000000005</v>
      </c>
      <c r="H5" s="4">
        <v>0.464622641509434</v>
      </c>
      <c r="I5" s="4">
        <v>0</v>
      </c>
      <c r="J5" s="4">
        <v>2E-3</v>
      </c>
      <c r="K5" s="5">
        <v>0</v>
      </c>
      <c r="L5" s="5">
        <v>100</v>
      </c>
      <c r="M5" s="5">
        <v>100</v>
      </c>
      <c r="N5" s="5">
        <v>100</v>
      </c>
      <c r="O5" s="2">
        <v>0.81644539690443907</v>
      </c>
      <c r="P5" s="2">
        <v>0.62478343775055512</v>
      </c>
      <c r="Q5" s="2">
        <v>1.0000050000287824E-5</v>
      </c>
      <c r="R5" s="2">
        <v>2.0020026706730793E-3</v>
      </c>
    </row>
    <row r="6" spans="1:18" x14ac:dyDescent="0.3">
      <c r="A6" s="7">
        <v>452</v>
      </c>
      <c r="B6" s="7">
        <v>493</v>
      </c>
      <c r="C6" s="7">
        <v>0</v>
      </c>
      <c r="D6" s="7">
        <v>0</v>
      </c>
      <c r="E6" s="20" t="str">
        <f t="shared" si="0"/>
        <v>00</v>
      </c>
      <c r="F6" s="21">
        <v>3.9705952915910399E-3</v>
      </c>
      <c r="G6" s="4">
        <v>0.54700000000000004</v>
      </c>
      <c r="H6" s="4">
        <v>0.458937198067633</v>
      </c>
      <c r="I6" s="4">
        <v>1E-3</v>
      </c>
      <c r="J6" s="4">
        <v>0</v>
      </c>
      <c r="K6" s="5">
        <v>0</v>
      </c>
      <c r="L6" s="5">
        <v>100</v>
      </c>
      <c r="M6" s="5">
        <v>100</v>
      </c>
      <c r="N6" s="5">
        <v>100</v>
      </c>
      <c r="O6" s="2">
        <v>0.79186315349910308</v>
      </c>
      <c r="P6" s="2">
        <v>0.61421992197027486</v>
      </c>
      <c r="Q6" s="2">
        <v>1.0005003335835344E-3</v>
      </c>
      <c r="R6" s="2">
        <v>1.0000050000287824E-5</v>
      </c>
    </row>
    <row r="7" spans="1:18" x14ac:dyDescent="0.3">
      <c r="A7" s="7">
        <v>293</v>
      </c>
      <c r="B7" s="7">
        <v>489</v>
      </c>
      <c r="C7" s="7">
        <v>0</v>
      </c>
      <c r="D7" s="7">
        <v>0</v>
      </c>
      <c r="E7" s="20" t="str">
        <f t="shared" si="0"/>
        <v>00</v>
      </c>
      <c r="F7" s="21">
        <v>7.04260455197261E-3</v>
      </c>
      <c r="G7" s="4">
        <v>0.437</v>
      </c>
      <c r="H7" s="4">
        <v>0.33333333333333298</v>
      </c>
      <c r="I7" s="4">
        <v>2E-3</v>
      </c>
      <c r="J7" s="4">
        <v>1E-3</v>
      </c>
      <c r="K7" s="5">
        <v>100</v>
      </c>
      <c r="L7" s="5">
        <v>100</v>
      </c>
      <c r="M7" s="5">
        <v>100</v>
      </c>
      <c r="N7" s="5">
        <v>100</v>
      </c>
      <c r="O7" s="2">
        <v>0.57447565084244678</v>
      </c>
      <c r="P7" s="2">
        <v>0.40546510810816394</v>
      </c>
      <c r="Q7" s="2">
        <v>2.0020026706730793E-3</v>
      </c>
      <c r="R7" s="2">
        <v>1.0005003335835344E-3</v>
      </c>
    </row>
    <row r="8" spans="1:18" x14ac:dyDescent="0.3">
      <c r="A8" s="7">
        <v>349</v>
      </c>
      <c r="B8" s="7">
        <v>489</v>
      </c>
      <c r="C8" s="7">
        <v>0</v>
      </c>
      <c r="D8" s="7">
        <v>0</v>
      </c>
      <c r="E8" s="20" t="str">
        <f t="shared" si="0"/>
        <v>00</v>
      </c>
      <c r="F8" s="21">
        <v>7.5954208294711101E-3</v>
      </c>
      <c r="G8" s="4">
        <v>0.52800000000000002</v>
      </c>
      <c r="H8" s="4">
        <v>0.42298288508557502</v>
      </c>
      <c r="I8" s="4">
        <v>1E-3</v>
      </c>
      <c r="J8" s="4">
        <v>1E-3</v>
      </c>
      <c r="K8" s="5">
        <v>0</v>
      </c>
      <c r="L8" s="5">
        <v>100</v>
      </c>
      <c r="M8" s="5">
        <v>100</v>
      </c>
      <c r="N8" s="5">
        <v>100</v>
      </c>
      <c r="O8" s="2">
        <v>0.7507762933965817</v>
      </c>
      <c r="P8" s="2">
        <v>0.54988335101719243</v>
      </c>
      <c r="Q8" s="2">
        <v>1.0005003335835344E-3</v>
      </c>
      <c r="R8" s="2">
        <v>1.0005003335835344E-3</v>
      </c>
    </row>
    <row r="9" spans="1:18" x14ac:dyDescent="0.3">
      <c r="A9" s="7">
        <v>469</v>
      </c>
      <c r="B9" s="7">
        <v>490</v>
      </c>
      <c r="C9" s="7">
        <v>0</v>
      </c>
      <c r="D9" s="7">
        <v>0</v>
      </c>
      <c r="E9" s="20" t="str">
        <f t="shared" si="0"/>
        <v>00</v>
      </c>
      <c r="F9" s="21">
        <v>7.9049062672634802E-3</v>
      </c>
      <c r="G9" s="4">
        <v>0.53100000000000003</v>
      </c>
      <c r="H9" s="4">
        <v>0.40547263681592</v>
      </c>
      <c r="I9" s="4">
        <v>0</v>
      </c>
      <c r="J9" s="4">
        <v>1E-3</v>
      </c>
      <c r="K9" s="5">
        <v>0</v>
      </c>
      <c r="L9" s="5">
        <v>100</v>
      </c>
      <c r="M9" s="5">
        <v>100</v>
      </c>
      <c r="N9" s="5">
        <v>100</v>
      </c>
      <c r="O9" s="2">
        <v>0.75715251053585775</v>
      </c>
      <c r="P9" s="2">
        <v>0.51998853668750977</v>
      </c>
      <c r="Q9" s="2">
        <v>1.0000050000287824E-5</v>
      </c>
      <c r="R9" s="2">
        <v>1.0005003335835344E-3</v>
      </c>
    </row>
    <row r="10" spans="1:18" x14ac:dyDescent="0.3">
      <c r="A10" s="7">
        <v>823</v>
      </c>
      <c r="B10" s="7">
        <v>486</v>
      </c>
      <c r="C10" s="7">
        <v>0</v>
      </c>
      <c r="D10" s="7">
        <v>0</v>
      </c>
      <c r="E10" s="20" t="str">
        <f t="shared" si="0"/>
        <v>00</v>
      </c>
      <c r="F10" s="21">
        <v>1.18714155804917E-2</v>
      </c>
      <c r="G10" s="4">
        <v>0.56499999999999995</v>
      </c>
      <c r="H10" s="4">
        <v>0.48129675810473799</v>
      </c>
      <c r="I10" s="4">
        <v>2E-3</v>
      </c>
      <c r="J10" s="4">
        <v>6.0000000000000001E-3</v>
      </c>
      <c r="K10" s="5">
        <v>0</v>
      </c>
      <c r="L10" s="5">
        <v>100</v>
      </c>
      <c r="M10" s="5">
        <v>100</v>
      </c>
      <c r="N10" s="5">
        <v>100</v>
      </c>
      <c r="O10" s="2">
        <v>0.83240924789345283</v>
      </c>
      <c r="P10" s="2">
        <v>0.65642334760525101</v>
      </c>
      <c r="Q10" s="2">
        <v>2.0020026706730793E-3</v>
      </c>
      <c r="R10" s="2">
        <v>6.0180723255630212E-3</v>
      </c>
    </row>
    <row r="11" spans="1:18" x14ac:dyDescent="0.3">
      <c r="A11" s="7">
        <v>776</v>
      </c>
      <c r="B11" s="7">
        <v>487</v>
      </c>
      <c r="C11" s="7">
        <v>0</v>
      </c>
      <c r="D11" s="7">
        <v>0</v>
      </c>
      <c r="E11" s="20" t="str">
        <f t="shared" si="0"/>
        <v>00</v>
      </c>
      <c r="F11" s="21">
        <v>1.2875138731076E-2</v>
      </c>
      <c r="G11" s="4">
        <v>0.43099999999999999</v>
      </c>
      <c r="H11" s="4">
        <v>0.375</v>
      </c>
      <c r="I11" s="4">
        <v>0</v>
      </c>
      <c r="J11" s="4">
        <v>3.0000000000000001E-3</v>
      </c>
      <c r="K11" s="5">
        <v>100</v>
      </c>
      <c r="L11" s="5">
        <v>100</v>
      </c>
      <c r="M11" s="5">
        <v>100</v>
      </c>
      <c r="N11" s="5">
        <v>100</v>
      </c>
      <c r="O11" s="2">
        <v>0.56387484485580619</v>
      </c>
      <c r="P11" s="2">
        <v>0.47000362924573558</v>
      </c>
      <c r="Q11" s="2">
        <v>1.0000050000287824E-5</v>
      </c>
      <c r="R11" s="2">
        <v>3.0045090202987243E-3</v>
      </c>
    </row>
    <row r="12" spans="1:18" x14ac:dyDescent="0.3">
      <c r="A12" s="7">
        <v>992</v>
      </c>
      <c r="B12" s="7">
        <v>478</v>
      </c>
      <c r="C12" s="7">
        <v>0</v>
      </c>
      <c r="D12" s="7">
        <v>0</v>
      </c>
      <c r="E12" s="20" t="str">
        <f t="shared" si="0"/>
        <v>00</v>
      </c>
      <c r="F12" s="21">
        <v>1.3990315433934E-2</v>
      </c>
      <c r="G12" s="4">
        <v>0.61599999999999999</v>
      </c>
      <c r="H12" s="4">
        <v>0.47337278106508901</v>
      </c>
      <c r="I12" s="4">
        <v>4.0000000000000001E-3</v>
      </c>
      <c r="J12" s="4">
        <v>5.0000000000000001E-3</v>
      </c>
      <c r="K12" s="5">
        <v>0</v>
      </c>
      <c r="L12" s="5">
        <v>100</v>
      </c>
      <c r="M12" s="5">
        <v>100</v>
      </c>
      <c r="N12" s="5">
        <v>100</v>
      </c>
      <c r="O12" s="2">
        <v>0.95711272639441014</v>
      </c>
      <c r="P12" s="2">
        <v>0.64126234519093406</v>
      </c>
      <c r="Q12" s="2">
        <v>4.0080213975388218E-3</v>
      </c>
      <c r="R12" s="2">
        <v>5.0125418235442863E-3</v>
      </c>
    </row>
    <row r="13" spans="1:18" x14ac:dyDescent="0.3">
      <c r="A13" s="7">
        <v>353</v>
      </c>
      <c r="B13" s="7">
        <v>488</v>
      </c>
      <c r="C13" s="7">
        <v>0</v>
      </c>
      <c r="D13" s="7">
        <v>0</v>
      </c>
      <c r="E13" s="20" t="str">
        <f t="shared" si="0"/>
        <v>00</v>
      </c>
      <c r="F13" s="21">
        <v>1.65619813189582E-2</v>
      </c>
      <c r="G13" s="4">
        <v>0.628</v>
      </c>
      <c r="H13" s="4">
        <v>0.45325779036827202</v>
      </c>
      <c r="I13" s="4">
        <v>2E-3</v>
      </c>
      <c r="J13" s="4">
        <v>6.0000000000000001E-3</v>
      </c>
      <c r="K13" s="5">
        <v>0</v>
      </c>
      <c r="L13" s="5">
        <v>100</v>
      </c>
      <c r="M13" s="5">
        <v>100</v>
      </c>
      <c r="N13" s="5">
        <v>100</v>
      </c>
      <c r="O13" s="2">
        <v>0.98886142470899052</v>
      </c>
      <c r="P13" s="2">
        <v>0.60377786802841127</v>
      </c>
      <c r="Q13" s="2">
        <v>2.0020026706730793E-3</v>
      </c>
      <c r="R13" s="2">
        <v>6.0180723255630212E-3</v>
      </c>
    </row>
    <row r="14" spans="1:18" x14ac:dyDescent="0.3">
      <c r="A14" s="7">
        <v>2</v>
      </c>
      <c r="B14" s="7">
        <v>479</v>
      </c>
      <c r="C14" s="7">
        <v>0</v>
      </c>
      <c r="D14" s="7">
        <v>0</v>
      </c>
      <c r="E14" s="20" t="str">
        <f t="shared" si="0"/>
        <v>00</v>
      </c>
      <c r="F14" s="21">
        <v>1.7446528130410199E-2</v>
      </c>
      <c r="G14" s="4">
        <v>0.64600000000000002</v>
      </c>
      <c r="H14" s="4">
        <v>0.51775147928994103</v>
      </c>
      <c r="I14" s="4">
        <v>3.0000000000000001E-3</v>
      </c>
      <c r="J14" s="4">
        <v>2E-3</v>
      </c>
      <c r="K14" s="5">
        <v>0</v>
      </c>
      <c r="L14" s="5">
        <v>0</v>
      </c>
      <c r="M14" s="5">
        <v>100</v>
      </c>
      <c r="N14" s="5">
        <v>100</v>
      </c>
      <c r="O14" s="2">
        <v>1.0384583658483626</v>
      </c>
      <c r="P14" s="2">
        <v>0.72929569467625688</v>
      </c>
      <c r="Q14" s="2">
        <v>3.0045090202987243E-3</v>
      </c>
      <c r="R14" s="2">
        <v>2.0020026706730793E-3</v>
      </c>
    </row>
    <row r="15" spans="1:18" x14ac:dyDescent="0.3">
      <c r="A15" s="7">
        <v>61</v>
      </c>
      <c r="B15" s="7">
        <v>490</v>
      </c>
      <c r="C15" s="7">
        <v>0</v>
      </c>
      <c r="D15" s="7">
        <v>0</v>
      </c>
      <c r="E15" s="20" t="str">
        <f t="shared" si="0"/>
        <v>00</v>
      </c>
      <c r="F15" s="21">
        <v>1.8830321432275799E-2</v>
      </c>
      <c r="G15" s="4">
        <v>0.46700000000000003</v>
      </c>
      <c r="H15" s="4">
        <v>0.34844868735083501</v>
      </c>
      <c r="I15" s="4">
        <v>2E-3</v>
      </c>
      <c r="J15" s="4">
        <v>2E-3</v>
      </c>
      <c r="K15" s="5">
        <v>100</v>
      </c>
      <c r="L15" s="5">
        <v>100</v>
      </c>
      <c r="M15" s="5">
        <v>100</v>
      </c>
      <c r="N15" s="5">
        <v>100</v>
      </c>
      <c r="O15" s="2">
        <v>0.62923385481629268</v>
      </c>
      <c r="P15" s="2">
        <v>0.42839912473717751</v>
      </c>
      <c r="Q15" s="2">
        <v>2.0020026706730793E-3</v>
      </c>
      <c r="R15" s="2">
        <v>2.0020026706730793E-3</v>
      </c>
    </row>
    <row r="16" spans="1:18" x14ac:dyDescent="0.3">
      <c r="A16" s="7">
        <v>428</v>
      </c>
      <c r="B16" s="7">
        <v>476</v>
      </c>
      <c r="C16" s="7">
        <v>0</v>
      </c>
      <c r="D16" s="7">
        <v>0</v>
      </c>
      <c r="E16" s="20" t="str">
        <f t="shared" si="0"/>
        <v>00</v>
      </c>
      <c r="F16" s="21">
        <v>2.4142532843665101E-2</v>
      </c>
      <c r="G16" s="4">
        <v>0.48099999999999998</v>
      </c>
      <c r="H16" s="4">
        <v>0.36803874092009697</v>
      </c>
      <c r="I16" s="4">
        <v>4.2999999999999997E-2</v>
      </c>
      <c r="J16" s="4">
        <v>8.9999999999999993E-3</v>
      </c>
      <c r="K16" s="5">
        <v>100</v>
      </c>
      <c r="L16" s="5">
        <v>100</v>
      </c>
      <c r="M16" s="5">
        <v>100</v>
      </c>
      <c r="N16" s="5">
        <v>100</v>
      </c>
      <c r="O16" s="2">
        <v>0.65585139581624841</v>
      </c>
      <c r="P16" s="2">
        <v>0.45892718563833945</v>
      </c>
      <c r="Q16" s="2">
        <v>4.3951887529182831E-2</v>
      </c>
      <c r="R16" s="2">
        <v>9.0407446521490707E-3</v>
      </c>
    </row>
    <row r="17" spans="1:18" x14ac:dyDescent="0.3">
      <c r="A17" s="7">
        <v>233</v>
      </c>
      <c r="B17" s="7">
        <v>480</v>
      </c>
      <c r="C17" s="7">
        <v>0</v>
      </c>
      <c r="D17" s="7">
        <v>0</v>
      </c>
      <c r="E17" s="20" t="str">
        <f t="shared" si="0"/>
        <v>00</v>
      </c>
      <c r="F17" s="21">
        <v>2.4650719734527E-2</v>
      </c>
      <c r="G17" s="4">
        <v>0.498</v>
      </c>
      <c r="H17" s="4">
        <v>0.36249999999999999</v>
      </c>
      <c r="I17" s="4">
        <v>3.0000000000000001E-3</v>
      </c>
      <c r="J17" s="4">
        <v>5.0000000000000001E-3</v>
      </c>
      <c r="K17" s="5">
        <v>100</v>
      </c>
      <c r="L17" s="5">
        <v>100</v>
      </c>
      <c r="M17" s="5">
        <v>100</v>
      </c>
      <c r="N17" s="5">
        <v>100</v>
      </c>
      <c r="O17" s="2">
        <v>0.68915515929040783</v>
      </c>
      <c r="P17" s="2">
        <v>0.45020100194955592</v>
      </c>
      <c r="Q17" s="2">
        <v>3.0045090202987243E-3</v>
      </c>
      <c r="R17" s="2">
        <v>5.0125418235442863E-3</v>
      </c>
    </row>
    <row r="18" spans="1:18" x14ac:dyDescent="0.3">
      <c r="A18" s="7">
        <v>342</v>
      </c>
      <c r="B18" s="7">
        <v>477</v>
      </c>
      <c r="C18" s="7">
        <v>0</v>
      </c>
      <c r="D18" s="7">
        <v>0</v>
      </c>
      <c r="E18" s="20" t="str">
        <f t="shared" si="0"/>
        <v>00</v>
      </c>
      <c r="F18" s="21">
        <v>2.66489455684558E-2</v>
      </c>
      <c r="G18" s="4">
        <v>0.53</v>
      </c>
      <c r="H18" s="4">
        <v>0.40302267002518899</v>
      </c>
      <c r="I18" s="4">
        <v>3.0000000000000001E-3</v>
      </c>
      <c r="J18" s="4">
        <v>6.0000000000000001E-3</v>
      </c>
      <c r="K18" s="5">
        <v>0</v>
      </c>
      <c r="L18" s="5">
        <v>100</v>
      </c>
      <c r="M18" s="5">
        <v>100</v>
      </c>
      <c r="N18" s="5">
        <v>100</v>
      </c>
      <c r="O18" s="2">
        <v>0.75502258427803282</v>
      </c>
      <c r="P18" s="2">
        <v>0.51587613955205935</v>
      </c>
      <c r="Q18" s="2">
        <v>3.0045090202987243E-3</v>
      </c>
      <c r="R18" s="2">
        <v>6.0180723255630212E-3</v>
      </c>
    </row>
    <row r="19" spans="1:18" x14ac:dyDescent="0.3">
      <c r="A19" s="7">
        <v>423</v>
      </c>
      <c r="B19" s="7">
        <v>472</v>
      </c>
      <c r="C19" s="7">
        <v>0</v>
      </c>
      <c r="D19" s="7">
        <v>0</v>
      </c>
      <c r="E19" s="20" t="str">
        <f t="shared" si="0"/>
        <v>00</v>
      </c>
      <c r="F19" s="21">
        <v>2.8014293660076701E-2</v>
      </c>
      <c r="G19" s="4">
        <v>0.56100000000000005</v>
      </c>
      <c r="H19" s="4">
        <v>0.40425531914893598</v>
      </c>
      <c r="I19" s="4">
        <v>2.1000000000000001E-2</v>
      </c>
      <c r="J19" s="4">
        <v>2.3E-2</v>
      </c>
      <c r="K19" s="5">
        <v>0</v>
      </c>
      <c r="L19" s="5">
        <v>100</v>
      </c>
      <c r="M19" s="5">
        <v>100</v>
      </c>
      <c r="N19" s="5">
        <v>100</v>
      </c>
      <c r="O19" s="2">
        <v>0.82325586590696587</v>
      </c>
      <c r="P19" s="2">
        <v>0.51794309153485429</v>
      </c>
      <c r="Q19" s="2">
        <v>2.1223636451626688E-2</v>
      </c>
      <c r="R19" s="2">
        <v>2.3268626939354331E-2</v>
      </c>
    </row>
    <row r="20" spans="1:18" x14ac:dyDescent="0.3">
      <c r="A20" s="7">
        <v>309</v>
      </c>
      <c r="B20" s="7">
        <v>483</v>
      </c>
      <c r="C20" s="7">
        <v>0</v>
      </c>
      <c r="D20" s="7">
        <v>0</v>
      </c>
      <c r="E20" s="20" t="str">
        <f t="shared" si="0"/>
        <v>00</v>
      </c>
      <c r="F20" s="21">
        <v>3.1574908173065297E-2</v>
      </c>
      <c r="G20" s="4">
        <v>0.55100000000000005</v>
      </c>
      <c r="H20" s="4">
        <v>0.46904761904761899</v>
      </c>
      <c r="I20" s="4">
        <v>8.0000000000000002E-3</v>
      </c>
      <c r="J20" s="4">
        <v>4.0000000000000001E-3</v>
      </c>
      <c r="K20" s="5">
        <v>0</v>
      </c>
      <c r="L20" s="5">
        <v>100</v>
      </c>
      <c r="M20" s="5">
        <v>100</v>
      </c>
      <c r="N20" s="5">
        <v>100</v>
      </c>
      <c r="O20" s="2">
        <v>0.80073239123988282</v>
      </c>
      <c r="P20" s="2">
        <v>0.63308293981729502</v>
      </c>
      <c r="Q20" s="2">
        <v>8.0321716972642666E-3</v>
      </c>
      <c r="R20" s="2">
        <v>4.0080213975388218E-3</v>
      </c>
    </row>
    <row r="21" spans="1:18" x14ac:dyDescent="0.3">
      <c r="A21" s="7">
        <v>130</v>
      </c>
      <c r="B21" s="7">
        <v>464</v>
      </c>
      <c r="C21" s="7">
        <v>0</v>
      </c>
      <c r="D21" s="7">
        <v>0</v>
      </c>
      <c r="E21" s="20" t="str">
        <f t="shared" si="0"/>
        <v>00</v>
      </c>
      <c r="F21" s="21">
        <v>3.3044423250242302E-2</v>
      </c>
      <c r="G21" s="4">
        <v>0.46899999999999997</v>
      </c>
      <c r="H21" s="4">
        <v>0.34848484848484901</v>
      </c>
      <c r="I21" s="4">
        <v>6.0000000000000001E-3</v>
      </c>
      <c r="J21" s="4">
        <v>6.0000000000000001E-3</v>
      </c>
      <c r="K21" s="5">
        <v>100</v>
      </c>
      <c r="L21" s="5">
        <v>100</v>
      </c>
      <c r="M21" s="5">
        <v>100</v>
      </c>
      <c r="N21" s="5">
        <v>100</v>
      </c>
      <c r="O21" s="2">
        <v>0.63299325774019821</v>
      </c>
      <c r="P21" s="2">
        <v>0.42845462633286402</v>
      </c>
      <c r="Q21" s="2">
        <v>6.0180723255630212E-3</v>
      </c>
      <c r="R21" s="2">
        <v>6.0180723255630212E-3</v>
      </c>
    </row>
    <row r="22" spans="1:18" x14ac:dyDescent="0.3">
      <c r="A22" s="7">
        <v>752</v>
      </c>
      <c r="B22" s="7">
        <v>461</v>
      </c>
      <c r="C22" s="7">
        <v>0</v>
      </c>
      <c r="D22" s="7">
        <v>0</v>
      </c>
      <c r="E22" s="20" t="str">
        <f t="shared" si="0"/>
        <v>00</v>
      </c>
      <c r="F22" s="21">
        <v>3.3892682257500799E-2</v>
      </c>
      <c r="G22" s="4">
        <v>0.55100000000000005</v>
      </c>
      <c r="H22" s="4">
        <v>0.44887780548628398</v>
      </c>
      <c r="I22" s="4">
        <v>3.0000000000000001E-3</v>
      </c>
      <c r="J22" s="4">
        <v>1.7000000000000001E-2</v>
      </c>
      <c r="K22" s="5">
        <v>0</v>
      </c>
      <c r="L22" s="5">
        <v>100</v>
      </c>
      <c r="M22" s="5">
        <v>100</v>
      </c>
      <c r="N22" s="5">
        <v>100</v>
      </c>
      <c r="O22" s="2">
        <v>0.80073239123988282</v>
      </c>
      <c r="P22" s="2">
        <v>0.59579872578881576</v>
      </c>
      <c r="Q22" s="2">
        <v>3.0045090202987243E-3</v>
      </c>
      <c r="R22" s="2">
        <v>1.7146158834970514E-2</v>
      </c>
    </row>
    <row r="23" spans="1:18" x14ac:dyDescent="0.3">
      <c r="A23" s="7">
        <v>70</v>
      </c>
      <c r="B23" s="7">
        <v>463</v>
      </c>
      <c r="C23" s="7">
        <v>0</v>
      </c>
      <c r="D23" s="7">
        <v>0</v>
      </c>
      <c r="E23" s="20" t="str">
        <f t="shared" si="0"/>
        <v>00</v>
      </c>
      <c r="F23" s="21">
        <v>3.3942016362998699E-2</v>
      </c>
      <c r="G23" s="4">
        <v>0.55300000000000005</v>
      </c>
      <c r="H23" s="4">
        <v>0.40703517587939703</v>
      </c>
      <c r="I23" s="4">
        <v>5.0000000000000001E-3</v>
      </c>
      <c r="J23" s="4">
        <v>5.0000000000000001E-3</v>
      </c>
      <c r="K23" s="5">
        <v>0</v>
      </c>
      <c r="L23" s="5">
        <v>100</v>
      </c>
      <c r="M23" s="5">
        <v>100</v>
      </c>
      <c r="N23" s="5">
        <v>100</v>
      </c>
      <c r="O23" s="2">
        <v>0.80519668436856828</v>
      </c>
      <c r="P23" s="2">
        <v>0.52262020025882783</v>
      </c>
      <c r="Q23" s="2">
        <v>5.0125418235442863E-3</v>
      </c>
      <c r="R23" s="2">
        <v>5.0125418235442863E-3</v>
      </c>
    </row>
    <row r="24" spans="1:18" x14ac:dyDescent="0.3">
      <c r="A24" s="7">
        <v>31</v>
      </c>
      <c r="B24" s="7">
        <v>460</v>
      </c>
      <c r="C24" s="7">
        <v>0</v>
      </c>
      <c r="D24" s="7">
        <v>0</v>
      </c>
      <c r="E24" s="20" t="str">
        <f t="shared" si="0"/>
        <v>00</v>
      </c>
      <c r="F24" s="21">
        <v>3.6397137564788698E-2</v>
      </c>
      <c r="G24" s="4">
        <v>0.49299999999999999</v>
      </c>
      <c r="H24" s="4">
        <v>0.36760925449871501</v>
      </c>
      <c r="I24" s="4">
        <v>5.0000000000000001E-3</v>
      </c>
      <c r="J24" s="4">
        <v>8.9999999999999993E-3</v>
      </c>
      <c r="K24" s="5">
        <v>100</v>
      </c>
      <c r="L24" s="5">
        <v>100</v>
      </c>
      <c r="M24" s="5">
        <v>100</v>
      </c>
      <c r="N24" s="5">
        <v>100</v>
      </c>
      <c r="O24" s="2">
        <v>0.67924427539095389</v>
      </c>
      <c r="P24" s="2">
        <v>0.45824780768608414</v>
      </c>
      <c r="Q24" s="2">
        <v>5.0125418235442863E-3</v>
      </c>
      <c r="R24" s="2">
        <v>9.0407446521490707E-3</v>
      </c>
    </row>
    <row r="25" spans="1:18" x14ac:dyDescent="0.3">
      <c r="A25" s="7">
        <v>105</v>
      </c>
      <c r="B25" s="7">
        <v>455</v>
      </c>
      <c r="C25" s="7">
        <v>0</v>
      </c>
      <c r="D25" s="7">
        <v>0</v>
      </c>
      <c r="E25" s="20" t="str">
        <f t="shared" si="0"/>
        <v>00</v>
      </c>
      <c r="F25" s="21">
        <v>3.9056941229651601E-2</v>
      </c>
      <c r="G25" s="4">
        <v>0.65400000000000003</v>
      </c>
      <c r="H25" s="4">
        <v>0.50264550264550301</v>
      </c>
      <c r="I25" s="4">
        <v>6.0000000000000001E-3</v>
      </c>
      <c r="J25" s="4">
        <v>7.0000000000000001E-3</v>
      </c>
      <c r="K25" s="5">
        <v>0</v>
      </c>
      <c r="L25" s="5">
        <v>0</v>
      </c>
      <c r="M25" s="5">
        <v>100</v>
      </c>
      <c r="N25" s="5">
        <v>100</v>
      </c>
      <c r="O25" s="2">
        <v>1.0613165039244128</v>
      </c>
      <c r="P25" s="2">
        <v>0.69845223278963919</v>
      </c>
      <c r="Q25" s="2">
        <v>6.0180723255630212E-3</v>
      </c>
      <c r="R25" s="2">
        <v>7.0246149369644663E-3</v>
      </c>
    </row>
    <row r="26" spans="1:18" x14ac:dyDescent="0.3">
      <c r="A26" s="7">
        <v>17</v>
      </c>
      <c r="B26" s="7">
        <v>472</v>
      </c>
      <c r="C26" s="7">
        <v>0</v>
      </c>
      <c r="D26" s="7">
        <v>0</v>
      </c>
      <c r="E26" s="20" t="str">
        <f t="shared" si="0"/>
        <v>00</v>
      </c>
      <c r="F26" s="21">
        <v>4.0611108342568002E-2</v>
      </c>
      <c r="G26" s="4">
        <v>0.438</v>
      </c>
      <c r="H26" s="4">
        <v>0.35159817351598199</v>
      </c>
      <c r="I26" s="4">
        <v>6.0000000000000001E-3</v>
      </c>
      <c r="J26" s="4">
        <v>8.9999999999999993E-3</v>
      </c>
      <c r="K26" s="5">
        <v>100</v>
      </c>
      <c r="L26" s="5">
        <v>100</v>
      </c>
      <c r="M26" s="5">
        <v>100</v>
      </c>
      <c r="N26" s="5">
        <v>100</v>
      </c>
      <c r="O26" s="2">
        <v>0.5762534290884459</v>
      </c>
      <c r="P26" s="2">
        <v>0.43324467221524049</v>
      </c>
      <c r="Q26" s="2">
        <v>6.0180723255630212E-3</v>
      </c>
      <c r="R26" s="2">
        <v>9.0407446521490707E-3</v>
      </c>
    </row>
    <row r="27" spans="1:18" x14ac:dyDescent="0.3">
      <c r="A27" s="7">
        <v>869</v>
      </c>
      <c r="B27" s="7">
        <v>455</v>
      </c>
      <c r="C27" s="7">
        <v>0</v>
      </c>
      <c r="D27" s="7">
        <v>0</v>
      </c>
      <c r="E27" s="20" t="str">
        <f t="shared" si="0"/>
        <v>00</v>
      </c>
      <c r="F27" s="21">
        <v>4.0629280828388903E-2</v>
      </c>
      <c r="G27" s="4">
        <v>0.61399999999999999</v>
      </c>
      <c r="H27" s="4">
        <v>0.51645569620253196</v>
      </c>
      <c r="I27" s="4">
        <v>7.0000000000000001E-3</v>
      </c>
      <c r="J27" s="4">
        <v>5.0000000000000001E-3</v>
      </c>
      <c r="K27" s="5">
        <v>0</v>
      </c>
      <c r="L27" s="5">
        <v>0</v>
      </c>
      <c r="M27" s="5">
        <v>100</v>
      </c>
      <c r="N27" s="5">
        <v>100</v>
      </c>
      <c r="O27" s="2">
        <v>0.95191790951730615</v>
      </c>
      <c r="P27" s="2">
        <v>0.72661233685449267</v>
      </c>
      <c r="Q27" s="2">
        <v>7.0246149369644663E-3</v>
      </c>
      <c r="R27" s="2">
        <v>5.0125418235442863E-3</v>
      </c>
    </row>
    <row r="28" spans="1:18" x14ac:dyDescent="0.3">
      <c r="A28" s="7">
        <v>831</v>
      </c>
      <c r="B28" s="7">
        <v>468</v>
      </c>
      <c r="C28" s="7">
        <v>0</v>
      </c>
      <c r="D28" s="7">
        <v>0</v>
      </c>
      <c r="E28" s="20" t="str">
        <f t="shared" si="0"/>
        <v>00</v>
      </c>
      <c r="F28" s="21">
        <v>4.2015725166253397E-2</v>
      </c>
      <c r="G28" s="4">
        <v>0.55000000000000004</v>
      </c>
      <c r="H28" s="4">
        <v>0.39572192513368998</v>
      </c>
      <c r="I28" s="4">
        <v>4.0000000000000001E-3</v>
      </c>
      <c r="J28" s="4">
        <v>8.9999999999999993E-3</v>
      </c>
      <c r="K28" s="5">
        <v>0</v>
      </c>
      <c r="L28" s="5">
        <v>100</v>
      </c>
      <c r="M28" s="5">
        <v>100</v>
      </c>
      <c r="N28" s="5">
        <v>100</v>
      </c>
      <c r="O28" s="2">
        <v>0.79850769621777173</v>
      </c>
      <c r="P28" s="2">
        <v>0.50372079814224624</v>
      </c>
      <c r="Q28" s="2">
        <v>4.0080213975388218E-3</v>
      </c>
      <c r="R28" s="2">
        <v>9.0407446521490707E-3</v>
      </c>
    </row>
    <row r="29" spans="1:18" x14ac:dyDescent="0.3">
      <c r="A29" s="7">
        <v>566</v>
      </c>
      <c r="B29" s="7">
        <v>460</v>
      </c>
      <c r="C29" s="7">
        <v>0</v>
      </c>
      <c r="D29" s="7">
        <v>0</v>
      </c>
      <c r="E29" s="20" t="str">
        <f t="shared" si="0"/>
        <v>00</v>
      </c>
      <c r="F29" s="21">
        <v>4.4901761209066401E-2</v>
      </c>
      <c r="G29" s="4">
        <v>0.65300000000000002</v>
      </c>
      <c r="H29" s="4">
        <v>0.443768996960486</v>
      </c>
      <c r="I29" s="4">
        <v>1.6E-2</v>
      </c>
      <c r="J29" s="4">
        <v>1.6E-2</v>
      </c>
      <c r="K29" s="5">
        <v>0</v>
      </c>
      <c r="L29" s="5">
        <v>100</v>
      </c>
      <c r="M29" s="5">
        <v>100</v>
      </c>
      <c r="N29" s="5">
        <v>100</v>
      </c>
      <c r="O29" s="2">
        <v>1.058430499035278</v>
      </c>
      <c r="P29" s="2">
        <v>0.58657159792395042</v>
      </c>
      <c r="Q29" s="2">
        <v>1.6129381929883644E-2</v>
      </c>
      <c r="R29" s="2">
        <v>1.6129381929883644E-2</v>
      </c>
    </row>
    <row r="30" spans="1:18" x14ac:dyDescent="0.3">
      <c r="A30" s="7">
        <v>808</v>
      </c>
      <c r="B30" s="7">
        <v>469</v>
      </c>
      <c r="C30" s="7">
        <v>0</v>
      </c>
      <c r="D30" s="7">
        <v>0</v>
      </c>
      <c r="E30" s="20" t="str">
        <f t="shared" si="0"/>
        <v>00</v>
      </c>
      <c r="F30" s="21">
        <v>4.5827999201307798E-2</v>
      </c>
      <c r="G30" s="4">
        <v>0.65</v>
      </c>
      <c r="H30" s="4">
        <v>0.49303621169916401</v>
      </c>
      <c r="I30" s="4">
        <v>0.01</v>
      </c>
      <c r="J30" s="4">
        <v>8.0000000000000002E-3</v>
      </c>
      <c r="K30" s="5">
        <v>0</v>
      </c>
      <c r="L30" s="5">
        <v>100</v>
      </c>
      <c r="M30" s="5">
        <v>100</v>
      </c>
      <c r="N30" s="5">
        <v>100</v>
      </c>
      <c r="O30" s="2">
        <v>1.0498221244986778</v>
      </c>
      <c r="P30" s="2">
        <v>0.6793157014114829</v>
      </c>
      <c r="Q30" s="2">
        <v>1.0050335853501451E-2</v>
      </c>
      <c r="R30" s="2">
        <v>8.0321716972642666E-3</v>
      </c>
    </row>
    <row r="31" spans="1:18" x14ac:dyDescent="0.3">
      <c r="A31" s="7">
        <v>438</v>
      </c>
      <c r="B31" s="7">
        <v>469</v>
      </c>
      <c r="C31" s="7">
        <v>0</v>
      </c>
      <c r="D31" s="7">
        <v>0</v>
      </c>
      <c r="E31" s="20" t="str">
        <f t="shared" si="0"/>
        <v>00</v>
      </c>
      <c r="F31" s="21">
        <v>4.8267436300085002E-2</v>
      </c>
      <c r="G31" s="4">
        <v>0.32200000000000001</v>
      </c>
      <c r="H31" s="4">
        <v>0.27896995708154498</v>
      </c>
      <c r="I31" s="4">
        <v>2E-3</v>
      </c>
      <c r="J31" s="4">
        <v>1.4E-2</v>
      </c>
      <c r="K31" s="5">
        <v>100</v>
      </c>
      <c r="L31" s="5">
        <v>100</v>
      </c>
      <c r="M31" s="5">
        <v>100</v>
      </c>
      <c r="N31" s="5">
        <v>100</v>
      </c>
      <c r="O31" s="2">
        <v>0.3886079910417416</v>
      </c>
      <c r="P31" s="2">
        <v>0.32707447416244145</v>
      </c>
      <c r="Q31" s="2">
        <v>2.0020026706730793E-3</v>
      </c>
      <c r="R31" s="2">
        <v>1.4098924379501648E-2</v>
      </c>
    </row>
    <row r="32" spans="1:18" x14ac:dyDescent="0.3">
      <c r="A32" s="7">
        <v>518</v>
      </c>
      <c r="B32" s="7">
        <v>449</v>
      </c>
      <c r="C32" s="7">
        <v>0</v>
      </c>
      <c r="D32" s="7">
        <v>0</v>
      </c>
      <c r="E32" s="20" t="str">
        <f t="shared" si="0"/>
        <v>00</v>
      </c>
      <c r="F32" s="21">
        <v>4.9258501132444198E-2</v>
      </c>
      <c r="G32" s="4">
        <v>0.49</v>
      </c>
      <c r="H32" s="4">
        <v>0.4192037470726</v>
      </c>
      <c r="I32" s="4">
        <v>8.0000000000000002E-3</v>
      </c>
      <c r="J32" s="4">
        <v>8.0000000000000002E-3</v>
      </c>
      <c r="K32" s="5">
        <v>100</v>
      </c>
      <c r="L32" s="5">
        <v>100</v>
      </c>
      <c r="M32" s="5">
        <v>100</v>
      </c>
      <c r="N32" s="5">
        <v>100</v>
      </c>
      <c r="O32" s="2">
        <v>0.67334455326376563</v>
      </c>
      <c r="P32" s="2">
        <v>0.54335526706364323</v>
      </c>
      <c r="Q32" s="2">
        <v>8.0321716972642666E-3</v>
      </c>
      <c r="R32" s="2">
        <v>8.0321716972642666E-3</v>
      </c>
    </row>
    <row r="33" spans="1:18" x14ac:dyDescent="0.3">
      <c r="A33" s="7">
        <v>804</v>
      </c>
      <c r="B33" s="7">
        <v>466</v>
      </c>
      <c r="C33" s="7">
        <v>0</v>
      </c>
      <c r="D33" s="7">
        <v>0</v>
      </c>
      <c r="E33" s="20" t="str">
        <f t="shared" si="0"/>
        <v>00</v>
      </c>
      <c r="F33" s="21">
        <v>5.01870658356511E-2</v>
      </c>
      <c r="G33" s="4">
        <v>0.498</v>
      </c>
      <c r="H33" s="4">
        <v>0.43792325056433401</v>
      </c>
      <c r="I33" s="4">
        <v>6.0000000000000001E-3</v>
      </c>
      <c r="J33" s="4">
        <v>6.0000000000000001E-3</v>
      </c>
      <c r="K33" s="5">
        <v>100</v>
      </c>
      <c r="L33" s="5">
        <v>100</v>
      </c>
      <c r="M33" s="5">
        <v>100</v>
      </c>
      <c r="N33" s="5">
        <v>100</v>
      </c>
      <c r="O33" s="2">
        <v>0.68915515929040783</v>
      </c>
      <c r="P33" s="2">
        <v>0.57611687358042785</v>
      </c>
      <c r="Q33" s="2">
        <v>6.0180723255630212E-3</v>
      </c>
      <c r="R33" s="2">
        <v>6.0180723255630212E-3</v>
      </c>
    </row>
    <row r="34" spans="1:18" x14ac:dyDescent="0.3">
      <c r="A34" s="7">
        <v>486</v>
      </c>
      <c r="B34" s="7">
        <v>453</v>
      </c>
      <c r="C34" s="7">
        <v>0</v>
      </c>
      <c r="D34" s="7">
        <v>0</v>
      </c>
      <c r="E34" s="20" t="str">
        <f t="shared" si="0"/>
        <v>00</v>
      </c>
      <c r="F34" s="21">
        <v>5.0588564730499698E-2</v>
      </c>
      <c r="G34" s="4">
        <v>0.56399999999999995</v>
      </c>
      <c r="H34" s="4">
        <v>0.44591029023746698</v>
      </c>
      <c r="I34" s="4">
        <v>2.5000000000000001E-2</v>
      </c>
      <c r="J34" s="4">
        <v>3.3000000000000002E-2</v>
      </c>
      <c r="K34" s="5">
        <v>0</v>
      </c>
      <c r="L34" s="5">
        <v>100</v>
      </c>
      <c r="M34" s="5">
        <v>100</v>
      </c>
      <c r="N34" s="5">
        <v>100</v>
      </c>
      <c r="O34" s="2">
        <v>0.83011303563310257</v>
      </c>
      <c r="P34" s="2">
        <v>0.59042867436495761</v>
      </c>
      <c r="Q34" s="2">
        <v>2.5317807984289897E-2</v>
      </c>
      <c r="R34" s="2">
        <v>3.3556783528842754E-2</v>
      </c>
    </row>
    <row r="35" spans="1:18" x14ac:dyDescent="0.3">
      <c r="A35" s="7">
        <v>746</v>
      </c>
      <c r="B35" s="7">
        <v>463</v>
      </c>
      <c r="C35" s="7">
        <v>0</v>
      </c>
      <c r="D35" s="7">
        <v>0</v>
      </c>
      <c r="E35" s="20" t="str">
        <f t="shared" si="0"/>
        <v>00</v>
      </c>
      <c r="F35" s="21">
        <v>5.1014646892462497E-2</v>
      </c>
      <c r="G35" s="4">
        <v>0.56299999999999994</v>
      </c>
      <c r="H35" s="4">
        <v>0.41620111731843601</v>
      </c>
      <c r="I35" s="4">
        <v>8.9999999999999993E-3</v>
      </c>
      <c r="J35" s="4">
        <v>1.4999999999999999E-2</v>
      </c>
      <c r="K35" s="5">
        <v>0</v>
      </c>
      <c r="L35" s="5">
        <v>100</v>
      </c>
      <c r="M35" s="5">
        <v>100</v>
      </c>
      <c r="N35" s="5">
        <v>100</v>
      </c>
      <c r="O35" s="2">
        <v>0.82782208388654677</v>
      </c>
      <c r="P35" s="2">
        <v>0.53819873443588973</v>
      </c>
      <c r="Q35" s="2">
        <v>9.0407446521490707E-3</v>
      </c>
      <c r="R35" s="2">
        <v>1.5113637810048184E-2</v>
      </c>
    </row>
    <row r="36" spans="1:18" x14ac:dyDescent="0.3">
      <c r="A36" s="7">
        <v>178</v>
      </c>
      <c r="B36" s="7">
        <v>449</v>
      </c>
      <c r="C36" s="7">
        <v>0</v>
      </c>
      <c r="D36" s="7">
        <v>0</v>
      </c>
      <c r="E36" s="20" t="str">
        <f t="shared" si="0"/>
        <v>00</v>
      </c>
      <c r="F36" s="21">
        <v>5.1107678836002798E-2</v>
      </c>
      <c r="G36" s="4">
        <v>0.53100000000000003</v>
      </c>
      <c r="H36" s="4">
        <v>0.43842364532019701</v>
      </c>
      <c r="I36" s="4">
        <v>1.2E-2</v>
      </c>
      <c r="J36" s="4">
        <v>8.9999999999999993E-3</v>
      </c>
      <c r="K36" s="5">
        <v>0</v>
      </c>
      <c r="L36" s="5">
        <v>100</v>
      </c>
      <c r="M36" s="5">
        <v>100</v>
      </c>
      <c r="N36" s="5">
        <v>100</v>
      </c>
      <c r="O36" s="2">
        <v>0.75715251053585775</v>
      </c>
      <c r="P36" s="2">
        <v>0.57700753064729193</v>
      </c>
      <c r="Q36" s="2">
        <v>1.2072581234269249E-2</v>
      </c>
      <c r="R36" s="2">
        <v>9.0407446521490707E-3</v>
      </c>
    </row>
    <row r="37" spans="1:18" x14ac:dyDescent="0.3">
      <c r="A37" s="7">
        <v>741</v>
      </c>
      <c r="B37" s="7">
        <v>459</v>
      </c>
      <c r="C37" s="7">
        <v>0</v>
      </c>
      <c r="D37" s="7">
        <v>0</v>
      </c>
      <c r="E37" s="20" t="str">
        <f t="shared" si="0"/>
        <v>00</v>
      </c>
      <c r="F37" s="21">
        <v>5.1660157959618397E-2</v>
      </c>
      <c r="G37" s="4">
        <v>0.54500000000000004</v>
      </c>
      <c r="H37" s="4">
        <v>0.38082901554404103</v>
      </c>
      <c r="I37" s="4">
        <v>0.95399999999999996</v>
      </c>
      <c r="J37" s="4">
        <v>0.94299999999999995</v>
      </c>
      <c r="K37" s="5">
        <v>0</v>
      </c>
      <c r="L37" s="5">
        <v>100</v>
      </c>
      <c r="M37" s="5">
        <v>0</v>
      </c>
      <c r="N37" s="5">
        <v>0</v>
      </c>
      <c r="O37" s="2">
        <v>0.78745786003118667</v>
      </c>
      <c r="P37" s="2">
        <v>0.47937381753331954</v>
      </c>
      <c r="Q37" s="2">
        <v>3.0791138824930413</v>
      </c>
      <c r="R37" s="2">
        <v>2.8647040111475861</v>
      </c>
    </row>
    <row r="38" spans="1:18" x14ac:dyDescent="0.3">
      <c r="A38" s="7">
        <v>87</v>
      </c>
      <c r="B38" s="7">
        <v>463</v>
      </c>
      <c r="C38" s="7">
        <v>0</v>
      </c>
      <c r="D38" s="7">
        <v>0</v>
      </c>
      <c r="E38" s="20" t="str">
        <f t="shared" si="0"/>
        <v>00</v>
      </c>
      <c r="F38" s="21">
        <v>5.2441996204209099E-2</v>
      </c>
      <c r="G38" s="4">
        <v>0.51900000000000002</v>
      </c>
      <c r="H38" s="4">
        <v>0.451834862385321</v>
      </c>
      <c r="I38" s="4">
        <v>8.9999999999999993E-3</v>
      </c>
      <c r="J38" s="4">
        <v>6.0000000000000001E-3</v>
      </c>
      <c r="K38" s="5">
        <v>0</v>
      </c>
      <c r="L38" s="5">
        <v>100</v>
      </c>
      <c r="M38" s="5">
        <v>100</v>
      </c>
      <c r="N38" s="5">
        <v>100</v>
      </c>
      <c r="O38" s="2">
        <v>0.73188800887637595</v>
      </c>
      <c r="P38" s="2">
        <v>0.60117869141752345</v>
      </c>
      <c r="Q38" s="2">
        <v>9.0407446521490707E-3</v>
      </c>
      <c r="R38" s="2">
        <v>6.0180723255630212E-3</v>
      </c>
    </row>
    <row r="39" spans="1:18" x14ac:dyDescent="0.3">
      <c r="A39" s="7">
        <v>747</v>
      </c>
      <c r="B39" s="7">
        <v>452</v>
      </c>
      <c r="C39" s="7">
        <v>0</v>
      </c>
      <c r="D39" s="7">
        <v>0</v>
      </c>
      <c r="E39" s="20" t="str">
        <f t="shared" si="0"/>
        <v>00</v>
      </c>
      <c r="F39" s="21">
        <v>5.3053403405552001E-2</v>
      </c>
      <c r="G39" s="4">
        <v>0.42899999999999999</v>
      </c>
      <c r="H39" s="4">
        <v>0.35926773455377597</v>
      </c>
      <c r="I39" s="4">
        <v>0.01</v>
      </c>
      <c r="J39" s="4">
        <v>1.0999999999999999E-2</v>
      </c>
      <c r="K39" s="5">
        <v>100</v>
      </c>
      <c r="L39" s="5">
        <v>100</v>
      </c>
      <c r="M39" s="5">
        <v>100</v>
      </c>
      <c r="N39" s="5">
        <v>100</v>
      </c>
      <c r="O39" s="2">
        <v>0.56036606932612687</v>
      </c>
      <c r="P39" s="2">
        <v>0.44514359192634101</v>
      </c>
      <c r="Q39" s="2">
        <v>1.0050335853501451E-2</v>
      </c>
      <c r="R39" s="2">
        <v>1.1060947359424948E-2</v>
      </c>
    </row>
    <row r="40" spans="1:18" x14ac:dyDescent="0.3">
      <c r="A40" s="7">
        <v>953</v>
      </c>
      <c r="B40" s="7">
        <v>453</v>
      </c>
      <c r="C40" s="7">
        <v>0</v>
      </c>
      <c r="D40" s="7">
        <v>0</v>
      </c>
      <c r="E40" s="20" t="str">
        <f t="shared" si="0"/>
        <v>00</v>
      </c>
      <c r="F40" s="21">
        <v>5.3094205049803903E-2</v>
      </c>
      <c r="G40" s="4">
        <v>0.64400000000000002</v>
      </c>
      <c r="H40" s="4">
        <v>0.50997150997150997</v>
      </c>
      <c r="I40" s="4">
        <v>1.2E-2</v>
      </c>
      <c r="J40" s="4">
        <v>1.7000000000000001E-2</v>
      </c>
      <c r="K40" s="5">
        <v>0</v>
      </c>
      <c r="L40" s="5">
        <v>0</v>
      </c>
      <c r="M40" s="5">
        <v>100</v>
      </c>
      <c r="N40" s="5">
        <v>100</v>
      </c>
      <c r="O40" s="2">
        <v>1.0328245481301066</v>
      </c>
      <c r="P40" s="2">
        <v>0.71329174665241279</v>
      </c>
      <c r="Q40" s="2">
        <v>1.2072581234269249E-2</v>
      </c>
      <c r="R40" s="2">
        <v>1.7146158834970514E-2</v>
      </c>
    </row>
    <row r="41" spans="1:18" x14ac:dyDescent="0.3">
      <c r="A41" s="7">
        <v>287</v>
      </c>
      <c r="B41" s="7">
        <v>463</v>
      </c>
      <c r="C41" s="7">
        <v>0</v>
      </c>
      <c r="D41" s="7">
        <v>0</v>
      </c>
      <c r="E41" s="20" t="str">
        <f t="shared" si="0"/>
        <v>00</v>
      </c>
      <c r="F41" s="21">
        <v>5.3364845364288697E-2</v>
      </c>
      <c r="G41" s="4">
        <v>0.45</v>
      </c>
      <c r="H41" s="4">
        <v>0.369829683698297</v>
      </c>
      <c r="I41" s="4">
        <v>0.01</v>
      </c>
      <c r="J41" s="4">
        <v>8.9999999999999993E-3</v>
      </c>
      <c r="K41" s="5">
        <v>100</v>
      </c>
      <c r="L41" s="5">
        <v>100</v>
      </c>
      <c r="M41" s="5">
        <v>100</v>
      </c>
      <c r="N41" s="5">
        <v>100</v>
      </c>
      <c r="O41" s="2">
        <v>0.59783700075562041</v>
      </c>
      <c r="P41" s="2">
        <v>0.46176515279669722</v>
      </c>
      <c r="Q41" s="2">
        <v>1.0050335853501451E-2</v>
      </c>
      <c r="R41" s="2">
        <v>9.0407446521490707E-3</v>
      </c>
    </row>
    <row r="42" spans="1:18" x14ac:dyDescent="0.3">
      <c r="A42" s="7">
        <v>681</v>
      </c>
      <c r="B42" s="7">
        <v>457</v>
      </c>
      <c r="C42" s="7">
        <v>0</v>
      </c>
      <c r="D42" s="7">
        <v>0</v>
      </c>
      <c r="E42" s="20" t="str">
        <f t="shared" si="0"/>
        <v>00</v>
      </c>
      <c r="F42" s="21">
        <v>5.5775468202690998E-2</v>
      </c>
      <c r="G42" s="4">
        <v>0.44</v>
      </c>
      <c r="H42" s="4">
        <v>0.31565656565656602</v>
      </c>
      <c r="I42" s="4">
        <v>1.2E-2</v>
      </c>
      <c r="J42" s="4">
        <v>1.0999999999999999E-2</v>
      </c>
      <c r="K42" s="5">
        <v>100</v>
      </c>
      <c r="L42" s="5">
        <v>100</v>
      </c>
      <c r="M42" s="5">
        <v>100</v>
      </c>
      <c r="N42" s="5">
        <v>100</v>
      </c>
      <c r="O42" s="2">
        <v>0.57981849525294205</v>
      </c>
      <c r="P42" s="2">
        <v>0.37929539037478011</v>
      </c>
      <c r="Q42" s="2">
        <v>1.2072581234269249E-2</v>
      </c>
      <c r="R42" s="2">
        <v>1.1060947359424948E-2</v>
      </c>
    </row>
    <row r="43" spans="1:18" x14ac:dyDescent="0.3">
      <c r="A43" s="7">
        <v>57</v>
      </c>
      <c r="B43" s="7">
        <v>450</v>
      </c>
      <c r="C43" s="7">
        <v>0</v>
      </c>
      <c r="D43" s="7">
        <v>0</v>
      </c>
      <c r="E43" s="20" t="str">
        <f t="shared" si="0"/>
        <v>00</v>
      </c>
      <c r="F43" s="21">
        <v>6.0375460822846803E-2</v>
      </c>
      <c r="G43" s="4">
        <v>0.38800000000000001</v>
      </c>
      <c r="H43" s="4">
        <v>0.33185840707964598</v>
      </c>
      <c r="I43" s="4">
        <v>1.7999999999999999E-2</v>
      </c>
      <c r="J43" s="4">
        <v>1.6E-2</v>
      </c>
      <c r="K43" s="5">
        <v>100</v>
      </c>
      <c r="L43" s="5">
        <v>100</v>
      </c>
      <c r="M43" s="5">
        <v>100</v>
      </c>
      <c r="N43" s="5">
        <v>100</v>
      </c>
      <c r="O43" s="2">
        <v>0.49102299646981101</v>
      </c>
      <c r="P43" s="2">
        <v>0.40325516245736148</v>
      </c>
      <c r="Q43" s="2">
        <v>1.816397062767118E-2</v>
      </c>
      <c r="R43" s="2">
        <v>1.6129381929883644E-2</v>
      </c>
    </row>
    <row r="44" spans="1:18" x14ac:dyDescent="0.3">
      <c r="A44" s="7">
        <v>608</v>
      </c>
      <c r="B44" s="7">
        <v>445</v>
      </c>
      <c r="C44" s="7">
        <v>0</v>
      </c>
      <c r="D44" s="7">
        <v>0</v>
      </c>
      <c r="E44" s="20" t="str">
        <f t="shared" si="0"/>
        <v>00</v>
      </c>
      <c r="F44" s="21">
        <v>6.0916214545878901E-2</v>
      </c>
      <c r="G44" s="4">
        <v>0.57799999999999996</v>
      </c>
      <c r="H44" s="4">
        <v>0.46212121212121199</v>
      </c>
      <c r="I44" s="4">
        <v>1.2E-2</v>
      </c>
      <c r="J44" s="4">
        <v>1.6E-2</v>
      </c>
      <c r="K44" s="5">
        <v>0</v>
      </c>
      <c r="L44" s="5">
        <v>100</v>
      </c>
      <c r="M44" s="5">
        <v>100</v>
      </c>
      <c r="N44" s="5">
        <v>100</v>
      </c>
      <c r="O44" s="2">
        <v>0.8627499649461251</v>
      </c>
      <c r="P44" s="2">
        <v>0.62012204554505512</v>
      </c>
      <c r="Q44" s="2">
        <v>1.2072581234269249E-2</v>
      </c>
      <c r="R44" s="2">
        <v>1.6129381929883644E-2</v>
      </c>
    </row>
    <row r="45" spans="1:18" x14ac:dyDescent="0.3">
      <c r="A45" s="7">
        <v>629</v>
      </c>
      <c r="B45" s="7">
        <v>453</v>
      </c>
      <c r="C45" s="7">
        <v>0</v>
      </c>
      <c r="D45" s="7">
        <v>0</v>
      </c>
      <c r="E45" s="20" t="str">
        <f t="shared" si="0"/>
        <v>00</v>
      </c>
      <c r="F45" s="21">
        <v>6.29305130802226E-2</v>
      </c>
      <c r="G45" s="4">
        <v>0.443</v>
      </c>
      <c r="H45" s="4">
        <v>0.37442922374429199</v>
      </c>
      <c r="I45" s="4">
        <v>2.5000000000000001E-2</v>
      </c>
      <c r="J45" s="4">
        <v>1.6E-2</v>
      </c>
      <c r="K45" s="5">
        <v>100</v>
      </c>
      <c r="L45" s="5">
        <v>100</v>
      </c>
      <c r="M45" s="5">
        <v>100</v>
      </c>
      <c r="N45" s="5">
        <v>100</v>
      </c>
      <c r="O45" s="2">
        <v>0.58519003905485312</v>
      </c>
      <c r="P45" s="2">
        <v>0.46909080398837549</v>
      </c>
      <c r="Q45" s="2">
        <v>2.5317807984289897E-2</v>
      </c>
      <c r="R45" s="2">
        <v>1.6129381929883644E-2</v>
      </c>
    </row>
    <row r="46" spans="1:18" x14ac:dyDescent="0.3">
      <c r="A46" s="7">
        <v>455</v>
      </c>
      <c r="B46" s="7">
        <v>451</v>
      </c>
      <c r="C46" s="7">
        <v>0</v>
      </c>
      <c r="D46" s="7">
        <v>0</v>
      </c>
      <c r="E46" s="20" t="str">
        <f t="shared" si="0"/>
        <v>00</v>
      </c>
      <c r="F46" s="21">
        <v>6.3062024958031093E-2</v>
      </c>
      <c r="G46" s="4">
        <v>0.40899999999999997</v>
      </c>
      <c r="H46" s="4">
        <v>0.33552631578947401</v>
      </c>
      <c r="I46" s="4">
        <v>8.0000000000000002E-3</v>
      </c>
      <c r="J46" s="4">
        <v>1.4E-2</v>
      </c>
      <c r="K46" s="5">
        <v>100</v>
      </c>
      <c r="L46" s="5">
        <v>100</v>
      </c>
      <c r="M46" s="5">
        <v>100</v>
      </c>
      <c r="N46" s="5">
        <v>100</v>
      </c>
      <c r="O46" s="2">
        <v>0.52593926157603887</v>
      </c>
      <c r="P46" s="2">
        <v>0.40876000400501744</v>
      </c>
      <c r="Q46" s="2">
        <v>8.0321716972642666E-3</v>
      </c>
      <c r="R46" s="2">
        <v>1.4098924379501648E-2</v>
      </c>
    </row>
    <row r="47" spans="1:18" x14ac:dyDescent="0.3">
      <c r="A47" s="7">
        <v>547</v>
      </c>
      <c r="B47" s="7">
        <v>461</v>
      </c>
      <c r="C47" s="7">
        <v>0</v>
      </c>
      <c r="D47" s="7">
        <v>0</v>
      </c>
      <c r="E47" s="20" t="str">
        <f t="shared" si="0"/>
        <v>00</v>
      </c>
      <c r="F47" s="21">
        <v>6.3393528758089193E-2</v>
      </c>
      <c r="G47" s="4">
        <v>0.35399999999999998</v>
      </c>
      <c r="H47" s="4">
        <v>0.27586206896551702</v>
      </c>
      <c r="I47" s="4">
        <v>0.01</v>
      </c>
      <c r="J47" s="4">
        <v>1.4E-2</v>
      </c>
      <c r="K47" s="5">
        <v>100</v>
      </c>
      <c r="L47" s="5">
        <v>100</v>
      </c>
      <c r="M47" s="5">
        <v>100</v>
      </c>
      <c r="N47" s="5">
        <v>100</v>
      </c>
      <c r="O47" s="2">
        <v>0.43695577519953516</v>
      </c>
      <c r="P47" s="2">
        <v>0.32277339226305074</v>
      </c>
      <c r="Q47" s="2">
        <v>1.0050335853501451E-2</v>
      </c>
      <c r="R47" s="2">
        <v>1.4098924379501648E-2</v>
      </c>
    </row>
    <row r="48" spans="1:18" x14ac:dyDescent="0.3">
      <c r="A48" s="7">
        <v>231</v>
      </c>
      <c r="B48" s="7">
        <v>458</v>
      </c>
      <c r="C48" s="7">
        <v>0</v>
      </c>
      <c r="D48" s="7">
        <v>0</v>
      </c>
      <c r="E48" s="20" t="str">
        <f t="shared" si="0"/>
        <v>00</v>
      </c>
      <c r="F48" s="21">
        <v>6.5592100600279798E-2</v>
      </c>
      <c r="G48" s="4">
        <v>0.51200000000000001</v>
      </c>
      <c r="H48" s="4">
        <v>0.403341288782816</v>
      </c>
      <c r="I48" s="4">
        <v>1.7000000000000001E-2</v>
      </c>
      <c r="J48" s="4">
        <v>1.4999999999999999E-2</v>
      </c>
      <c r="K48" s="5">
        <v>0</v>
      </c>
      <c r="L48" s="5">
        <v>100</v>
      </c>
      <c r="M48" s="5">
        <v>100</v>
      </c>
      <c r="N48" s="5">
        <v>100</v>
      </c>
      <c r="O48" s="2">
        <v>0.71743987312898994</v>
      </c>
      <c r="P48" s="2">
        <v>0.51641000205989096</v>
      </c>
      <c r="Q48" s="2">
        <v>1.7146158834970514E-2</v>
      </c>
      <c r="R48" s="2">
        <v>1.5113637810048184E-2</v>
      </c>
    </row>
    <row r="49" spans="1:18" x14ac:dyDescent="0.3">
      <c r="A49" s="7">
        <v>751</v>
      </c>
      <c r="B49" s="7">
        <v>433</v>
      </c>
      <c r="C49" s="7">
        <v>0</v>
      </c>
      <c r="D49" s="7">
        <v>0</v>
      </c>
      <c r="E49" s="20" t="str">
        <f t="shared" si="0"/>
        <v>00</v>
      </c>
      <c r="F49" s="21">
        <v>6.6353128257194499E-2</v>
      </c>
      <c r="G49" s="4">
        <v>0.53800000000000003</v>
      </c>
      <c r="H49" s="4">
        <v>0.43914081145584699</v>
      </c>
      <c r="I49" s="4">
        <v>5.8000000000000003E-2</v>
      </c>
      <c r="J49" s="4">
        <v>6.5000000000000002E-2</v>
      </c>
      <c r="K49" s="5">
        <v>0</v>
      </c>
      <c r="L49" s="5">
        <v>100</v>
      </c>
      <c r="M49" s="5">
        <v>100</v>
      </c>
      <c r="N49" s="5">
        <v>100</v>
      </c>
      <c r="O49" s="2">
        <v>0.77219038790039829</v>
      </c>
      <c r="P49" s="2">
        <v>0.57828540577797838</v>
      </c>
      <c r="Q49" s="2">
        <v>5.9750004405774049E-2</v>
      </c>
      <c r="R49" s="2">
        <v>6.720874969344999E-2</v>
      </c>
    </row>
    <row r="50" spans="1:18" x14ac:dyDescent="0.3">
      <c r="A50" s="7">
        <v>718</v>
      </c>
      <c r="B50" s="7">
        <v>433</v>
      </c>
      <c r="C50" s="7">
        <v>0</v>
      </c>
      <c r="D50" s="7">
        <v>0</v>
      </c>
      <c r="E50" s="20" t="str">
        <f t="shared" si="0"/>
        <v>00</v>
      </c>
      <c r="F50" s="21">
        <v>6.7107675563981201E-2</v>
      </c>
      <c r="G50" s="4">
        <v>0.47399999999999998</v>
      </c>
      <c r="H50" s="4">
        <v>0.39150943396226401</v>
      </c>
      <c r="I50" s="4">
        <v>8.0000000000000002E-3</v>
      </c>
      <c r="J50" s="4">
        <v>1.4999999999999999E-2</v>
      </c>
      <c r="K50" s="5">
        <v>100</v>
      </c>
      <c r="L50" s="5">
        <v>100</v>
      </c>
      <c r="M50" s="5">
        <v>100</v>
      </c>
      <c r="N50" s="5">
        <v>100</v>
      </c>
      <c r="O50" s="2">
        <v>0.64245406624442714</v>
      </c>
      <c r="P50" s="2">
        <v>0.49677387031034009</v>
      </c>
      <c r="Q50" s="2">
        <v>8.0321716972642666E-3</v>
      </c>
      <c r="R50" s="2">
        <v>1.5113637810048184E-2</v>
      </c>
    </row>
    <row r="51" spans="1:18" x14ac:dyDescent="0.3">
      <c r="A51" s="7">
        <v>581</v>
      </c>
      <c r="B51" s="7">
        <v>444</v>
      </c>
      <c r="C51" s="7">
        <v>0</v>
      </c>
      <c r="D51" s="7">
        <v>0</v>
      </c>
      <c r="E51" s="20" t="str">
        <f t="shared" si="0"/>
        <v>00</v>
      </c>
      <c r="F51" s="21">
        <v>6.7141011795363803E-2</v>
      </c>
      <c r="G51" s="4">
        <v>0.53700000000000003</v>
      </c>
      <c r="H51" s="4">
        <v>0.45297029702970298</v>
      </c>
      <c r="I51" s="4">
        <v>2.1000000000000001E-2</v>
      </c>
      <c r="J51" s="4">
        <v>1.7999999999999999E-2</v>
      </c>
      <c r="K51" s="5">
        <v>0</v>
      </c>
      <c r="L51" s="5">
        <v>100</v>
      </c>
      <c r="M51" s="5">
        <v>100</v>
      </c>
      <c r="N51" s="5">
        <v>100</v>
      </c>
      <c r="O51" s="2">
        <v>0.77002822489590306</v>
      </c>
      <c r="P51" s="2">
        <v>0.60325217644339713</v>
      </c>
      <c r="Q51" s="2">
        <v>2.1223636451626688E-2</v>
      </c>
      <c r="R51" s="2">
        <v>1.816397062767118E-2</v>
      </c>
    </row>
    <row r="52" spans="1:18" x14ac:dyDescent="0.3">
      <c r="A52" s="7">
        <v>390</v>
      </c>
      <c r="B52" s="7">
        <v>449</v>
      </c>
      <c r="C52" s="7">
        <v>0</v>
      </c>
      <c r="D52" s="7">
        <v>0</v>
      </c>
      <c r="E52" s="20" t="str">
        <f t="shared" si="0"/>
        <v>00</v>
      </c>
      <c r="F52" s="21">
        <v>6.7403909314534202E-2</v>
      </c>
      <c r="G52" s="4">
        <v>0.65800000000000003</v>
      </c>
      <c r="H52" s="4">
        <v>0.49085365853658502</v>
      </c>
      <c r="I52" s="4">
        <v>1.0999999999999999E-2</v>
      </c>
      <c r="J52" s="4">
        <v>1.0999999999999999E-2</v>
      </c>
      <c r="K52" s="5">
        <v>0</v>
      </c>
      <c r="L52" s="5">
        <v>100</v>
      </c>
      <c r="M52" s="5">
        <v>100</v>
      </c>
      <c r="N52" s="5">
        <v>100</v>
      </c>
      <c r="O52" s="2">
        <v>1.072944541919532</v>
      </c>
      <c r="P52" s="2">
        <v>0.67501979596738793</v>
      </c>
      <c r="Q52" s="2">
        <v>1.1060947359424948E-2</v>
      </c>
      <c r="R52" s="2">
        <v>1.1060947359424948E-2</v>
      </c>
    </row>
    <row r="53" spans="1:18" x14ac:dyDescent="0.3">
      <c r="A53" s="7">
        <v>683</v>
      </c>
      <c r="B53" s="7">
        <v>438</v>
      </c>
      <c r="C53" s="7">
        <v>0</v>
      </c>
      <c r="D53" s="7">
        <v>0</v>
      </c>
      <c r="E53" s="20" t="str">
        <f t="shared" si="0"/>
        <v>00</v>
      </c>
      <c r="F53" s="21">
        <v>7.2086548715179194E-2</v>
      </c>
      <c r="G53" s="4">
        <v>0.47</v>
      </c>
      <c r="H53" s="4">
        <v>0.35460992907801397</v>
      </c>
      <c r="I53" s="4">
        <v>1.2E-2</v>
      </c>
      <c r="J53" s="4">
        <v>8.0000000000000002E-3</v>
      </c>
      <c r="K53" s="5">
        <v>100</v>
      </c>
      <c r="L53" s="5">
        <v>100</v>
      </c>
      <c r="M53" s="5">
        <v>100</v>
      </c>
      <c r="N53" s="5">
        <v>100</v>
      </c>
      <c r="O53" s="2">
        <v>0.6348782724359695</v>
      </c>
      <c r="P53" s="2">
        <v>0.43790038386131802</v>
      </c>
      <c r="Q53" s="2">
        <v>1.2072581234269249E-2</v>
      </c>
      <c r="R53" s="2">
        <v>8.0321716972642666E-3</v>
      </c>
    </row>
    <row r="54" spans="1:18" x14ac:dyDescent="0.3">
      <c r="A54" s="7">
        <v>660</v>
      </c>
      <c r="B54" s="7">
        <v>444</v>
      </c>
      <c r="C54" s="7">
        <v>0</v>
      </c>
      <c r="D54" s="7">
        <v>0</v>
      </c>
      <c r="E54" s="20" t="str">
        <f t="shared" si="0"/>
        <v>00</v>
      </c>
      <c r="F54" s="21">
        <v>7.2540573325284199E-2</v>
      </c>
      <c r="G54" s="4">
        <v>0.38700000000000001</v>
      </c>
      <c r="H54" s="4">
        <v>0.31221719457013603</v>
      </c>
      <c r="I54" s="4">
        <v>0.503</v>
      </c>
      <c r="J54" s="4">
        <v>0.49199999999999999</v>
      </c>
      <c r="K54" s="5">
        <v>100</v>
      </c>
      <c r="L54" s="5">
        <v>100</v>
      </c>
      <c r="M54" s="5">
        <v>0</v>
      </c>
      <c r="N54" s="5">
        <v>100</v>
      </c>
      <c r="O54" s="2">
        <v>0.48939034304592566</v>
      </c>
      <c r="P54" s="2">
        <v>0.37428218067147673</v>
      </c>
      <c r="Q54" s="2">
        <v>0.69916525288550835</v>
      </c>
      <c r="R54" s="2">
        <v>0.67727383140365516</v>
      </c>
    </row>
    <row r="55" spans="1:18" x14ac:dyDescent="0.3">
      <c r="A55" s="7">
        <v>198</v>
      </c>
      <c r="B55" s="7">
        <v>450</v>
      </c>
      <c r="C55" s="7">
        <v>0</v>
      </c>
      <c r="D55" s="7">
        <v>0</v>
      </c>
      <c r="E55" s="20" t="str">
        <f t="shared" si="0"/>
        <v>00</v>
      </c>
      <c r="F55" s="21">
        <v>7.2708147210066507E-2</v>
      </c>
      <c r="G55" s="4">
        <v>0.66300000000000003</v>
      </c>
      <c r="H55" s="4">
        <v>0.53008595988538698</v>
      </c>
      <c r="I55" s="4">
        <v>0.02</v>
      </c>
      <c r="J55" s="4">
        <v>2.5999999999999999E-2</v>
      </c>
      <c r="K55" s="5">
        <v>0</v>
      </c>
      <c r="L55" s="5">
        <v>0</v>
      </c>
      <c r="M55" s="5">
        <v>100</v>
      </c>
      <c r="N55" s="5">
        <v>100</v>
      </c>
      <c r="O55" s="2">
        <v>1.0876723486297755</v>
      </c>
      <c r="P55" s="2">
        <v>0.75520549437822904</v>
      </c>
      <c r="Q55" s="2">
        <v>2.0202707317519466E-2</v>
      </c>
      <c r="R55" s="2">
        <v>2.6343975339601977E-2</v>
      </c>
    </row>
    <row r="56" spans="1:18" x14ac:dyDescent="0.3">
      <c r="A56" s="7">
        <v>22</v>
      </c>
      <c r="B56" s="7">
        <v>441</v>
      </c>
      <c r="C56" s="7">
        <v>0</v>
      </c>
      <c r="D56" s="7">
        <v>0</v>
      </c>
      <c r="E56" s="20" t="str">
        <f t="shared" si="0"/>
        <v>00</v>
      </c>
      <c r="F56" s="21">
        <v>7.3954367773507598E-2</v>
      </c>
      <c r="G56" s="4">
        <v>0.378</v>
      </c>
      <c r="H56" s="4">
        <v>0.28899082568807299</v>
      </c>
      <c r="I56" s="4">
        <v>1.2E-2</v>
      </c>
      <c r="J56" s="4">
        <v>1.0999999999999999E-2</v>
      </c>
      <c r="K56" s="5">
        <v>100</v>
      </c>
      <c r="L56" s="5">
        <v>100</v>
      </c>
      <c r="M56" s="5">
        <v>100</v>
      </c>
      <c r="N56" s="5">
        <v>100</v>
      </c>
      <c r="O56" s="2">
        <v>0.4748151862429576</v>
      </c>
      <c r="P56" s="2">
        <v>0.34106994586984185</v>
      </c>
      <c r="Q56" s="2">
        <v>1.2072581234269249E-2</v>
      </c>
      <c r="R56" s="2">
        <v>1.1060947359424948E-2</v>
      </c>
    </row>
    <row r="57" spans="1:18" x14ac:dyDescent="0.3">
      <c r="A57" s="7">
        <v>83</v>
      </c>
      <c r="B57" s="7">
        <v>451</v>
      </c>
      <c r="C57" s="7">
        <v>0</v>
      </c>
      <c r="D57" s="7">
        <v>0</v>
      </c>
      <c r="E57" s="20" t="str">
        <f t="shared" si="0"/>
        <v>00</v>
      </c>
      <c r="F57" s="21">
        <v>7.5283731934236806E-2</v>
      </c>
      <c r="G57" s="4">
        <v>0.42399999999999999</v>
      </c>
      <c r="H57" s="4">
        <v>0.304785894206549</v>
      </c>
      <c r="I57" s="4">
        <v>1.4E-2</v>
      </c>
      <c r="J57" s="4">
        <v>1.4E-2</v>
      </c>
      <c r="K57" s="5">
        <v>100</v>
      </c>
      <c r="L57" s="5">
        <v>100</v>
      </c>
      <c r="M57" s="5">
        <v>100</v>
      </c>
      <c r="N57" s="5">
        <v>100</v>
      </c>
      <c r="O57" s="2">
        <v>0.55164761828624564</v>
      </c>
      <c r="P57" s="2">
        <v>0.36353541497004027</v>
      </c>
      <c r="Q57" s="2">
        <v>1.4098924379501648E-2</v>
      </c>
      <c r="R57" s="2">
        <v>1.4098924379501648E-2</v>
      </c>
    </row>
    <row r="58" spans="1:18" x14ac:dyDescent="0.3">
      <c r="A58" s="7">
        <v>65</v>
      </c>
      <c r="B58" s="7">
        <v>411</v>
      </c>
      <c r="C58" s="7">
        <v>0</v>
      </c>
      <c r="D58" s="7">
        <v>0</v>
      </c>
      <c r="E58" s="20" t="str">
        <f t="shared" si="0"/>
        <v>00</v>
      </c>
      <c r="F58" s="21">
        <v>7.5781112105486895E-2</v>
      </c>
      <c r="G58" s="4">
        <v>0.53600000000000003</v>
      </c>
      <c r="H58" s="4">
        <v>0.44083526682134599</v>
      </c>
      <c r="I58" s="4">
        <v>5.0000000000000001E-3</v>
      </c>
      <c r="J58" s="4">
        <v>0.01</v>
      </c>
      <c r="K58" s="5">
        <v>0</v>
      </c>
      <c r="L58" s="5">
        <v>100</v>
      </c>
      <c r="M58" s="5">
        <v>100</v>
      </c>
      <c r="N58" s="5">
        <v>100</v>
      </c>
      <c r="O58" s="2">
        <v>0.76787072675588186</v>
      </c>
      <c r="P58" s="2">
        <v>0.58131115661309329</v>
      </c>
      <c r="Q58" s="2">
        <v>5.0125418235442863E-3</v>
      </c>
      <c r="R58" s="2">
        <v>1.0050335853501451E-2</v>
      </c>
    </row>
    <row r="59" spans="1:18" x14ac:dyDescent="0.3">
      <c r="A59" s="7">
        <v>263</v>
      </c>
      <c r="B59" s="7">
        <v>452</v>
      </c>
      <c r="C59" s="7">
        <v>0</v>
      </c>
      <c r="D59" s="7">
        <v>0</v>
      </c>
      <c r="E59" s="20" t="str">
        <f t="shared" si="0"/>
        <v>00</v>
      </c>
      <c r="F59" s="21">
        <v>7.5810998790678194E-2</v>
      </c>
      <c r="G59" s="4">
        <v>0.44</v>
      </c>
      <c r="H59" s="4">
        <v>0.323943661971831</v>
      </c>
      <c r="I59" s="4">
        <v>1.7000000000000001E-2</v>
      </c>
      <c r="J59" s="4">
        <v>1.6E-2</v>
      </c>
      <c r="K59" s="5">
        <v>100</v>
      </c>
      <c r="L59" s="5">
        <v>100</v>
      </c>
      <c r="M59" s="5">
        <v>100</v>
      </c>
      <c r="N59" s="5">
        <v>100</v>
      </c>
      <c r="O59" s="2">
        <v>0.57981849525294205</v>
      </c>
      <c r="P59" s="2">
        <v>0.39147886613342453</v>
      </c>
      <c r="Q59" s="2">
        <v>1.7146158834970514E-2</v>
      </c>
      <c r="R59" s="2">
        <v>1.6129381929883644E-2</v>
      </c>
    </row>
    <row r="60" spans="1:18" x14ac:dyDescent="0.3">
      <c r="A60" s="7">
        <v>974</v>
      </c>
      <c r="B60" s="7">
        <v>439</v>
      </c>
      <c r="C60" s="7">
        <v>0</v>
      </c>
      <c r="D60" s="7">
        <v>0</v>
      </c>
      <c r="E60" s="20" t="str">
        <f t="shared" si="0"/>
        <v>00</v>
      </c>
      <c r="F60" s="21">
        <v>7.6449984552578204E-2</v>
      </c>
      <c r="G60" s="4">
        <v>0.53700000000000003</v>
      </c>
      <c r="H60" s="4">
        <v>0.40633245382585798</v>
      </c>
      <c r="I60" s="4">
        <v>1.2999999999999999E-2</v>
      </c>
      <c r="J60" s="4">
        <v>1.2E-2</v>
      </c>
      <c r="K60" s="5">
        <v>0</v>
      </c>
      <c r="L60" s="5">
        <v>100</v>
      </c>
      <c r="M60" s="5">
        <v>100</v>
      </c>
      <c r="N60" s="5">
        <v>100</v>
      </c>
      <c r="O60" s="2">
        <v>0.77002822489590306</v>
      </c>
      <c r="P60" s="2">
        <v>0.52143580287800684</v>
      </c>
      <c r="Q60" s="2">
        <v>1.3085239548655481E-2</v>
      </c>
      <c r="R60" s="2">
        <v>1.2072581234269249E-2</v>
      </c>
    </row>
    <row r="61" spans="1:18" x14ac:dyDescent="0.3">
      <c r="A61" s="7">
        <v>339</v>
      </c>
      <c r="B61" s="7">
        <v>453</v>
      </c>
      <c r="C61" s="7">
        <v>0</v>
      </c>
      <c r="D61" s="7">
        <v>0</v>
      </c>
      <c r="E61" s="20" t="str">
        <f t="shared" si="0"/>
        <v>00</v>
      </c>
      <c r="F61" s="21">
        <v>7.8207479948555106E-2</v>
      </c>
      <c r="G61" s="4">
        <v>0.749</v>
      </c>
      <c r="H61" s="4">
        <v>0.54071661237784996</v>
      </c>
      <c r="I61" s="4">
        <v>8.0000000000000002E-3</v>
      </c>
      <c r="J61" s="4">
        <v>1.4999999999999999E-2</v>
      </c>
      <c r="K61" s="5">
        <v>0</v>
      </c>
      <c r="L61" s="5">
        <v>0</v>
      </c>
      <c r="M61" s="5">
        <v>100</v>
      </c>
      <c r="N61" s="5">
        <v>100</v>
      </c>
      <c r="O61" s="2">
        <v>1.3823023398503531</v>
      </c>
      <c r="P61" s="2">
        <v>0.7780878572090284</v>
      </c>
      <c r="Q61" s="2">
        <v>8.0321716972642666E-3</v>
      </c>
      <c r="R61" s="2">
        <v>1.5113637810048184E-2</v>
      </c>
    </row>
    <row r="62" spans="1:18" x14ac:dyDescent="0.3">
      <c r="A62" s="7">
        <v>487</v>
      </c>
      <c r="B62" s="7">
        <v>429</v>
      </c>
      <c r="C62" s="7">
        <v>0</v>
      </c>
      <c r="D62" s="7">
        <v>0</v>
      </c>
      <c r="E62" s="20" t="str">
        <f t="shared" si="0"/>
        <v>00</v>
      </c>
      <c r="F62" s="21">
        <v>7.8990826048955104E-2</v>
      </c>
      <c r="G62" s="4">
        <v>0.42499999999999999</v>
      </c>
      <c r="H62" s="4">
        <v>0.32476635514018698</v>
      </c>
      <c r="I62" s="4">
        <v>8.0000000000000002E-3</v>
      </c>
      <c r="J62" s="4">
        <v>8.0000000000000002E-3</v>
      </c>
      <c r="K62" s="5">
        <v>100</v>
      </c>
      <c r="L62" s="5">
        <v>100</v>
      </c>
      <c r="M62" s="5">
        <v>100</v>
      </c>
      <c r="N62" s="5">
        <v>100</v>
      </c>
      <c r="O62" s="2">
        <v>0.55338523818478669</v>
      </c>
      <c r="P62" s="2">
        <v>0.39269650746936463</v>
      </c>
      <c r="Q62" s="2">
        <v>8.0321716972642666E-3</v>
      </c>
      <c r="R62" s="2">
        <v>8.0321716972642666E-3</v>
      </c>
    </row>
    <row r="63" spans="1:18" x14ac:dyDescent="0.3">
      <c r="A63" s="7">
        <v>546</v>
      </c>
      <c r="B63" s="7">
        <v>445</v>
      </c>
      <c r="C63" s="7">
        <v>0</v>
      </c>
      <c r="D63" s="7">
        <v>0</v>
      </c>
      <c r="E63" s="20" t="str">
        <f t="shared" si="0"/>
        <v>00</v>
      </c>
      <c r="F63" s="21">
        <v>8.0231626419720203E-2</v>
      </c>
      <c r="G63" s="4">
        <v>0.52500000000000002</v>
      </c>
      <c r="H63" s="4">
        <v>0.39583333333333298</v>
      </c>
      <c r="I63" s="4">
        <v>7.0000000000000001E-3</v>
      </c>
      <c r="J63" s="4">
        <v>1.9E-2</v>
      </c>
      <c r="K63" s="5">
        <v>0</v>
      </c>
      <c r="L63" s="5">
        <v>100</v>
      </c>
      <c r="M63" s="5">
        <v>100</v>
      </c>
      <c r="N63" s="5">
        <v>100</v>
      </c>
      <c r="O63" s="2">
        <v>0.74444047494749588</v>
      </c>
      <c r="P63" s="2">
        <v>0.50390518092141645</v>
      </c>
      <c r="Q63" s="2">
        <v>7.0246149369644663E-3</v>
      </c>
      <c r="R63" s="2">
        <v>1.9182819416773987E-2</v>
      </c>
    </row>
    <row r="64" spans="1:18" x14ac:dyDescent="0.3">
      <c r="A64" s="7">
        <v>69</v>
      </c>
      <c r="B64" s="7">
        <v>427</v>
      </c>
      <c r="C64" s="7">
        <v>0</v>
      </c>
      <c r="D64" s="7">
        <v>0</v>
      </c>
      <c r="E64" s="20" t="str">
        <f t="shared" si="0"/>
        <v>00</v>
      </c>
      <c r="F64" s="21">
        <v>8.4654661203380499E-2</v>
      </c>
      <c r="G64" s="4">
        <v>0.621</v>
      </c>
      <c r="H64" s="4">
        <v>0.47027027027027002</v>
      </c>
      <c r="I64" s="4">
        <v>1.2E-2</v>
      </c>
      <c r="J64" s="4">
        <v>2.7E-2</v>
      </c>
      <c r="K64" s="5">
        <v>0</v>
      </c>
      <c r="L64" s="5">
        <v>100</v>
      </c>
      <c r="M64" s="5">
        <v>100</v>
      </c>
      <c r="N64" s="5">
        <v>100</v>
      </c>
      <c r="O64" s="2">
        <v>0.97021907389971074</v>
      </c>
      <c r="P64" s="2">
        <v>0.63538834640775244</v>
      </c>
      <c r="Q64" s="2">
        <v>1.2072581234269249E-2</v>
      </c>
      <c r="R64" s="2">
        <v>2.7371196796132015E-2</v>
      </c>
    </row>
    <row r="65" spans="1:18" x14ac:dyDescent="0.3">
      <c r="A65" s="7">
        <v>44</v>
      </c>
      <c r="B65" s="7">
        <v>420</v>
      </c>
      <c r="C65" s="7">
        <v>0</v>
      </c>
      <c r="D65" s="7">
        <v>0</v>
      </c>
      <c r="E65" s="20" t="str">
        <f t="shared" si="0"/>
        <v>00</v>
      </c>
      <c r="F65" s="21">
        <v>8.5224279968597202E-2</v>
      </c>
      <c r="G65" s="4">
        <v>0.621</v>
      </c>
      <c r="H65" s="4">
        <v>0.50529100529100501</v>
      </c>
      <c r="I65" s="4">
        <v>5.0000000000000001E-3</v>
      </c>
      <c r="J65" s="4">
        <v>1.6E-2</v>
      </c>
      <c r="K65" s="5">
        <v>0</v>
      </c>
      <c r="L65" s="5">
        <v>0</v>
      </c>
      <c r="M65" s="5">
        <v>100</v>
      </c>
      <c r="N65" s="5">
        <v>100</v>
      </c>
      <c r="O65" s="2">
        <v>0.97021907389971074</v>
      </c>
      <c r="P65" s="2">
        <v>0.70378557876500047</v>
      </c>
      <c r="Q65" s="2">
        <v>5.0125418235442863E-3</v>
      </c>
      <c r="R65" s="2">
        <v>1.6129381929883644E-2</v>
      </c>
    </row>
    <row r="66" spans="1:18" x14ac:dyDescent="0.3">
      <c r="A66" s="7">
        <v>604</v>
      </c>
      <c r="B66" s="7">
        <v>415</v>
      </c>
      <c r="C66" s="7">
        <v>0</v>
      </c>
      <c r="D66" s="7">
        <v>0</v>
      </c>
      <c r="E66" s="20" t="str">
        <f t="shared" ref="E66:E129" si="1">_xlfn.CONCAT(C66,D66)</f>
        <v>00</v>
      </c>
      <c r="F66" s="21">
        <v>8.5377175584953405E-2</v>
      </c>
      <c r="G66" s="4">
        <v>0.40400000000000003</v>
      </c>
      <c r="H66" s="4">
        <v>0.33870967741935498</v>
      </c>
      <c r="I66" s="4">
        <v>1.7999999999999999E-2</v>
      </c>
      <c r="J66" s="4">
        <v>2.4E-2</v>
      </c>
      <c r="K66" s="5">
        <v>100</v>
      </c>
      <c r="L66" s="5">
        <v>100</v>
      </c>
      <c r="M66" s="5">
        <v>100</v>
      </c>
      <c r="N66" s="5">
        <v>100</v>
      </c>
      <c r="O66" s="2">
        <v>0.51751461191678738</v>
      </c>
      <c r="P66" s="2">
        <v>0.41356231834078394</v>
      </c>
      <c r="Q66" s="2">
        <v>1.816397062767118E-2</v>
      </c>
      <c r="R66" s="2">
        <v>2.4292692569044587E-2</v>
      </c>
    </row>
    <row r="67" spans="1:18" x14ac:dyDescent="0.3">
      <c r="A67" s="7">
        <v>449</v>
      </c>
      <c r="B67" s="7">
        <v>433</v>
      </c>
      <c r="C67" s="7">
        <v>0</v>
      </c>
      <c r="D67" s="7">
        <v>0</v>
      </c>
      <c r="E67" s="20" t="str">
        <f t="shared" si="1"/>
        <v>00</v>
      </c>
      <c r="F67" s="21">
        <v>8.6494221236394803E-2</v>
      </c>
      <c r="G67" s="4">
        <v>0.50600000000000001</v>
      </c>
      <c r="H67" s="4">
        <v>0.33060109289617501</v>
      </c>
      <c r="I67" s="4">
        <v>1.0999999999999999E-2</v>
      </c>
      <c r="J67" s="4">
        <v>0.01</v>
      </c>
      <c r="K67" s="5">
        <v>0</v>
      </c>
      <c r="L67" s="5">
        <v>100</v>
      </c>
      <c r="M67" s="5">
        <v>100</v>
      </c>
      <c r="N67" s="5">
        <v>100</v>
      </c>
      <c r="O67" s="2">
        <v>0.70521976179421453</v>
      </c>
      <c r="P67" s="2">
        <v>0.40137512285663945</v>
      </c>
      <c r="Q67" s="2">
        <v>1.1060947359424948E-2</v>
      </c>
      <c r="R67" s="2">
        <v>1.0050335853501451E-2</v>
      </c>
    </row>
    <row r="68" spans="1:18" x14ac:dyDescent="0.3">
      <c r="A68" s="7">
        <v>524</v>
      </c>
      <c r="B68" s="7">
        <v>451</v>
      </c>
      <c r="C68" s="7">
        <v>0</v>
      </c>
      <c r="D68" s="7">
        <v>0</v>
      </c>
      <c r="E68" s="20" t="str">
        <f t="shared" si="1"/>
        <v>00</v>
      </c>
      <c r="F68" s="21">
        <v>8.6953792396779597E-2</v>
      </c>
      <c r="G68" s="4">
        <v>0.39700000000000002</v>
      </c>
      <c r="H68" s="4">
        <v>0.33184855233853</v>
      </c>
      <c r="I68" s="4">
        <v>1.6E-2</v>
      </c>
      <c r="J68" s="4">
        <v>1.4E-2</v>
      </c>
      <c r="K68" s="5">
        <v>100</v>
      </c>
      <c r="L68" s="5">
        <v>100</v>
      </c>
      <c r="M68" s="5">
        <v>100</v>
      </c>
      <c r="N68" s="5">
        <v>100</v>
      </c>
      <c r="O68" s="2">
        <v>0.50583808225495164</v>
      </c>
      <c r="P68" s="2">
        <v>0.40324041308605307</v>
      </c>
      <c r="Q68" s="2">
        <v>1.6129381929883644E-2</v>
      </c>
      <c r="R68" s="2">
        <v>1.4098924379501648E-2</v>
      </c>
    </row>
    <row r="69" spans="1:18" x14ac:dyDescent="0.3">
      <c r="A69" s="7">
        <v>227</v>
      </c>
      <c r="B69" s="7">
        <v>423</v>
      </c>
      <c r="C69" s="7">
        <v>0</v>
      </c>
      <c r="D69" s="7">
        <v>0</v>
      </c>
      <c r="E69" s="20" t="str">
        <f t="shared" si="1"/>
        <v>00</v>
      </c>
      <c r="F69" s="21">
        <v>8.8402776288825896E-2</v>
      </c>
      <c r="G69" s="4">
        <v>0.72299999999999998</v>
      </c>
      <c r="H69" s="4">
        <v>0.61559139784946204</v>
      </c>
      <c r="I69" s="4">
        <v>1.9E-2</v>
      </c>
      <c r="J69" s="4">
        <v>2.1000000000000001E-2</v>
      </c>
      <c r="K69" s="5">
        <v>0</v>
      </c>
      <c r="L69" s="5">
        <v>0</v>
      </c>
      <c r="M69" s="5">
        <v>100</v>
      </c>
      <c r="N69" s="5">
        <v>100</v>
      </c>
      <c r="O69" s="2">
        <v>1.2837377727947985</v>
      </c>
      <c r="P69" s="2">
        <v>0.95604922401323844</v>
      </c>
      <c r="Q69" s="2">
        <v>1.9182819416773987E-2</v>
      </c>
      <c r="R69" s="2">
        <v>2.1223636451626688E-2</v>
      </c>
    </row>
    <row r="70" spans="1:18" x14ac:dyDescent="0.3">
      <c r="A70" s="7">
        <v>967</v>
      </c>
      <c r="B70" s="7">
        <v>447</v>
      </c>
      <c r="C70" s="7">
        <v>0</v>
      </c>
      <c r="D70" s="7">
        <v>0</v>
      </c>
      <c r="E70" s="20" t="str">
        <f t="shared" si="1"/>
        <v>00</v>
      </c>
      <c r="F70" s="21">
        <v>8.9011140353072005E-2</v>
      </c>
      <c r="G70" s="4">
        <v>0.435</v>
      </c>
      <c r="H70" s="4">
        <v>0.32029339853300698</v>
      </c>
      <c r="I70" s="4">
        <v>1.0999999999999999E-2</v>
      </c>
      <c r="J70" s="4">
        <v>1.0999999999999999E-2</v>
      </c>
      <c r="K70" s="5">
        <v>100</v>
      </c>
      <c r="L70" s="5">
        <v>100</v>
      </c>
      <c r="M70" s="5">
        <v>100</v>
      </c>
      <c r="N70" s="5">
        <v>100</v>
      </c>
      <c r="O70" s="2">
        <v>0.57092954783569616</v>
      </c>
      <c r="P70" s="2">
        <v>0.38609404235216416</v>
      </c>
      <c r="Q70" s="2">
        <v>1.1060947359424948E-2</v>
      </c>
      <c r="R70" s="2">
        <v>1.1060947359424948E-2</v>
      </c>
    </row>
    <row r="71" spans="1:18" x14ac:dyDescent="0.3">
      <c r="A71" s="7">
        <v>208</v>
      </c>
      <c r="B71" s="7">
        <v>436</v>
      </c>
      <c r="C71" s="7">
        <v>0</v>
      </c>
      <c r="D71" s="7">
        <v>0</v>
      </c>
      <c r="E71" s="20" t="str">
        <f t="shared" si="1"/>
        <v>00</v>
      </c>
      <c r="F71" s="21">
        <v>8.9875395505334604E-2</v>
      </c>
      <c r="G71" s="4">
        <v>0.58599999999999997</v>
      </c>
      <c r="H71" s="4">
        <v>0.45378151260504201</v>
      </c>
      <c r="I71" s="4">
        <v>2.1999999999999999E-2</v>
      </c>
      <c r="J71" s="4">
        <v>2.8000000000000001E-2</v>
      </c>
      <c r="K71" s="5">
        <v>0</v>
      </c>
      <c r="L71" s="5">
        <v>100</v>
      </c>
      <c r="M71" s="5">
        <v>100</v>
      </c>
      <c r="N71" s="5">
        <v>100</v>
      </c>
      <c r="O71" s="2">
        <v>0.88188930515682262</v>
      </c>
      <c r="P71" s="2">
        <v>0.60473622321589215</v>
      </c>
      <c r="Q71" s="2">
        <v>2.2245608947319737E-2</v>
      </c>
      <c r="R71" s="2">
        <v>2.8399474521698002E-2</v>
      </c>
    </row>
    <row r="72" spans="1:18" x14ac:dyDescent="0.3">
      <c r="A72" s="7">
        <v>780</v>
      </c>
      <c r="B72" s="7">
        <v>440</v>
      </c>
      <c r="C72" s="7">
        <v>0</v>
      </c>
      <c r="D72" s="7">
        <v>0</v>
      </c>
      <c r="E72" s="20" t="str">
        <f t="shared" si="1"/>
        <v>00</v>
      </c>
      <c r="F72" s="21">
        <v>9.1309958381188799E-2</v>
      </c>
      <c r="G72" s="4">
        <v>0.46600000000000003</v>
      </c>
      <c r="H72" s="4">
        <v>0.38823529411764701</v>
      </c>
      <c r="I72" s="4">
        <v>0.01</v>
      </c>
      <c r="J72" s="4">
        <v>2.1999999999999999E-2</v>
      </c>
      <c r="K72" s="5">
        <v>100</v>
      </c>
      <c r="L72" s="5">
        <v>100</v>
      </c>
      <c r="M72" s="5">
        <v>100</v>
      </c>
      <c r="N72" s="5">
        <v>100</v>
      </c>
      <c r="O72" s="2">
        <v>0.62735944002194211</v>
      </c>
      <c r="P72" s="2">
        <v>0.49140753790888902</v>
      </c>
      <c r="Q72" s="2">
        <v>1.0050335853501451E-2</v>
      </c>
      <c r="R72" s="2">
        <v>2.2245608947319737E-2</v>
      </c>
    </row>
    <row r="73" spans="1:18" x14ac:dyDescent="0.3">
      <c r="A73" s="7">
        <v>187</v>
      </c>
      <c r="B73" s="7">
        <v>412</v>
      </c>
      <c r="C73" s="7">
        <v>0</v>
      </c>
      <c r="D73" s="7">
        <v>0</v>
      </c>
      <c r="E73" s="20" t="str">
        <f t="shared" si="1"/>
        <v>00</v>
      </c>
      <c r="F73" s="21">
        <v>9.8116126661098202E-2</v>
      </c>
      <c r="G73" s="4">
        <v>0.65300000000000002</v>
      </c>
      <c r="H73" s="4">
        <v>0.45906432748538001</v>
      </c>
      <c r="I73" s="4">
        <v>0.14499999999999999</v>
      </c>
      <c r="J73" s="4">
        <v>0.25800000000000001</v>
      </c>
      <c r="K73" s="5">
        <v>0</v>
      </c>
      <c r="L73" s="5">
        <v>100</v>
      </c>
      <c r="M73" s="5">
        <v>100</v>
      </c>
      <c r="N73" s="5">
        <v>100</v>
      </c>
      <c r="O73" s="2">
        <v>1.058430499035278</v>
      </c>
      <c r="P73" s="2">
        <v>0.61445491198428026</v>
      </c>
      <c r="Q73" s="2">
        <v>0.15665381004537685</v>
      </c>
      <c r="R73" s="2">
        <v>0.29840603581475661</v>
      </c>
    </row>
    <row r="74" spans="1:18" x14ac:dyDescent="0.3">
      <c r="A74" s="7">
        <v>13</v>
      </c>
      <c r="B74" s="7">
        <v>407</v>
      </c>
      <c r="C74" s="7">
        <v>0</v>
      </c>
      <c r="D74" s="7">
        <v>0</v>
      </c>
      <c r="E74" s="20" t="str">
        <f t="shared" si="1"/>
        <v>00</v>
      </c>
      <c r="F74" s="21">
        <v>9.8170547054223095E-2</v>
      </c>
      <c r="G74" s="4">
        <v>0.53700000000000003</v>
      </c>
      <c r="H74" s="4">
        <v>0.36962750716332399</v>
      </c>
      <c r="I74" s="4">
        <v>1.4999999999999999E-2</v>
      </c>
      <c r="J74" s="4">
        <v>1.7999999999999999E-2</v>
      </c>
      <c r="K74" s="5">
        <v>0</v>
      </c>
      <c r="L74" s="5">
        <v>100</v>
      </c>
      <c r="M74" s="5">
        <v>100</v>
      </c>
      <c r="N74" s="5">
        <v>100</v>
      </c>
      <c r="O74" s="2">
        <v>0.77002822489590306</v>
      </c>
      <c r="P74" s="2">
        <v>0.46144437585006587</v>
      </c>
      <c r="Q74" s="2">
        <v>1.5113637810048184E-2</v>
      </c>
      <c r="R74" s="2">
        <v>1.816397062767118E-2</v>
      </c>
    </row>
    <row r="75" spans="1:18" x14ac:dyDescent="0.3">
      <c r="A75" s="7">
        <v>600</v>
      </c>
      <c r="B75" s="7">
        <v>415</v>
      </c>
      <c r="C75" s="7">
        <v>0</v>
      </c>
      <c r="D75" s="7">
        <v>0</v>
      </c>
      <c r="E75" s="20" t="str">
        <f t="shared" si="1"/>
        <v>00</v>
      </c>
      <c r="F75" s="21">
        <v>9.8213106989155696E-2</v>
      </c>
      <c r="G75" s="4">
        <v>0.51800000000000002</v>
      </c>
      <c r="H75" s="4">
        <v>0.40897755610972603</v>
      </c>
      <c r="I75" s="4">
        <v>1.4E-2</v>
      </c>
      <c r="J75" s="4">
        <v>0.02</v>
      </c>
      <c r="K75" s="5">
        <v>0</v>
      </c>
      <c r="L75" s="5">
        <v>100</v>
      </c>
      <c r="M75" s="5">
        <v>100</v>
      </c>
      <c r="N75" s="5">
        <v>100</v>
      </c>
      <c r="O75" s="2">
        <v>0.72981116493153675</v>
      </c>
      <c r="P75" s="2">
        <v>0.5259012861714385</v>
      </c>
      <c r="Q75" s="2">
        <v>1.4098924379501648E-2</v>
      </c>
      <c r="R75" s="2">
        <v>2.0202707317519466E-2</v>
      </c>
    </row>
    <row r="76" spans="1:18" x14ac:dyDescent="0.3">
      <c r="A76" s="7">
        <v>215</v>
      </c>
      <c r="B76" s="7">
        <v>425</v>
      </c>
      <c r="C76" s="7">
        <v>0</v>
      </c>
      <c r="D76" s="7">
        <v>0</v>
      </c>
      <c r="E76" s="20" t="str">
        <f t="shared" si="1"/>
        <v>00</v>
      </c>
      <c r="F76" s="21">
        <v>9.9053268714979797E-2</v>
      </c>
      <c r="G76" s="4">
        <v>0.70799999999999996</v>
      </c>
      <c r="H76" s="4">
        <v>0.61473087818696903</v>
      </c>
      <c r="I76" s="4">
        <v>2.4E-2</v>
      </c>
      <c r="J76" s="4">
        <v>1.7000000000000001E-2</v>
      </c>
      <c r="K76" s="5">
        <v>0</v>
      </c>
      <c r="L76" s="5">
        <v>0</v>
      </c>
      <c r="M76" s="5">
        <v>100</v>
      </c>
      <c r="N76" s="5">
        <v>100</v>
      </c>
      <c r="O76" s="2">
        <v>1.2310014767138551</v>
      </c>
      <c r="P76" s="2">
        <v>0.95381317119724529</v>
      </c>
      <c r="Q76" s="2">
        <v>2.4292692569044587E-2</v>
      </c>
      <c r="R76" s="2">
        <v>1.7146158834970514E-2</v>
      </c>
    </row>
    <row r="77" spans="1:18" x14ac:dyDescent="0.3">
      <c r="A77" s="7">
        <v>796</v>
      </c>
      <c r="B77" s="7">
        <v>431</v>
      </c>
      <c r="C77" s="7">
        <v>0</v>
      </c>
      <c r="D77" s="7">
        <v>0</v>
      </c>
      <c r="E77" s="20" t="str">
        <f t="shared" si="1"/>
        <v>00</v>
      </c>
      <c r="F77" s="21">
        <v>9.9307272150614703E-2</v>
      </c>
      <c r="G77" s="4">
        <v>0.53100000000000003</v>
      </c>
      <c r="H77" s="4">
        <v>0.41836734693877597</v>
      </c>
      <c r="I77" s="4">
        <v>8.0000000000000002E-3</v>
      </c>
      <c r="J77" s="4">
        <v>2.3E-2</v>
      </c>
      <c r="K77" s="5">
        <v>0</v>
      </c>
      <c r="L77" s="5">
        <v>100</v>
      </c>
      <c r="M77" s="5">
        <v>100</v>
      </c>
      <c r="N77" s="5">
        <v>100</v>
      </c>
      <c r="O77" s="2">
        <v>0.75715251053585775</v>
      </c>
      <c r="P77" s="2">
        <v>0.54191621083602259</v>
      </c>
      <c r="Q77" s="2">
        <v>8.0321716972642666E-3</v>
      </c>
      <c r="R77" s="2">
        <v>2.3268626939354331E-2</v>
      </c>
    </row>
    <row r="78" spans="1:18" x14ac:dyDescent="0.3">
      <c r="A78" s="7">
        <v>282</v>
      </c>
      <c r="B78" s="7">
        <v>418</v>
      </c>
      <c r="C78" s="7">
        <v>0</v>
      </c>
      <c r="D78" s="7">
        <v>0</v>
      </c>
      <c r="E78" s="20" t="str">
        <f t="shared" si="1"/>
        <v>00</v>
      </c>
      <c r="F78" s="21">
        <v>9.9662614234273902E-2</v>
      </c>
      <c r="G78" s="4">
        <v>0.67300000000000004</v>
      </c>
      <c r="H78" s="4">
        <v>0.55337078651685401</v>
      </c>
      <c r="I78" s="4">
        <v>2.1999999999999999E-2</v>
      </c>
      <c r="J78" s="4">
        <v>2.1000000000000001E-2</v>
      </c>
      <c r="K78" s="5">
        <v>0</v>
      </c>
      <c r="L78" s="5">
        <v>0</v>
      </c>
      <c r="M78" s="5">
        <v>100</v>
      </c>
      <c r="N78" s="5">
        <v>100</v>
      </c>
      <c r="O78" s="2">
        <v>1.1177951080848838</v>
      </c>
      <c r="P78" s="2">
        <v>0.80602652863179913</v>
      </c>
      <c r="Q78" s="2">
        <v>2.2245608947319737E-2</v>
      </c>
      <c r="R78" s="2">
        <v>2.1223636451626688E-2</v>
      </c>
    </row>
    <row r="79" spans="1:18" x14ac:dyDescent="0.3">
      <c r="A79" s="7">
        <v>948</v>
      </c>
      <c r="B79" s="7">
        <v>426</v>
      </c>
      <c r="C79" s="7">
        <v>0</v>
      </c>
      <c r="D79" s="7">
        <v>0</v>
      </c>
      <c r="E79" s="20" t="str">
        <f t="shared" si="1"/>
        <v>00</v>
      </c>
      <c r="F79" s="21">
        <v>0.100647907729704</v>
      </c>
      <c r="G79" s="4">
        <v>0.64800000000000002</v>
      </c>
      <c r="H79" s="4">
        <v>0.53506493506493502</v>
      </c>
      <c r="I79" s="4">
        <v>2.1000000000000001E-2</v>
      </c>
      <c r="J79" s="4">
        <v>0.02</v>
      </c>
      <c r="K79" s="5">
        <v>0</v>
      </c>
      <c r="L79" s="5">
        <v>0</v>
      </c>
      <c r="M79" s="5">
        <v>100</v>
      </c>
      <c r="N79" s="5">
        <v>100</v>
      </c>
      <c r="O79" s="2">
        <v>1.04412410338404</v>
      </c>
      <c r="P79" s="2">
        <v>0.76585752844702915</v>
      </c>
      <c r="Q79" s="2">
        <v>2.1223636451626688E-2</v>
      </c>
      <c r="R79" s="2">
        <v>2.0202707317519466E-2</v>
      </c>
    </row>
    <row r="80" spans="1:18" x14ac:dyDescent="0.3">
      <c r="A80" s="7">
        <v>9</v>
      </c>
      <c r="B80" s="7">
        <v>433</v>
      </c>
      <c r="C80" s="7">
        <v>0</v>
      </c>
      <c r="D80" s="7">
        <v>0</v>
      </c>
      <c r="E80" s="20" t="str">
        <f t="shared" si="1"/>
        <v>00</v>
      </c>
      <c r="F80" s="21">
        <v>0.104962551181497</v>
      </c>
      <c r="G80" s="4">
        <v>0.497</v>
      </c>
      <c r="H80" s="4">
        <v>0.39816933638443902</v>
      </c>
      <c r="I80" s="4">
        <v>1.7999999999999999E-2</v>
      </c>
      <c r="J80" s="4">
        <v>1.2999999999999999E-2</v>
      </c>
      <c r="K80" s="5">
        <v>100</v>
      </c>
      <c r="L80" s="5">
        <v>100</v>
      </c>
      <c r="M80" s="5">
        <v>100</v>
      </c>
      <c r="N80" s="5">
        <v>100</v>
      </c>
      <c r="O80" s="2">
        <v>0.68716510888239779</v>
      </c>
      <c r="P80" s="2">
        <v>0.50777916291782499</v>
      </c>
      <c r="Q80" s="2">
        <v>1.816397062767118E-2</v>
      </c>
      <c r="R80" s="2">
        <v>1.3085239548655481E-2</v>
      </c>
    </row>
    <row r="81" spans="1:18" x14ac:dyDescent="0.3">
      <c r="A81" s="7">
        <v>749</v>
      </c>
      <c r="B81" s="7">
        <v>421</v>
      </c>
      <c r="C81" s="7">
        <v>0</v>
      </c>
      <c r="D81" s="7">
        <v>0</v>
      </c>
      <c r="E81" s="20" t="str">
        <f t="shared" si="1"/>
        <v>00</v>
      </c>
      <c r="F81" s="21">
        <v>0.106031738269444</v>
      </c>
      <c r="G81" s="4">
        <v>0.61299999999999999</v>
      </c>
      <c r="H81" s="4">
        <v>0.44537815126050401</v>
      </c>
      <c r="I81" s="4">
        <v>2.1999999999999999E-2</v>
      </c>
      <c r="J81" s="4">
        <v>1.7999999999999999E-2</v>
      </c>
      <c r="K81" s="5">
        <v>0</v>
      </c>
      <c r="L81" s="5">
        <v>100</v>
      </c>
      <c r="M81" s="5">
        <v>100</v>
      </c>
      <c r="N81" s="5">
        <v>100</v>
      </c>
      <c r="O81" s="2">
        <v>0.9493305859523552</v>
      </c>
      <c r="P81" s="2">
        <v>0.58946875108510344</v>
      </c>
      <c r="Q81" s="2">
        <v>2.2245608947319737E-2</v>
      </c>
      <c r="R81" s="2">
        <v>1.816397062767118E-2</v>
      </c>
    </row>
    <row r="82" spans="1:18" x14ac:dyDescent="0.3">
      <c r="A82" s="7">
        <v>762</v>
      </c>
      <c r="B82" s="7">
        <v>412</v>
      </c>
      <c r="C82" s="7">
        <v>0</v>
      </c>
      <c r="D82" s="7">
        <v>0</v>
      </c>
      <c r="E82" s="20" t="str">
        <f t="shared" si="1"/>
        <v>00</v>
      </c>
      <c r="F82" s="21">
        <v>0.106587039512506</v>
      </c>
      <c r="G82" s="4">
        <v>0.378</v>
      </c>
      <c r="H82" s="4">
        <v>0.31111111111111101</v>
      </c>
      <c r="I82" s="4">
        <v>1.4999999999999999E-2</v>
      </c>
      <c r="J82" s="4">
        <v>1.7000000000000001E-2</v>
      </c>
      <c r="K82" s="5">
        <v>100</v>
      </c>
      <c r="L82" s="5">
        <v>100</v>
      </c>
      <c r="M82" s="5">
        <v>100</v>
      </c>
      <c r="N82" s="5">
        <v>100</v>
      </c>
      <c r="O82" s="2">
        <v>0.4748151862429576</v>
      </c>
      <c r="P82" s="2">
        <v>0.37267528528517335</v>
      </c>
      <c r="Q82" s="2">
        <v>1.5113637810048184E-2</v>
      </c>
      <c r="R82" s="2">
        <v>1.7146158834970514E-2</v>
      </c>
    </row>
    <row r="83" spans="1:18" x14ac:dyDescent="0.3">
      <c r="A83" s="7">
        <v>109</v>
      </c>
      <c r="B83" s="7">
        <v>422</v>
      </c>
      <c r="C83" s="7">
        <v>0</v>
      </c>
      <c r="D83" s="7">
        <v>0</v>
      </c>
      <c r="E83" s="20" t="str">
        <f t="shared" si="1"/>
        <v>00</v>
      </c>
      <c r="F83" s="21">
        <v>0.107533340569298</v>
      </c>
      <c r="G83" s="4">
        <v>0.56100000000000005</v>
      </c>
      <c r="H83" s="4">
        <v>0.441176470588235</v>
      </c>
      <c r="I83" s="4">
        <v>0.02</v>
      </c>
      <c r="J83" s="4">
        <v>2.1000000000000001E-2</v>
      </c>
      <c r="K83" s="5">
        <v>0</v>
      </c>
      <c r="L83" s="5">
        <v>100</v>
      </c>
      <c r="M83" s="5">
        <v>100</v>
      </c>
      <c r="N83" s="5">
        <v>100</v>
      </c>
      <c r="O83" s="2">
        <v>0.82325586590696587</v>
      </c>
      <c r="P83" s="2">
        <v>0.58192154544972052</v>
      </c>
      <c r="Q83" s="2">
        <v>2.0202707317519466E-2</v>
      </c>
      <c r="R83" s="2">
        <v>2.1223636451626688E-2</v>
      </c>
    </row>
    <row r="84" spans="1:18" x14ac:dyDescent="0.3">
      <c r="A84" s="7">
        <v>578</v>
      </c>
      <c r="B84" s="7">
        <v>410</v>
      </c>
      <c r="C84" s="7">
        <v>0</v>
      </c>
      <c r="D84" s="7">
        <v>0</v>
      </c>
      <c r="E84" s="20" t="str">
        <f t="shared" si="1"/>
        <v>00</v>
      </c>
      <c r="F84" s="21">
        <v>0.111135010472283</v>
      </c>
      <c r="G84" s="4">
        <v>0.49299999999999999</v>
      </c>
      <c r="H84" s="4">
        <v>0.40047393364928902</v>
      </c>
      <c r="I84" s="4">
        <v>1.2999999999999999E-2</v>
      </c>
      <c r="J84" s="4">
        <v>0.02</v>
      </c>
      <c r="K84" s="5">
        <v>100</v>
      </c>
      <c r="L84" s="5">
        <v>100</v>
      </c>
      <c r="M84" s="5">
        <v>100</v>
      </c>
      <c r="N84" s="5">
        <v>100</v>
      </c>
      <c r="O84" s="2">
        <v>0.67924427539095389</v>
      </c>
      <c r="P84" s="2">
        <v>0.51161582530849148</v>
      </c>
      <c r="Q84" s="2">
        <v>1.3085239548655481E-2</v>
      </c>
      <c r="R84" s="2">
        <v>2.0202707317519466E-2</v>
      </c>
    </row>
    <row r="85" spans="1:18" x14ac:dyDescent="0.3">
      <c r="A85" s="7">
        <v>582</v>
      </c>
      <c r="B85" s="7">
        <v>404</v>
      </c>
      <c r="C85" s="7">
        <v>0</v>
      </c>
      <c r="D85" s="7">
        <v>0</v>
      </c>
      <c r="E85" s="20" t="str">
        <f t="shared" si="1"/>
        <v>00</v>
      </c>
      <c r="F85" s="21">
        <v>0.111312600612867</v>
      </c>
      <c r="G85" s="4">
        <v>0.43099999999999999</v>
      </c>
      <c r="H85" s="4">
        <v>0.32558139534883701</v>
      </c>
      <c r="I85" s="4">
        <v>1.2999999999999999E-2</v>
      </c>
      <c r="J85" s="4">
        <v>1.2999999999999999E-2</v>
      </c>
      <c r="K85" s="5">
        <v>100</v>
      </c>
      <c r="L85" s="5">
        <v>100</v>
      </c>
      <c r="M85" s="5">
        <v>100</v>
      </c>
      <c r="N85" s="5">
        <v>100</v>
      </c>
      <c r="O85" s="2">
        <v>0.56387484485580619</v>
      </c>
      <c r="P85" s="2">
        <v>0.39390428570708808</v>
      </c>
      <c r="Q85" s="2">
        <v>1.3085239548655481E-2</v>
      </c>
      <c r="R85" s="2">
        <v>1.3085239548655481E-2</v>
      </c>
    </row>
    <row r="86" spans="1:18" x14ac:dyDescent="0.3">
      <c r="A86" s="7">
        <v>843</v>
      </c>
      <c r="B86" s="7">
        <v>434</v>
      </c>
      <c r="C86" s="7">
        <v>0</v>
      </c>
      <c r="D86" s="7">
        <v>0</v>
      </c>
      <c r="E86" s="20" t="str">
        <f t="shared" si="1"/>
        <v>00</v>
      </c>
      <c r="F86" s="21">
        <v>0.114937938524214</v>
      </c>
      <c r="G86" s="4">
        <v>0.46100000000000002</v>
      </c>
      <c r="H86" s="4">
        <v>0.37864077669902901</v>
      </c>
      <c r="I86" s="4">
        <v>1.4999999999999999E-2</v>
      </c>
      <c r="J86" s="4">
        <v>2.1000000000000001E-2</v>
      </c>
      <c r="K86" s="5">
        <v>100</v>
      </c>
      <c r="L86" s="5">
        <v>100</v>
      </c>
      <c r="M86" s="5">
        <v>100</v>
      </c>
      <c r="N86" s="5">
        <v>100</v>
      </c>
      <c r="O86" s="2">
        <v>0.61803970807314002</v>
      </c>
      <c r="P86" s="2">
        <v>0.47584590486996364</v>
      </c>
      <c r="Q86" s="2">
        <v>1.5113637810048184E-2</v>
      </c>
      <c r="R86" s="2">
        <v>2.1223636451626688E-2</v>
      </c>
    </row>
    <row r="87" spans="1:18" x14ac:dyDescent="0.3">
      <c r="A87" s="7">
        <v>482</v>
      </c>
      <c r="B87" s="7">
        <v>406</v>
      </c>
      <c r="C87" s="7">
        <v>0</v>
      </c>
      <c r="D87" s="7">
        <v>0</v>
      </c>
      <c r="E87" s="20" t="str">
        <f t="shared" si="1"/>
        <v>00</v>
      </c>
      <c r="F87" s="21">
        <v>0.11625710549426201</v>
      </c>
      <c r="G87" s="4">
        <v>0.49299999999999999</v>
      </c>
      <c r="H87" s="4">
        <v>0.366336633663366</v>
      </c>
      <c r="I87" s="4">
        <v>1.9E-2</v>
      </c>
      <c r="J87" s="4">
        <v>2.1000000000000001E-2</v>
      </c>
      <c r="K87" s="5">
        <v>100</v>
      </c>
      <c r="L87" s="5">
        <v>100</v>
      </c>
      <c r="M87" s="5">
        <v>100</v>
      </c>
      <c r="N87" s="5">
        <v>100</v>
      </c>
      <c r="O87" s="2">
        <v>0.67924427539095389</v>
      </c>
      <c r="P87" s="2">
        <v>0.45623743348158707</v>
      </c>
      <c r="Q87" s="2">
        <v>1.9182819416773987E-2</v>
      </c>
      <c r="R87" s="2">
        <v>2.1223636451626688E-2</v>
      </c>
    </row>
    <row r="88" spans="1:18" x14ac:dyDescent="0.3">
      <c r="A88" s="7">
        <v>366</v>
      </c>
      <c r="B88" s="7">
        <v>412</v>
      </c>
      <c r="C88" s="7">
        <v>0</v>
      </c>
      <c r="D88" s="7">
        <v>0</v>
      </c>
      <c r="E88" s="20" t="str">
        <f t="shared" si="1"/>
        <v>00</v>
      </c>
      <c r="F88" s="21">
        <v>0.11800666773069</v>
      </c>
      <c r="G88" s="4">
        <v>0.60499999999999998</v>
      </c>
      <c r="H88" s="4">
        <v>0.44808743169398901</v>
      </c>
      <c r="I88" s="4">
        <v>6.0000000000000001E-3</v>
      </c>
      <c r="J88" s="4">
        <v>2.5000000000000001E-2</v>
      </c>
      <c r="K88" s="5">
        <v>0</v>
      </c>
      <c r="L88" s="5">
        <v>100</v>
      </c>
      <c r="M88" s="5">
        <v>100</v>
      </c>
      <c r="N88" s="5">
        <v>100</v>
      </c>
      <c r="O88" s="2">
        <v>0.92886951408101515</v>
      </c>
      <c r="P88" s="2">
        <v>0.59436563600016135</v>
      </c>
      <c r="Q88" s="2">
        <v>6.0180723255630212E-3</v>
      </c>
      <c r="R88" s="2">
        <v>2.5317807984289897E-2</v>
      </c>
    </row>
    <row r="89" spans="1:18" x14ac:dyDescent="0.3">
      <c r="A89" s="7">
        <v>465</v>
      </c>
      <c r="B89" s="7">
        <v>405</v>
      </c>
      <c r="C89" s="7">
        <v>0</v>
      </c>
      <c r="D89" s="7">
        <v>0</v>
      </c>
      <c r="E89" s="20" t="str">
        <f t="shared" si="1"/>
        <v>00</v>
      </c>
      <c r="F89" s="21">
        <v>0.11863284354806899</v>
      </c>
      <c r="G89" s="4">
        <v>0.39400000000000002</v>
      </c>
      <c r="H89" s="4">
        <v>0.32450331125827803</v>
      </c>
      <c r="I89" s="4">
        <v>2.1000000000000001E-2</v>
      </c>
      <c r="J89" s="4">
        <v>1.6E-2</v>
      </c>
      <c r="K89" s="5">
        <v>100</v>
      </c>
      <c r="L89" s="5">
        <v>100</v>
      </c>
      <c r="M89" s="5">
        <v>100</v>
      </c>
      <c r="N89" s="5">
        <v>100</v>
      </c>
      <c r="O89" s="2">
        <v>0.50087529291282262</v>
      </c>
      <c r="P89" s="2">
        <v>0.39230702353065305</v>
      </c>
      <c r="Q89" s="2">
        <v>2.1223636451626688E-2</v>
      </c>
      <c r="R89" s="2">
        <v>1.6129381929883644E-2</v>
      </c>
    </row>
    <row r="90" spans="1:18" x14ac:dyDescent="0.3">
      <c r="A90" s="7">
        <v>824</v>
      </c>
      <c r="B90" s="7">
        <v>410</v>
      </c>
      <c r="C90" s="7">
        <v>0</v>
      </c>
      <c r="D90" s="7">
        <v>0</v>
      </c>
      <c r="E90" s="20" t="str">
        <f t="shared" si="1"/>
        <v>00</v>
      </c>
      <c r="F90" s="21">
        <v>0.118821647029312</v>
      </c>
      <c r="G90" s="4">
        <v>0.47299999999999998</v>
      </c>
      <c r="H90" s="4">
        <v>0.35784313725490202</v>
      </c>
      <c r="I90" s="4">
        <v>1.7000000000000001E-2</v>
      </c>
      <c r="J90" s="4">
        <v>8.0000000000000002E-3</v>
      </c>
      <c r="K90" s="5">
        <v>100</v>
      </c>
      <c r="L90" s="5">
        <v>100</v>
      </c>
      <c r="M90" s="5">
        <v>100</v>
      </c>
      <c r="N90" s="5">
        <v>100</v>
      </c>
      <c r="O90" s="2">
        <v>0.64055473044077471</v>
      </c>
      <c r="P90" s="2">
        <v>0.44292267064306495</v>
      </c>
      <c r="Q90" s="2">
        <v>1.7146158834970514E-2</v>
      </c>
      <c r="R90" s="2">
        <v>8.0321716972642666E-3</v>
      </c>
    </row>
    <row r="91" spans="1:18" x14ac:dyDescent="0.3">
      <c r="A91" s="7">
        <v>597</v>
      </c>
      <c r="B91" s="7">
        <v>410</v>
      </c>
      <c r="C91" s="7">
        <v>0</v>
      </c>
      <c r="D91" s="7">
        <v>0</v>
      </c>
      <c r="E91" s="20" t="str">
        <f t="shared" si="1"/>
        <v>00</v>
      </c>
      <c r="F91" s="21">
        <v>0.121737754729476</v>
      </c>
      <c r="G91" s="4">
        <v>0.45200000000000001</v>
      </c>
      <c r="H91" s="4">
        <v>0.35697940503432501</v>
      </c>
      <c r="I91" s="4">
        <v>1.9E-2</v>
      </c>
      <c r="J91" s="4">
        <v>1.7000000000000001E-2</v>
      </c>
      <c r="K91" s="5">
        <v>100</v>
      </c>
      <c r="L91" s="5">
        <v>100</v>
      </c>
      <c r="M91" s="5">
        <v>100</v>
      </c>
      <c r="N91" s="5">
        <v>100</v>
      </c>
      <c r="O91" s="2">
        <v>0.60147999203412139</v>
      </c>
      <c r="P91" s="2">
        <v>0.44157852576184448</v>
      </c>
      <c r="Q91" s="2">
        <v>1.9182819416773987E-2</v>
      </c>
      <c r="R91" s="2">
        <v>1.7146158834970514E-2</v>
      </c>
    </row>
    <row r="92" spans="1:18" x14ac:dyDescent="0.3">
      <c r="A92" s="7">
        <v>221</v>
      </c>
      <c r="B92" s="7">
        <v>433</v>
      </c>
      <c r="C92" s="7">
        <v>0</v>
      </c>
      <c r="D92" s="7">
        <v>0</v>
      </c>
      <c r="E92" s="20" t="str">
        <f t="shared" si="1"/>
        <v>00</v>
      </c>
      <c r="F92" s="21">
        <v>0.124440095838269</v>
      </c>
      <c r="G92" s="4">
        <v>0.55400000000000005</v>
      </c>
      <c r="H92" s="4">
        <v>0.41645244215938299</v>
      </c>
      <c r="I92" s="4">
        <v>1.6E-2</v>
      </c>
      <c r="J92" s="4">
        <v>1.6E-2</v>
      </c>
      <c r="K92" s="5">
        <v>0</v>
      </c>
      <c r="L92" s="5">
        <v>100</v>
      </c>
      <c r="M92" s="5">
        <v>100</v>
      </c>
      <c r="N92" s="5">
        <v>100</v>
      </c>
      <c r="O92" s="2">
        <v>0.80743632696207313</v>
      </c>
      <c r="P92" s="2">
        <v>0.5386293261370434</v>
      </c>
      <c r="Q92" s="2">
        <v>1.6129381929883644E-2</v>
      </c>
      <c r="R92" s="2">
        <v>1.6129381929883644E-2</v>
      </c>
    </row>
    <row r="93" spans="1:18" x14ac:dyDescent="0.3">
      <c r="A93" s="7">
        <v>195</v>
      </c>
      <c r="B93" s="7">
        <v>392</v>
      </c>
      <c r="C93" s="7">
        <v>0</v>
      </c>
      <c r="D93" s="7">
        <v>0</v>
      </c>
      <c r="E93" s="20" t="str">
        <f t="shared" si="1"/>
        <v>00</v>
      </c>
      <c r="F93" s="21">
        <v>0.124531116185809</v>
      </c>
      <c r="G93" s="4">
        <v>0.77300000000000002</v>
      </c>
      <c r="H93" s="4">
        <v>0.64923076923076894</v>
      </c>
      <c r="I93" s="4">
        <v>9.1999999999999998E-2</v>
      </c>
      <c r="J93" s="4">
        <v>9.4E-2</v>
      </c>
      <c r="K93" s="5">
        <v>0</v>
      </c>
      <c r="L93" s="5">
        <v>0</v>
      </c>
      <c r="M93" s="5">
        <v>100</v>
      </c>
      <c r="N93" s="5">
        <v>100</v>
      </c>
      <c r="O93" s="2">
        <v>1.4828052615007346</v>
      </c>
      <c r="P93" s="2">
        <v>1.0476267339352412</v>
      </c>
      <c r="Q93" s="2">
        <v>9.6510900380843728E-2</v>
      </c>
      <c r="R93" s="2">
        <v>9.8715972939157695E-2</v>
      </c>
    </row>
    <row r="94" spans="1:18" x14ac:dyDescent="0.3">
      <c r="A94" s="7">
        <v>306</v>
      </c>
      <c r="B94" s="7">
        <v>419</v>
      </c>
      <c r="C94" s="7">
        <v>0</v>
      </c>
      <c r="D94" s="7">
        <v>0</v>
      </c>
      <c r="E94" s="20" t="str">
        <f t="shared" si="1"/>
        <v>00</v>
      </c>
      <c r="F94" s="21">
        <v>0.125707258430173</v>
      </c>
      <c r="G94" s="4">
        <v>0.53200000000000003</v>
      </c>
      <c r="H94" s="4">
        <v>0.39425587467362899</v>
      </c>
      <c r="I94" s="4">
        <v>1.9E-2</v>
      </c>
      <c r="J94" s="4">
        <v>0.03</v>
      </c>
      <c r="K94" s="5">
        <v>0</v>
      </c>
      <c r="L94" s="5">
        <v>100</v>
      </c>
      <c r="M94" s="5">
        <v>100</v>
      </c>
      <c r="N94" s="5">
        <v>100</v>
      </c>
      <c r="O94" s="2">
        <v>0.75928698306449038</v>
      </c>
      <c r="P94" s="2">
        <v>0.50129761751433566</v>
      </c>
      <c r="Q94" s="2">
        <v>1.9182819416773987E-2</v>
      </c>
      <c r="R94" s="2">
        <v>3.0459207484708574E-2</v>
      </c>
    </row>
    <row r="95" spans="1:18" x14ac:dyDescent="0.3">
      <c r="A95" s="7">
        <v>458</v>
      </c>
      <c r="B95" s="7">
        <v>389</v>
      </c>
      <c r="C95" s="7">
        <v>0</v>
      </c>
      <c r="D95" s="7">
        <v>0</v>
      </c>
      <c r="E95" s="20" t="str">
        <f t="shared" si="1"/>
        <v>00</v>
      </c>
      <c r="F95" s="21">
        <v>0.125723640501756</v>
      </c>
      <c r="G95" s="4">
        <v>0.52600000000000002</v>
      </c>
      <c r="H95" s="4">
        <v>0.38324873096446699</v>
      </c>
      <c r="I95" s="4">
        <v>0.876</v>
      </c>
      <c r="J95" s="4">
        <v>0.90400000000000003</v>
      </c>
      <c r="K95" s="5">
        <v>0</v>
      </c>
      <c r="L95" s="5">
        <v>100</v>
      </c>
      <c r="M95" s="5">
        <v>0</v>
      </c>
      <c r="N95" s="5">
        <v>0</v>
      </c>
      <c r="O95" s="2">
        <v>0.74654795728706058</v>
      </c>
      <c r="P95" s="2">
        <v>0.48328946595738531</v>
      </c>
      <c r="Q95" s="2">
        <v>2.0874737133771002</v>
      </c>
      <c r="R95" s="2">
        <v>2.3434070875143012</v>
      </c>
    </row>
    <row r="96" spans="1:18" x14ac:dyDescent="0.3">
      <c r="A96" s="7">
        <v>922</v>
      </c>
      <c r="B96" s="7">
        <v>381</v>
      </c>
      <c r="C96" s="7">
        <v>0</v>
      </c>
      <c r="D96" s="7">
        <v>0</v>
      </c>
      <c r="E96" s="20" t="str">
        <f t="shared" si="1"/>
        <v>00</v>
      </c>
      <c r="F96" s="21">
        <v>0.127977722669391</v>
      </c>
      <c r="G96" s="4">
        <v>0.54500000000000004</v>
      </c>
      <c r="H96" s="4">
        <v>0.42676767676767702</v>
      </c>
      <c r="I96" s="4">
        <v>3.3000000000000002E-2</v>
      </c>
      <c r="J96" s="4">
        <v>0.03</v>
      </c>
      <c r="K96" s="5">
        <v>0</v>
      </c>
      <c r="L96" s="5">
        <v>100</v>
      </c>
      <c r="M96" s="5">
        <v>100</v>
      </c>
      <c r="N96" s="5">
        <v>100</v>
      </c>
      <c r="O96" s="2">
        <v>0.78745786003118667</v>
      </c>
      <c r="P96" s="2">
        <v>0.55646419377307832</v>
      </c>
      <c r="Q96" s="2">
        <v>3.3556783528842754E-2</v>
      </c>
      <c r="R96" s="2">
        <v>3.0459207484708574E-2</v>
      </c>
    </row>
    <row r="97" spans="1:18" x14ac:dyDescent="0.3">
      <c r="A97" s="7">
        <v>377</v>
      </c>
      <c r="B97" s="7">
        <v>400</v>
      </c>
      <c r="C97" s="7">
        <v>0</v>
      </c>
      <c r="D97" s="7">
        <v>0</v>
      </c>
      <c r="E97" s="20" t="str">
        <f t="shared" si="1"/>
        <v>00</v>
      </c>
      <c r="F97" s="21">
        <v>0.128020142064728</v>
      </c>
      <c r="G97" s="4">
        <v>0.73199999999999998</v>
      </c>
      <c r="H97" s="4">
        <v>0.483754512635379</v>
      </c>
      <c r="I97" s="4">
        <v>2.9000000000000001E-2</v>
      </c>
      <c r="J97" s="4">
        <v>4.9000000000000002E-2</v>
      </c>
      <c r="K97" s="5">
        <v>0</v>
      </c>
      <c r="L97" s="5">
        <v>100</v>
      </c>
      <c r="M97" s="5">
        <v>100</v>
      </c>
      <c r="N97" s="5">
        <v>100</v>
      </c>
      <c r="O97" s="2">
        <v>1.3167682984712803</v>
      </c>
      <c r="P97" s="2">
        <v>0.66117287592743124</v>
      </c>
      <c r="Q97" s="2">
        <v>2.9428810690812168E-2</v>
      </c>
      <c r="R97" s="2">
        <v>5.024121643674679E-2</v>
      </c>
    </row>
    <row r="98" spans="1:18" x14ac:dyDescent="0.3">
      <c r="A98" s="7">
        <v>908</v>
      </c>
      <c r="B98" s="7">
        <v>385</v>
      </c>
      <c r="C98" s="7">
        <v>0</v>
      </c>
      <c r="D98" s="7">
        <v>0</v>
      </c>
      <c r="E98" s="20" t="str">
        <f t="shared" si="1"/>
        <v>00</v>
      </c>
      <c r="F98" s="21">
        <v>0.129140333450429</v>
      </c>
      <c r="G98" s="4">
        <v>0.68700000000000006</v>
      </c>
      <c r="H98" s="4">
        <v>0.55014326647564504</v>
      </c>
      <c r="I98" s="4">
        <v>3.6999999999999998E-2</v>
      </c>
      <c r="J98" s="4">
        <v>2.5000000000000001E-2</v>
      </c>
      <c r="K98" s="5">
        <v>0</v>
      </c>
      <c r="L98" s="5">
        <v>0</v>
      </c>
      <c r="M98" s="5">
        <v>100</v>
      </c>
      <c r="N98" s="5">
        <v>100</v>
      </c>
      <c r="O98" s="2">
        <v>1.1615520884419841</v>
      </c>
      <c r="P98" s="2">
        <v>0.79882611685411986</v>
      </c>
      <c r="Q98" s="2">
        <v>3.7701867184011528E-2</v>
      </c>
      <c r="R98" s="2">
        <v>2.5317807984289897E-2</v>
      </c>
    </row>
    <row r="99" spans="1:18" x14ac:dyDescent="0.3">
      <c r="A99" s="7">
        <v>788</v>
      </c>
      <c r="B99" s="7">
        <v>416</v>
      </c>
      <c r="C99" s="7">
        <v>0</v>
      </c>
      <c r="D99" s="7">
        <v>0</v>
      </c>
      <c r="E99" s="20" t="str">
        <f t="shared" si="1"/>
        <v>00</v>
      </c>
      <c r="F99" s="21">
        <v>0.13583153144365701</v>
      </c>
      <c r="G99" s="4">
        <v>0.47799999999999998</v>
      </c>
      <c r="H99" s="4">
        <v>0.38139534883720899</v>
      </c>
      <c r="I99" s="4">
        <v>1.7999999999999999E-2</v>
      </c>
      <c r="J99" s="4">
        <v>1.9E-2</v>
      </c>
      <c r="K99" s="5">
        <v>100</v>
      </c>
      <c r="L99" s="5">
        <v>100</v>
      </c>
      <c r="M99" s="5">
        <v>100</v>
      </c>
      <c r="N99" s="5">
        <v>100</v>
      </c>
      <c r="O99" s="2">
        <v>0.65008769109949827</v>
      </c>
      <c r="P99" s="2">
        <v>0.48028889990590862</v>
      </c>
      <c r="Q99" s="2">
        <v>1.816397062767118E-2</v>
      </c>
      <c r="R99" s="2">
        <v>1.9182819416773987E-2</v>
      </c>
    </row>
    <row r="100" spans="1:18" x14ac:dyDescent="0.3">
      <c r="A100" s="7">
        <v>271</v>
      </c>
      <c r="B100" s="7">
        <v>393</v>
      </c>
      <c r="C100" s="7">
        <v>0</v>
      </c>
      <c r="D100" s="7">
        <v>0</v>
      </c>
      <c r="E100" s="20" t="str">
        <f t="shared" si="1"/>
        <v>00</v>
      </c>
      <c r="F100" s="21">
        <v>0.13611090763588199</v>
      </c>
      <c r="G100" s="4">
        <v>0.503</v>
      </c>
      <c r="H100" s="4">
        <v>0.34278350515463901</v>
      </c>
      <c r="I100" s="4">
        <v>1.7000000000000001E-2</v>
      </c>
      <c r="J100" s="4">
        <v>2.5000000000000001E-2</v>
      </c>
      <c r="K100" s="5">
        <v>0</v>
      </c>
      <c r="L100" s="5">
        <v>100</v>
      </c>
      <c r="M100" s="5">
        <v>100</v>
      </c>
      <c r="N100" s="5">
        <v>100</v>
      </c>
      <c r="O100" s="2">
        <v>0.69916525288550835</v>
      </c>
      <c r="P100" s="2">
        <v>0.41974179446484711</v>
      </c>
      <c r="Q100" s="2">
        <v>1.7146158834970514E-2</v>
      </c>
      <c r="R100" s="2">
        <v>2.5317807984289897E-2</v>
      </c>
    </row>
    <row r="101" spans="1:18" x14ac:dyDescent="0.3">
      <c r="A101" s="7">
        <v>995</v>
      </c>
      <c r="B101" s="7">
        <v>401</v>
      </c>
      <c r="C101" s="7">
        <v>0</v>
      </c>
      <c r="D101" s="7">
        <v>0</v>
      </c>
      <c r="E101" s="20" t="str">
        <f t="shared" si="1"/>
        <v>00</v>
      </c>
      <c r="F101" s="21">
        <v>0.13707848032871101</v>
      </c>
      <c r="G101" s="4">
        <v>0.53600000000000003</v>
      </c>
      <c r="H101" s="4">
        <v>0.433168316831683</v>
      </c>
      <c r="I101" s="4">
        <v>2.9000000000000001E-2</v>
      </c>
      <c r="J101" s="4">
        <v>0.03</v>
      </c>
      <c r="K101" s="5">
        <v>0</v>
      </c>
      <c r="L101" s="5">
        <v>100</v>
      </c>
      <c r="M101" s="5">
        <v>100</v>
      </c>
      <c r="N101" s="5">
        <v>100</v>
      </c>
      <c r="O101" s="2">
        <v>0.76787072675588186</v>
      </c>
      <c r="P101" s="2">
        <v>0.56769287440691008</v>
      </c>
      <c r="Q101" s="2">
        <v>2.9428810690812168E-2</v>
      </c>
      <c r="R101" s="2">
        <v>3.0459207484708574E-2</v>
      </c>
    </row>
    <row r="102" spans="1:18" x14ac:dyDescent="0.3">
      <c r="A102" s="7">
        <v>119</v>
      </c>
      <c r="B102" s="7">
        <v>401</v>
      </c>
      <c r="C102" s="7">
        <v>0</v>
      </c>
      <c r="D102" s="7">
        <v>0</v>
      </c>
      <c r="E102" s="20" t="str">
        <f t="shared" si="1"/>
        <v>00</v>
      </c>
      <c r="F102" s="21">
        <v>0.13744542377292701</v>
      </c>
      <c r="G102" s="4">
        <v>0.53300000000000003</v>
      </c>
      <c r="H102" s="4">
        <v>0.439716312056738</v>
      </c>
      <c r="I102" s="4">
        <v>1.9E-2</v>
      </c>
      <c r="J102" s="4">
        <v>1.6E-2</v>
      </c>
      <c r="K102" s="5">
        <v>0</v>
      </c>
      <c r="L102" s="5">
        <v>100</v>
      </c>
      <c r="M102" s="5">
        <v>100</v>
      </c>
      <c r="N102" s="5">
        <v>100</v>
      </c>
      <c r="O102" s="2">
        <v>0.76142602131323978</v>
      </c>
      <c r="P102" s="2">
        <v>0.57931203791114749</v>
      </c>
      <c r="Q102" s="2">
        <v>1.9182819416773987E-2</v>
      </c>
      <c r="R102" s="2">
        <v>1.6129381929883644E-2</v>
      </c>
    </row>
    <row r="103" spans="1:18" x14ac:dyDescent="0.3">
      <c r="A103" s="7">
        <v>688</v>
      </c>
      <c r="B103" s="7">
        <v>386</v>
      </c>
      <c r="C103" s="7">
        <v>0</v>
      </c>
      <c r="D103" s="7">
        <v>0</v>
      </c>
      <c r="E103" s="20" t="str">
        <f t="shared" si="1"/>
        <v>00</v>
      </c>
      <c r="F103" s="21">
        <v>0.138662543347812</v>
      </c>
      <c r="G103" s="4">
        <v>0.63900000000000001</v>
      </c>
      <c r="H103" s="4">
        <v>0.476190476190476</v>
      </c>
      <c r="I103" s="4">
        <v>2.5999999999999999E-2</v>
      </c>
      <c r="J103" s="4">
        <v>2.5000000000000001E-2</v>
      </c>
      <c r="K103" s="5">
        <v>0</v>
      </c>
      <c r="L103" s="5">
        <v>100</v>
      </c>
      <c r="M103" s="5">
        <v>100</v>
      </c>
      <c r="N103" s="5">
        <v>100</v>
      </c>
      <c r="O103" s="2">
        <v>1.0188773206492561</v>
      </c>
      <c r="P103" s="2">
        <v>0.64662716492505223</v>
      </c>
      <c r="Q103" s="2">
        <v>2.6343975339601977E-2</v>
      </c>
      <c r="R103" s="2">
        <v>2.5317807984289897E-2</v>
      </c>
    </row>
    <row r="104" spans="1:18" x14ac:dyDescent="0.3">
      <c r="A104" s="7">
        <v>800</v>
      </c>
      <c r="B104" s="7">
        <v>368</v>
      </c>
      <c r="C104" s="7">
        <v>0</v>
      </c>
      <c r="D104" s="7">
        <v>0</v>
      </c>
      <c r="E104" s="20" t="str">
        <f t="shared" si="1"/>
        <v>00</v>
      </c>
      <c r="F104" s="21">
        <v>0.138724256037354</v>
      </c>
      <c r="G104" s="4">
        <v>0.749</v>
      </c>
      <c r="H104" s="4">
        <v>0.57818181818181802</v>
      </c>
      <c r="I104" s="4">
        <v>2.5999999999999999E-2</v>
      </c>
      <c r="J104" s="4">
        <v>2.8000000000000001E-2</v>
      </c>
      <c r="K104" s="5">
        <v>0</v>
      </c>
      <c r="L104" s="5">
        <v>0</v>
      </c>
      <c r="M104" s="5">
        <v>100</v>
      </c>
      <c r="N104" s="5">
        <v>100</v>
      </c>
      <c r="O104" s="2">
        <v>1.3823023398503531</v>
      </c>
      <c r="P104" s="2">
        <v>0.8631809065602063</v>
      </c>
      <c r="Q104" s="2">
        <v>2.6343975339601977E-2</v>
      </c>
      <c r="R104" s="2">
        <v>2.8399474521698002E-2</v>
      </c>
    </row>
    <row r="105" spans="1:18" x14ac:dyDescent="0.3">
      <c r="A105" s="7">
        <v>919</v>
      </c>
      <c r="B105" s="7">
        <v>388</v>
      </c>
      <c r="C105" s="7">
        <v>0</v>
      </c>
      <c r="D105" s="7">
        <v>0</v>
      </c>
      <c r="E105" s="20" t="str">
        <f t="shared" si="1"/>
        <v>00</v>
      </c>
      <c r="F105" s="21">
        <v>0.14063683176286501</v>
      </c>
      <c r="G105" s="4">
        <v>0.46600000000000003</v>
      </c>
      <c r="H105" s="4">
        <v>0.38151658767772501</v>
      </c>
      <c r="I105" s="4">
        <v>2.3E-2</v>
      </c>
      <c r="J105" s="4">
        <v>2.3E-2</v>
      </c>
      <c r="K105" s="5">
        <v>100</v>
      </c>
      <c r="L105" s="5">
        <v>100</v>
      </c>
      <c r="M105" s="5">
        <v>100</v>
      </c>
      <c r="N105" s="5">
        <v>100</v>
      </c>
      <c r="O105" s="2">
        <v>0.62735944002194211</v>
      </c>
      <c r="P105" s="2">
        <v>0.48048490671331823</v>
      </c>
      <c r="Q105" s="2">
        <v>2.3268626939354331E-2</v>
      </c>
      <c r="R105" s="2">
        <v>2.3268626939354331E-2</v>
      </c>
    </row>
    <row r="106" spans="1:18" x14ac:dyDescent="0.3">
      <c r="A106" s="7">
        <v>785</v>
      </c>
      <c r="B106" s="7">
        <v>397</v>
      </c>
      <c r="C106" s="7">
        <v>0</v>
      </c>
      <c r="D106" s="7">
        <v>0</v>
      </c>
      <c r="E106" s="20" t="str">
        <f t="shared" si="1"/>
        <v>00</v>
      </c>
      <c r="F106" s="21">
        <v>0.141220035379957</v>
      </c>
      <c r="G106" s="4">
        <v>0.42099999999999999</v>
      </c>
      <c r="H106" s="4">
        <v>0.37788018433179699</v>
      </c>
      <c r="I106" s="4">
        <v>4.2000000000000003E-2</v>
      </c>
      <c r="J106" s="4">
        <v>0.04</v>
      </c>
      <c r="K106" s="5">
        <v>100</v>
      </c>
      <c r="L106" s="5">
        <v>100</v>
      </c>
      <c r="M106" s="5">
        <v>100</v>
      </c>
      <c r="N106" s="5">
        <v>100</v>
      </c>
      <c r="O106" s="2">
        <v>0.54645280140914188</v>
      </c>
      <c r="P106" s="2">
        <v>0.4746225751020296</v>
      </c>
      <c r="Q106" s="2">
        <v>4.290750101127655E-2</v>
      </c>
      <c r="R106" s="2">
        <v>4.0821994520255166E-2</v>
      </c>
    </row>
    <row r="107" spans="1:18" x14ac:dyDescent="0.3">
      <c r="A107" s="7">
        <v>466</v>
      </c>
      <c r="B107" s="7">
        <v>391</v>
      </c>
      <c r="C107" s="7">
        <v>0</v>
      </c>
      <c r="D107" s="7">
        <v>0</v>
      </c>
      <c r="E107" s="20" t="str">
        <f t="shared" si="1"/>
        <v>00</v>
      </c>
      <c r="F107" s="21">
        <v>0.14307064706295999</v>
      </c>
      <c r="G107" s="4">
        <v>0.51600000000000001</v>
      </c>
      <c r="H107" s="4">
        <v>0.41966426858513201</v>
      </c>
      <c r="I107" s="4">
        <v>0.121</v>
      </c>
      <c r="J107" s="4">
        <v>0.1</v>
      </c>
      <c r="K107" s="5">
        <v>0</v>
      </c>
      <c r="L107" s="5">
        <v>100</v>
      </c>
      <c r="M107" s="5">
        <v>100</v>
      </c>
      <c r="N107" s="5">
        <v>100</v>
      </c>
      <c r="O107" s="2">
        <v>0.72567037226550535</v>
      </c>
      <c r="P107" s="2">
        <v>0.54414849564211509</v>
      </c>
      <c r="Q107" s="2">
        <v>0.12897038129696006</v>
      </c>
      <c r="R107" s="2">
        <v>0.10536051565782628</v>
      </c>
    </row>
    <row r="108" spans="1:18" x14ac:dyDescent="0.3">
      <c r="A108" s="7">
        <v>101</v>
      </c>
      <c r="B108" s="7">
        <v>378</v>
      </c>
      <c r="C108" s="7">
        <v>0</v>
      </c>
      <c r="D108" s="7">
        <v>0</v>
      </c>
      <c r="E108" s="20" t="str">
        <f t="shared" si="1"/>
        <v>00</v>
      </c>
      <c r="F108" s="21">
        <v>0.146434057465404</v>
      </c>
      <c r="G108" s="4">
        <v>0.64600000000000002</v>
      </c>
      <c r="H108" s="4">
        <v>0.46031746031746001</v>
      </c>
      <c r="I108" s="4">
        <v>2.4E-2</v>
      </c>
      <c r="J108" s="4">
        <v>0.03</v>
      </c>
      <c r="K108" s="5">
        <v>0</v>
      </c>
      <c r="L108" s="5">
        <v>100</v>
      </c>
      <c r="M108" s="5">
        <v>100</v>
      </c>
      <c r="N108" s="5">
        <v>100</v>
      </c>
      <c r="O108" s="2">
        <v>1.0384583658483626</v>
      </c>
      <c r="P108" s="2">
        <v>0.61677420177537079</v>
      </c>
      <c r="Q108" s="2">
        <v>2.4292692569044587E-2</v>
      </c>
      <c r="R108" s="2">
        <v>3.0459207484708574E-2</v>
      </c>
    </row>
    <row r="109" spans="1:18" x14ac:dyDescent="0.3">
      <c r="A109" s="7">
        <v>352</v>
      </c>
      <c r="B109" s="7">
        <v>380</v>
      </c>
      <c r="C109" s="7">
        <v>0</v>
      </c>
      <c r="D109" s="7">
        <v>0</v>
      </c>
      <c r="E109" s="20" t="str">
        <f t="shared" si="1"/>
        <v>00</v>
      </c>
      <c r="F109" s="21">
        <v>0.14732458244622801</v>
      </c>
      <c r="G109" s="4">
        <v>0.40699999999999997</v>
      </c>
      <c r="H109" s="4">
        <v>0.338672768878719</v>
      </c>
      <c r="I109" s="4">
        <v>3.5000000000000003E-2</v>
      </c>
      <c r="J109" s="4">
        <v>3.5000000000000003E-2</v>
      </c>
      <c r="K109" s="5">
        <v>100</v>
      </c>
      <c r="L109" s="5">
        <v>100</v>
      </c>
      <c r="M109" s="5">
        <v>100</v>
      </c>
      <c r="N109" s="5">
        <v>100</v>
      </c>
      <c r="O109" s="2">
        <v>0.5225608799844117</v>
      </c>
      <c r="P109" s="2">
        <v>0.41350650698315872</v>
      </c>
      <c r="Q109" s="2">
        <v>3.562717764315116E-2</v>
      </c>
      <c r="R109" s="2">
        <v>3.562717764315116E-2</v>
      </c>
    </row>
    <row r="110" spans="1:18" x14ac:dyDescent="0.3">
      <c r="A110" s="7">
        <v>857</v>
      </c>
      <c r="B110" s="7">
        <v>378</v>
      </c>
      <c r="C110" s="7">
        <v>0</v>
      </c>
      <c r="D110" s="7">
        <v>0</v>
      </c>
      <c r="E110" s="20" t="str">
        <f t="shared" si="1"/>
        <v>00</v>
      </c>
      <c r="F110" s="21">
        <v>0.14993684958936801</v>
      </c>
      <c r="G110" s="4">
        <v>0.51300000000000001</v>
      </c>
      <c r="H110" s="4">
        <v>0.43735224586288401</v>
      </c>
      <c r="I110" s="4">
        <v>2.1000000000000001E-2</v>
      </c>
      <c r="J110" s="4">
        <v>2.8000000000000001E-2</v>
      </c>
      <c r="K110" s="5">
        <v>0</v>
      </c>
      <c r="L110" s="5">
        <v>100</v>
      </c>
      <c r="M110" s="5">
        <v>100</v>
      </c>
      <c r="N110" s="5">
        <v>100</v>
      </c>
      <c r="O110" s="2">
        <v>0.71949115589954726</v>
      </c>
      <c r="P110" s="2">
        <v>0.57510150537480298</v>
      </c>
      <c r="Q110" s="2">
        <v>2.1223636451626688E-2</v>
      </c>
      <c r="R110" s="2">
        <v>2.8399474521698002E-2</v>
      </c>
    </row>
    <row r="111" spans="1:18" x14ac:dyDescent="0.3">
      <c r="A111" s="7">
        <v>301</v>
      </c>
      <c r="B111" s="7">
        <v>389</v>
      </c>
      <c r="C111" s="7">
        <v>0</v>
      </c>
      <c r="D111" s="7">
        <v>0</v>
      </c>
      <c r="E111" s="20" t="str">
        <f t="shared" si="1"/>
        <v>00</v>
      </c>
      <c r="F111" s="21">
        <v>0.150419124917966</v>
      </c>
      <c r="G111" s="4">
        <v>0.49399999999999999</v>
      </c>
      <c r="H111" s="4">
        <v>0.40048543689320398</v>
      </c>
      <c r="I111" s="4">
        <v>1.7000000000000001E-2</v>
      </c>
      <c r="J111" s="4">
        <v>0.03</v>
      </c>
      <c r="K111" s="5">
        <v>100</v>
      </c>
      <c r="L111" s="5">
        <v>100</v>
      </c>
      <c r="M111" s="5">
        <v>100</v>
      </c>
      <c r="N111" s="5">
        <v>100</v>
      </c>
      <c r="O111" s="2">
        <v>0.68121860969467152</v>
      </c>
      <c r="P111" s="2">
        <v>0.51163501272154943</v>
      </c>
      <c r="Q111" s="2">
        <v>1.7146158834970514E-2</v>
      </c>
      <c r="R111" s="2">
        <v>3.0459207484708574E-2</v>
      </c>
    </row>
    <row r="112" spans="1:18" x14ac:dyDescent="0.3">
      <c r="A112" s="7">
        <v>362</v>
      </c>
      <c r="B112" s="7">
        <v>396</v>
      </c>
      <c r="C112" s="7">
        <v>0</v>
      </c>
      <c r="D112" s="7">
        <v>0</v>
      </c>
      <c r="E112" s="20" t="str">
        <f t="shared" si="1"/>
        <v>00</v>
      </c>
      <c r="F112" s="21">
        <v>0.15166936055965499</v>
      </c>
      <c r="G112" s="4">
        <v>0.63600000000000001</v>
      </c>
      <c r="H112" s="4">
        <v>0.415584415584416</v>
      </c>
      <c r="I112" s="4">
        <v>1.9E-2</v>
      </c>
      <c r="J112" s="4">
        <v>4.3999999999999997E-2</v>
      </c>
      <c r="K112" s="5">
        <v>0</v>
      </c>
      <c r="L112" s="5">
        <v>100</v>
      </c>
      <c r="M112" s="5">
        <v>100</v>
      </c>
      <c r="N112" s="5">
        <v>100</v>
      </c>
      <c r="O112" s="2">
        <v>1.0106014113453965</v>
      </c>
      <c r="P112" s="2">
        <v>0.53714293208336472</v>
      </c>
      <c r="Q112" s="2">
        <v>1.9182819416773987E-2</v>
      </c>
      <c r="R112" s="2">
        <v>4.4997365930735805E-2</v>
      </c>
    </row>
    <row r="113" spans="1:18" x14ac:dyDescent="0.3">
      <c r="A113" s="7">
        <v>587</v>
      </c>
      <c r="B113" s="7">
        <v>374</v>
      </c>
      <c r="C113" s="7">
        <v>0</v>
      </c>
      <c r="D113" s="7">
        <v>0</v>
      </c>
      <c r="E113" s="20" t="str">
        <f t="shared" si="1"/>
        <v>00</v>
      </c>
      <c r="F113" s="21">
        <v>0.152375225839949</v>
      </c>
      <c r="G113" s="4">
        <v>0.35</v>
      </c>
      <c r="H113" s="4">
        <v>0.328260869565217</v>
      </c>
      <c r="I113" s="4">
        <v>2.7E-2</v>
      </c>
      <c r="J113" s="4">
        <v>0.02</v>
      </c>
      <c r="K113" s="5">
        <v>100</v>
      </c>
      <c r="L113" s="5">
        <v>100</v>
      </c>
      <c r="M113" s="5">
        <v>100</v>
      </c>
      <c r="N113" s="5">
        <v>100</v>
      </c>
      <c r="O113" s="2">
        <v>0.43078291609245423</v>
      </c>
      <c r="P113" s="2">
        <v>0.39788521258539455</v>
      </c>
      <c r="Q113" s="2">
        <v>2.7371196796132015E-2</v>
      </c>
      <c r="R113" s="2">
        <v>2.0202707317519466E-2</v>
      </c>
    </row>
    <row r="114" spans="1:18" x14ac:dyDescent="0.3">
      <c r="A114" s="7">
        <v>559</v>
      </c>
      <c r="B114" s="7">
        <v>372</v>
      </c>
      <c r="C114" s="7">
        <v>0</v>
      </c>
      <c r="D114" s="7">
        <v>0</v>
      </c>
      <c r="E114" s="20" t="str">
        <f t="shared" si="1"/>
        <v>00</v>
      </c>
      <c r="F114" s="21">
        <v>0.154104035125814</v>
      </c>
      <c r="G114" s="4">
        <v>0.43</v>
      </c>
      <c r="H114" s="4">
        <v>0.31034482758620702</v>
      </c>
      <c r="I114" s="4">
        <v>5.2999999999999999E-2</v>
      </c>
      <c r="J114" s="4">
        <v>8.5000000000000006E-2</v>
      </c>
      <c r="K114" s="5">
        <v>100</v>
      </c>
      <c r="L114" s="5">
        <v>100</v>
      </c>
      <c r="M114" s="5">
        <v>100</v>
      </c>
      <c r="N114" s="5">
        <v>100</v>
      </c>
      <c r="O114" s="2">
        <v>0.56211891815354109</v>
      </c>
      <c r="P114" s="2">
        <v>0.37156355643248329</v>
      </c>
      <c r="Q114" s="2">
        <v>5.4456185796058855E-2</v>
      </c>
      <c r="R114" s="2">
        <v>8.8831213706615703E-2</v>
      </c>
    </row>
    <row r="115" spans="1:18" x14ac:dyDescent="0.3">
      <c r="A115" s="7">
        <v>795</v>
      </c>
      <c r="B115" s="7">
        <v>388</v>
      </c>
      <c r="C115" s="7">
        <v>0</v>
      </c>
      <c r="D115" s="7">
        <v>0</v>
      </c>
      <c r="E115" s="20" t="str">
        <f t="shared" si="1"/>
        <v>00</v>
      </c>
      <c r="F115" s="21">
        <v>0.15419128996303</v>
      </c>
      <c r="G115" s="4">
        <v>0.51500000000000001</v>
      </c>
      <c r="H115" s="4">
        <v>0.39101123595505599</v>
      </c>
      <c r="I115" s="4">
        <v>2.5999999999999999E-2</v>
      </c>
      <c r="J115" s="4">
        <v>3.2000000000000001E-2</v>
      </c>
      <c r="K115" s="5">
        <v>0</v>
      </c>
      <c r="L115" s="5">
        <v>100</v>
      </c>
      <c r="M115" s="5">
        <v>100</v>
      </c>
      <c r="N115" s="5">
        <v>100</v>
      </c>
      <c r="O115" s="2">
        <v>0.72360638804465394</v>
      </c>
      <c r="P115" s="2">
        <v>0.49595546128653889</v>
      </c>
      <c r="Q115" s="2">
        <v>2.6343975339601977E-2</v>
      </c>
      <c r="R115" s="2">
        <v>3.2523191705560062E-2</v>
      </c>
    </row>
    <row r="116" spans="1:18" x14ac:dyDescent="0.3">
      <c r="A116" s="7">
        <v>890</v>
      </c>
      <c r="B116" s="7">
        <v>375</v>
      </c>
      <c r="C116" s="7">
        <v>0</v>
      </c>
      <c r="D116" s="7">
        <v>0</v>
      </c>
      <c r="E116" s="20" t="str">
        <f t="shared" si="1"/>
        <v>00</v>
      </c>
      <c r="F116" s="21">
        <v>0.15521261198956701</v>
      </c>
      <c r="G116" s="4">
        <v>0.64900000000000002</v>
      </c>
      <c r="H116" s="4">
        <v>0.46325878594249198</v>
      </c>
      <c r="I116" s="4">
        <v>2.1999999999999999E-2</v>
      </c>
      <c r="J116" s="4">
        <v>2.5999999999999999E-2</v>
      </c>
      <c r="K116" s="5">
        <v>0</v>
      </c>
      <c r="L116" s="5">
        <v>100</v>
      </c>
      <c r="M116" s="5">
        <v>100</v>
      </c>
      <c r="N116" s="5">
        <v>100</v>
      </c>
      <c r="O116" s="2">
        <v>1.0469690555162714</v>
      </c>
      <c r="P116" s="2">
        <v>0.62223921113689418</v>
      </c>
      <c r="Q116" s="2">
        <v>2.2245608947319737E-2</v>
      </c>
      <c r="R116" s="2">
        <v>2.6343975339601977E-2</v>
      </c>
    </row>
    <row r="117" spans="1:18" x14ac:dyDescent="0.3">
      <c r="A117" s="7">
        <v>34</v>
      </c>
      <c r="B117" s="7">
        <v>397</v>
      </c>
      <c r="C117" s="7">
        <v>0</v>
      </c>
      <c r="D117" s="7">
        <v>0</v>
      </c>
      <c r="E117" s="20" t="str">
        <f t="shared" si="1"/>
        <v>00</v>
      </c>
      <c r="F117" s="21">
        <v>0.15552986806352201</v>
      </c>
      <c r="G117" s="4">
        <v>0.47199999999999998</v>
      </c>
      <c r="H117" s="4">
        <v>0.375</v>
      </c>
      <c r="I117" s="4">
        <v>1.7999999999999999E-2</v>
      </c>
      <c r="J117" s="4">
        <v>0.03</v>
      </c>
      <c r="K117" s="5">
        <v>100</v>
      </c>
      <c r="L117" s="5">
        <v>100</v>
      </c>
      <c r="M117" s="5">
        <v>100</v>
      </c>
      <c r="N117" s="5">
        <v>100</v>
      </c>
      <c r="O117" s="2">
        <v>0.63865899527587555</v>
      </c>
      <c r="P117" s="2">
        <v>0.47000362924573558</v>
      </c>
      <c r="Q117" s="2">
        <v>1.816397062767118E-2</v>
      </c>
      <c r="R117" s="2">
        <v>3.0459207484708574E-2</v>
      </c>
    </row>
    <row r="118" spans="1:18" x14ac:dyDescent="0.3">
      <c r="A118" s="7">
        <v>947</v>
      </c>
      <c r="B118" s="7">
        <v>389</v>
      </c>
      <c r="C118" s="7">
        <v>0</v>
      </c>
      <c r="D118" s="7">
        <v>0</v>
      </c>
      <c r="E118" s="20" t="str">
        <f t="shared" si="1"/>
        <v>00</v>
      </c>
      <c r="F118" s="21">
        <v>0.155570694449397</v>
      </c>
      <c r="G118" s="4">
        <v>0.51600000000000001</v>
      </c>
      <c r="H118" s="4">
        <v>0.40240963855421702</v>
      </c>
      <c r="I118" s="4">
        <v>3.9E-2</v>
      </c>
      <c r="J118" s="4">
        <v>0.02</v>
      </c>
      <c r="K118" s="5">
        <v>0</v>
      </c>
      <c r="L118" s="5">
        <v>100</v>
      </c>
      <c r="M118" s="5">
        <v>100</v>
      </c>
      <c r="N118" s="5">
        <v>100</v>
      </c>
      <c r="O118" s="2">
        <v>0.72567037226550535</v>
      </c>
      <c r="P118" s="2">
        <v>0.51484977406571653</v>
      </c>
      <c r="Q118" s="2">
        <v>3.9780870011844598E-2</v>
      </c>
      <c r="R118" s="2">
        <v>2.0202707317519466E-2</v>
      </c>
    </row>
    <row r="119" spans="1:18" x14ac:dyDescent="0.3">
      <c r="A119" s="7">
        <v>854</v>
      </c>
      <c r="B119" s="7">
        <v>375</v>
      </c>
      <c r="C119" s="7">
        <v>0</v>
      </c>
      <c r="D119" s="7">
        <v>0</v>
      </c>
      <c r="E119" s="20" t="str">
        <f t="shared" si="1"/>
        <v>00</v>
      </c>
      <c r="F119" s="21">
        <v>0.15923075438821099</v>
      </c>
      <c r="G119" s="4">
        <v>0.46200000000000002</v>
      </c>
      <c r="H119" s="4">
        <v>0.361179361179361</v>
      </c>
      <c r="I119" s="4">
        <v>2.4E-2</v>
      </c>
      <c r="J119" s="4">
        <v>3.5000000000000003E-2</v>
      </c>
      <c r="K119" s="5">
        <v>100</v>
      </c>
      <c r="L119" s="5">
        <v>100</v>
      </c>
      <c r="M119" s="5">
        <v>100</v>
      </c>
      <c r="N119" s="5">
        <v>100</v>
      </c>
      <c r="O119" s="2">
        <v>0.61989671882035258</v>
      </c>
      <c r="P119" s="2">
        <v>0.44813155442706698</v>
      </c>
      <c r="Q119" s="2">
        <v>2.4292692569044587E-2</v>
      </c>
      <c r="R119" s="2">
        <v>3.562717764315116E-2</v>
      </c>
    </row>
    <row r="120" spans="1:18" x14ac:dyDescent="0.3">
      <c r="A120" s="7">
        <v>489</v>
      </c>
      <c r="B120" s="7">
        <v>394</v>
      </c>
      <c r="C120" s="7">
        <v>0</v>
      </c>
      <c r="D120" s="7">
        <v>0</v>
      </c>
      <c r="E120" s="20" t="str">
        <f t="shared" si="1"/>
        <v>00</v>
      </c>
      <c r="F120" s="21">
        <v>0.15955690548711501</v>
      </c>
      <c r="G120" s="4">
        <v>0.51400000000000001</v>
      </c>
      <c r="H120" s="4">
        <v>0.40920096852300197</v>
      </c>
      <c r="I120" s="4">
        <v>2.1000000000000001E-2</v>
      </c>
      <c r="J120" s="4">
        <v>2.5000000000000001E-2</v>
      </c>
      <c r="K120" s="5">
        <v>0</v>
      </c>
      <c r="L120" s="5">
        <v>100</v>
      </c>
      <c r="M120" s="5">
        <v>100</v>
      </c>
      <c r="N120" s="5">
        <v>100</v>
      </c>
      <c r="O120" s="2">
        <v>0.72154665508164328</v>
      </c>
      <c r="P120" s="2">
        <v>0.52627936766783023</v>
      </c>
      <c r="Q120" s="2">
        <v>2.1223636451626688E-2</v>
      </c>
      <c r="R120" s="2">
        <v>2.5317807984289897E-2</v>
      </c>
    </row>
    <row r="121" spans="1:18" x14ac:dyDescent="0.3">
      <c r="A121" s="7">
        <v>664</v>
      </c>
      <c r="B121" s="7">
        <v>373</v>
      </c>
      <c r="C121" s="7">
        <v>0</v>
      </c>
      <c r="D121" s="7">
        <v>0</v>
      </c>
      <c r="E121" s="20" t="str">
        <f t="shared" si="1"/>
        <v>00</v>
      </c>
      <c r="F121" s="21">
        <v>0.16126805255750701</v>
      </c>
      <c r="G121" s="4">
        <v>0.48899999999999999</v>
      </c>
      <c r="H121" s="4">
        <v>0.41162227602905599</v>
      </c>
      <c r="I121" s="4">
        <v>3.4000000000000002E-2</v>
      </c>
      <c r="J121" s="4">
        <v>2.5999999999999999E-2</v>
      </c>
      <c r="K121" s="5">
        <v>100</v>
      </c>
      <c r="L121" s="5">
        <v>100</v>
      </c>
      <c r="M121" s="5">
        <v>100</v>
      </c>
      <c r="N121" s="5">
        <v>100</v>
      </c>
      <c r="O121" s="2">
        <v>0.67138568877843263</v>
      </c>
      <c r="P121" s="2">
        <v>0.5303861496204848</v>
      </c>
      <c r="Q121" s="2">
        <v>3.459144476961909E-2</v>
      </c>
      <c r="R121" s="2">
        <v>2.6343975339601977E-2</v>
      </c>
    </row>
    <row r="122" spans="1:18" x14ac:dyDescent="0.3">
      <c r="A122" s="7">
        <v>874</v>
      </c>
      <c r="B122" s="7">
        <v>378</v>
      </c>
      <c r="C122" s="7">
        <v>0</v>
      </c>
      <c r="D122" s="7">
        <v>0</v>
      </c>
      <c r="E122" s="20" t="str">
        <f t="shared" si="1"/>
        <v>00</v>
      </c>
      <c r="F122" s="21">
        <v>0.16758466567800001</v>
      </c>
      <c r="G122" s="4">
        <v>0.52700000000000002</v>
      </c>
      <c r="H122" s="4">
        <v>0.428934010152284</v>
      </c>
      <c r="I122" s="4">
        <v>2.8000000000000001E-2</v>
      </c>
      <c r="J122" s="4">
        <v>2.9000000000000001E-2</v>
      </c>
      <c r="K122" s="5">
        <v>0</v>
      </c>
      <c r="L122" s="5">
        <v>100</v>
      </c>
      <c r="M122" s="5">
        <v>100</v>
      </c>
      <c r="N122" s="5">
        <v>100</v>
      </c>
      <c r="O122" s="2">
        <v>0.74865989049020409</v>
      </c>
      <c r="P122" s="2">
        <v>0.56025050709351332</v>
      </c>
      <c r="Q122" s="2">
        <v>2.8399474521698002E-2</v>
      </c>
      <c r="R122" s="2">
        <v>2.9428810690812168E-2</v>
      </c>
    </row>
    <row r="123" spans="1:18" x14ac:dyDescent="0.3">
      <c r="A123" s="7">
        <v>448</v>
      </c>
      <c r="B123" s="7">
        <v>350</v>
      </c>
      <c r="C123" s="7">
        <v>0</v>
      </c>
      <c r="D123" s="7">
        <v>0</v>
      </c>
      <c r="E123" s="20" t="str">
        <f t="shared" si="1"/>
        <v>00</v>
      </c>
      <c r="F123" s="21">
        <v>0.167765301719627</v>
      </c>
      <c r="G123" s="4">
        <v>0.56000000000000005</v>
      </c>
      <c r="H123" s="4">
        <v>0.43034825870646798</v>
      </c>
      <c r="I123" s="4">
        <v>2.1000000000000001E-2</v>
      </c>
      <c r="J123" s="4">
        <v>2.5000000000000001E-2</v>
      </c>
      <c r="K123" s="5">
        <v>0</v>
      </c>
      <c r="L123" s="5">
        <v>100</v>
      </c>
      <c r="M123" s="5">
        <v>100</v>
      </c>
      <c r="N123" s="5">
        <v>100</v>
      </c>
      <c r="O123" s="2">
        <v>0.82098055206983034</v>
      </c>
      <c r="P123" s="2">
        <v>0.56273008506478195</v>
      </c>
      <c r="Q123" s="2">
        <v>2.1223636451626688E-2</v>
      </c>
      <c r="R123" s="2">
        <v>2.5317807984289897E-2</v>
      </c>
    </row>
    <row r="124" spans="1:18" x14ac:dyDescent="0.3">
      <c r="A124" s="7">
        <v>179</v>
      </c>
      <c r="B124" s="7">
        <v>366</v>
      </c>
      <c r="C124" s="7">
        <v>0</v>
      </c>
      <c r="D124" s="7">
        <v>0</v>
      </c>
      <c r="E124" s="20" t="str">
        <f t="shared" si="1"/>
        <v>00</v>
      </c>
      <c r="F124" s="21">
        <v>0.168861911475227</v>
      </c>
      <c r="G124" s="4">
        <v>0.42099999999999999</v>
      </c>
      <c r="H124" s="4">
        <v>0.30841121495327101</v>
      </c>
      <c r="I124" s="4">
        <v>5.2999999999999999E-2</v>
      </c>
      <c r="J124" s="4">
        <v>3.6999999999999998E-2</v>
      </c>
      <c r="K124" s="5">
        <v>100</v>
      </c>
      <c r="L124" s="5">
        <v>100</v>
      </c>
      <c r="M124" s="5">
        <v>100</v>
      </c>
      <c r="N124" s="5">
        <v>100</v>
      </c>
      <c r="O124" s="2">
        <v>0.54645280140914188</v>
      </c>
      <c r="P124" s="2">
        <v>0.36876374125773631</v>
      </c>
      <c r="Q124" s="2">
        <v>5.4456185796058855E-2</v>
      </c>
      <c r="R124" s="2">
        <v>3.7701867184011528E-2</v>
      </c>
    </row>
    <row r="125" spans="1:18" x14ac:dyDescent="0.3">
      <c r="A125" s="7">
        <v>23</v>
      </c>
      <c r="B125" s="7">
        <v>379</v>
      </c>
      <c r="C125" s="7">
        <v>0</v>
      </c>
      <c r="D125" s="7">
        <v>0</v>
      </c>
      <c r="E125" s="20" t="str">
        <f t="shared" si="1"/>
        <v>00</v>
      </c>
      <c r="F125" s="21">
        <v>0.16911735722392801</v>
      </c>
      <c r="G125" s="4">
        <v>0.46500000000000002</v>
      </c>
      <c r="H125" s="4">
        <v>0.341584158415842</v>
      </c>
      <c r="I125" s="4">
        <v>2.5000000000000001E-2</v>
      </c>
      <c r="J125" s="4">
        <v>3.6999999999999998E-2</v>
      </c>
      <c r="K125" s="5">
        <v>100</v>
      </c>
      <c r="L125" s="5">
        <v>100</v>
      </c>
      <c r="M125" s="5">
        <v>100</v>
      </c>
      <c r="N125" s="5">
        <v>100</v>
      </c>
      <c r="O125" s="2">
        <v>0.62548853208613064</v>
      </c>
      <c r="P125" s="2">
        <v>0.41791856917945164</v>
      </c>
      <c r="Q125" s="2">
        <v>2.5317807984289897E-2</v>
      </c>
      <c r="R125" s="2">
        <v>3.7701867184011528E-2</v>
      </c>
    </row>
    <row r="126" spans="1:18" x14ac:dyDescent="0.3">
      <c r="A126" s="7">
        <v>279</v>
      </c>
      <c r="B126" s="7">
        <v>397</v>
      </c>
      <c r="C126" s="7">
        <v>0</v>
      </c>
      <c r="D126" s="7">
        <v>0</v>
      </c>
      <c r="E126" s="20" t="str">
        <f t="shared" si="1"/>
        <v>00</v>
      </c>
      <c r="F126" s="21">
        <v>0.17107993284768799</v>
      </c>
      <c r="G126" s="4">
        <v>0.40799999999999997</v>
      </c>
      <c r="H126" s="4">
        <v>0.338028169014085</v>
      </c>
      <c r="I126" s="4">
        <v>2.8000000000000001E-2</v>
      </c>
      <c r="J126" s="4">
        <v>3.3000000000000002E-2</v>
      </c>
      <c r="K126" s="5">
        <v>100</v>
      </c>
      <c r="L126" s="5">
        <v>100</v>
      </c>
      <c r="M126" s="5">
        <v>100</v>
      </c>
      <c r="N126" s="5">
        <v>100</v>
      </c>
      <c r="O126" s="2">
        <v>0.52424864409813121</v>
      </c>
      <c r="P126" s="2">
        <v>0.41253227533125747</v>
      </c>
      <c r="Q126" s="2">
        <v>2.8399474521698002E-2</v>
      </c>
      <c r="R126" s="2">
        <v>3.3556783528842754E-2</v>
      </c>
    </row>
    <row r="127" spans="1:18" x14ac:dyDescent="0.3">
      <c r="A127" s="7">
        <v>320</v>
      </c>
      <c r="B127" s="7">
        <v>374</v>
      </c>
      <c r="C127" s="7">
        <v>0</v>
      </c>
      <c r="D127" s="7">
        <v>0</v>
      </c>
      <c r="E127" s="20" t="str">
        <f t="shared" si="1"/>
        <v>00</v>
      </c>
      <c r="F127" s="21">
        <v>0.17327856356003199</v>
      </c>
      <c r="G127" s="4">
        <v>0.55800000000000005</v>
      </c>
      <c r="H127" s="4">
        <v>0.387862796833773</v>
      </c>
      <c r="I127" s="4">
        <v>2.7E-2</v>
      </c>
      <c r="J127" s="4">
        <v>2.4E-2</v>
      </c>
      <c r="K127" s="5">
        <v>0</v>
      </c>
      <c r="L127" s="5">
        <v>100</v>
      </c>
      <c r="M127" s="5">
        <v>100</v>
      </c>
      <c r="N127" s="5">
        <v>100</v>
      </c>
      <c r="O127" s="2">
        <v>0.81644539690443907</v>
      </c>
      <c r="P127" s="2">
        <v>0.49079883341611624</v>
      </c>
      <c r="Q127" s="2">
        <v>2.7371196796132015E-2</v>
      </c>
      <c r="R127" s="2">
        <v>2.4292692569044587E-2</v>
      </c>
    </row>
    <row r="128" spans="1:18" x14ac:dyDescent="0.3">
      <c r="A128" s="7">
        <v>906</v>
      </c>
      <c r="B128" s="7">
        <v>381</v>
      </c>
      <c r="C128" s="7">
        <v>0</v>
      </c>
      <c r="D128" s="7">
        <v>0</v>
      </c>
      <c r="E128" s="20" t="str">
        <f t="shared" si="1"/>
        <v>00</v>
      </c>
      <c r="F128" s="21">
        <v>0.174666198528141</v>
      </c>
      <c r="G128" s="4">
        <v>0.48499999999999999</v>
      </c>
      <c r="H128" s="4">
        <v>0.39631336405529999</v>
      </c>
      <c r="I128" s="4">
        <v>2.1999999999999999E-2</v>
      </c>
      <c r="J128" s="4">
        <v>0.03</v>
      </c>
      <c r="K128" s="5">
        <v>100</v>
      </c>
      <c r="L128" s="5">
        <v>100</v>
      </c>
      <c r="M128" s="5">
        <v>100</v>
      </c>
      <c r="N128" s="5">
        <v>100</v>
      </c>
      <c r="O128" s="2">
        <v>0.6635883783184009</v>
      </c>
      <c r="P128" s="2">
        <v>0.50470003033930888</v>
      </c>
      <c r="Q128" s="2">
        <v>2.2245608947319737E-2</v>
      </c>
      <c r="R128" s="2">
        <v>3.0459207484708574E-2</v>
      </c>
    </row>
    <row r="129" spans="1:18" x14ac:dyDescent="0.3">
      <c r="A129" s="7">
        <v>151</v>
      </c>
      <c r="B129" s="7">
        <v>366</v>
      </c>
      <c r="C129" s="7">
        <v>0</v>
      </c>
      <c r="D129" s="7">
        <v>0</v>
      </c>
      <c r="E129" s="20" t="str">
        <f t="shared" si="1"/>
        <v>00</v>
      </c>
      <c r="F129" s="21">
        <v>0.177572526181103</v>
      </c>
      <c r="G129" s="4">
        <v>0.51500000000000001</v>
      </c>
      <c r="H129" s="4">
        <v>0.44418052256532098</v>
      </c>
      <c r="I129" s="4">
        <v>0.125</v>
      </c>
      <c r="J129" s="4">
        <v>0.10299999999999999</v>
      </c>
      <c r="K129" s="5">
        <v>0</v>
      </c>
      <c r="L129" s="5">
        <v>100</v>
      </c>
      <c r="M129" s="5">
        <v>100</v>
      </c>
      <c r="N129" s="5">
        <v>100</v>
      </c>
      <c r="O129" s="2">
        <v>0.72360638804465394</v>
      </c>
      <c r="P129" s="2">
        <v>0.58731171832468065</v>
      </c>
      <c r="Q129" s="2">
        <v>0.13353139262452263</v>
      </c>
      <c r="R129" s="2">
        <v>0.10869941692334091</v>
      </c>
    </row>
    <row r="130" spans="1:18" x14ac:dyDescent="0.3">
      <c r="A130" s="7">
        <v>634</v>
      </c>
      <c r="B130" s="7">
        <v>350</v>
      </c>
      <c r="C130" s="7">
        <v>0</v>
      </c>
      <c r="D130" s="7">
        <v>0</v>
      </c>
      <c r="E130" s="20" t="str">
        <f t="shared" ref="E130:E193" si="2">_xlfn.CONCAT(C130,D130)</f>
        <v>00</v>
      </c>
      <c r="F130" s="21">
        <v>0.177634641399114</v>
      </c>
      <c r="G130" s="4">
        <v>0.56899999999999995</v>
      </c>
      <c r="H130" s="4">
        <v>0.44581280788177302</v>
      </c>
      <c r="I130" s="4">
        <v>3.6999999999999998E-2</v>
      </c>
      <c r="J130" s="4">
        <v>4.3999999999999997E-2</v>
      </c>
      <c r="K130" s="5">
        <v>0</v>
      </c>
      <c r="L130" s="5">
        <v>100</v>
      </c>
      <c r="M130" s="5">
        <v>100</v>
      </c>
      <c r="N130" s="5">
        <v>100</v>
      </c>
      <c r="O130" s="2">
        <v>0.84164718887838919</v>
      </c>
      <c r="P130" s="2">
        <v>0.59025275739731187</v>
      </c>
      <c r="Q130" s="2">
        <v>3.7701867184011528E-2</v>
      </c>
      <c r="R130" s="2">
        <v>4.4997365930735805E-2</v>
      </c>
    </row>
    <row r="131" spans="1:18" x14ac:dyDescent="0.3">
      <c r="A131" s="7">
        <v>123</v>
      </c>
      <c r="B131" s="7">
        <v>366</v>
      </c>
      <c r="C131" s="7">
        <v>0</v>
      </c>
      <c r="D131" s="7">
        <v>0</v>
      </c>
      <c r="E131" s="20" t="str">
        <f t="shared" si="2"/>
        <v>00</v>
      </c>
      <c r="F131" s="21">
        <v>0.18073765069217701</v>
      </c>
      <c r="G131" s="4">
        <v>0.72499999999999998</v>
      </c>
      <c r="H131" s="4">
        <v>0.57371794871794901</v>
      </c>
      <c r="I131" s="4">
        <v>0.03</v>
      </c>
      <c r="J131" s="4">
        <v>3.2000000000000001E-2</v>
      </c>
      <c r="K131" s="5">
        <v>0</v>
      </c>
      <c r="L131" s="5">
        <v>0</v>
      </c>
      <c r="M131" s="5">
        <v>100</v>
      </c>
      <c r="N131" s="5">
        <v>100</v>
      </c>
      <c r="O131" s="2">
        <v>1.2909841813155656</v>
      </c>
      <c r="P131" s="2">
        <v>0.85265405958772933</v>
      </c>
      <c r="Q131" s="2">
        <v>3.0459207484708574E-2</v>
      </c>
      <c r="R131" s="2">
        <v>3.2523191705560062E-2</v>
      </c>
    </row>
    <row r="132" spans="1:18" x14ac:dyDescent="0.3">
      <c r="A132" s="7">
        <v>439</v>
      </c>
      <c r="B132" s="7">
        <v>380</v>
      </c>
      <c r="C132" s="7">
        <v>0</v>
      </c>
      <c r="D132" s="7">
        <v>0</v>
      </c>
      <c r="E132" s="20" t="str">
        <f t="shared" si="2"/>
        <v>00</v>
      </c>
      <c r="F132" s="21">
        <v>0.18660154205509499</v>
      </c>
      <c r="G132" s="4">
        <v>0.51500000000000001</v>
      </c>
      <c r="H132" s="4">
        <v>0.392344497607655</v>
      </c>
      <c r="I132" s="4">
        <v>0.20200000000000001</v>
      </c>
      <c r="J132" s="4">
        <v>0.23799999999999999</v>
      </c>
      <c r="K132" s="5">
        <v>0</v>
      </c>
      <c r="L132" s="5">
        <v>100</v>
      </c>
      <c r="M132" s="5">
        <v>100</v>
      </c>
      <c r="N132" s="5">
        <v>100</v>
      </c>
      <c r="O132" s="2">
        <v>0.72360638804465394</v>
      </c>
      <c r="P132" s="2">
        <v>0.4981471655062189</v>
      </c>
      <c r="Q132" s="2">
        <v>0.22564668153232822</v>
      </c>
      <c r="R132" s="2">
        <v>0.27180872329549077</v>
      </c>
    </row>
    <row r="133" spans="1:18" x14ac:dyDescent="0.3">
      <c r="A133" s="7">
        <v>896</v>
      </c>
      <c r="B133" s="7">
        <v>364</v>
      </c>
      <c r="C133" s="7">
        <v>0</v>
      </c>
      <c r="D133" s="7">
        <v>0</v>
      </c>
      <c r="E133" s="20" t="str">
        <f t="shared" si="2"/>
        <v>00</v>
      </c>
      <c r="F133" s="21">
        <v>0.18709683178394501</v>
      </c>
      <c r="G133" s="4">
        <v>0.40600000000000003</v>
      </c>
      <c r="H133" s="4">
        <v>0.35022026431718101</v>
      </c>
      <c r="I133" s="4">
        <v>2.3E-2</v>
      </c>
      <c r="J133" s="4">
        <v>3.5000000000000003E-2</v>
      </c>
      <c r="K133" s="5">
        <v>100</v>
      </c>
      <c r="L133" s="5">
        <v>100</v>
      </c>
      <c r="M133" s="5">
        <v>100</v>
      </c>
      <c r="N133" s="5">
        <v>100</v>
      </c>
      <c r="O133" s="2">
        <v>0.52087595961949218</v>
      </c>
      <c r="P133" s="2">
        <v>0.43112184170152879</v>
      </c>
      <c r="Q133" s="2">
        <v>2.3268626939354331E-2</v>
      </c>
      <c r="R133" s="2">
        <v>3.562717764315116E-2</v>
      </c>
    </row>
    <row r="134" spans="1:18" x14ac:dyDescent="0.3">
      <c r="A134" s="7">
        <v>172</v>
      </c>
      <c r="B134" s="7">
        <v>373</v>
      </c>
      <c r="C134" s="7">
        <v>0</v>
      </c>
      <c r="D134" s="7">
        <v>0</v>
      </c>
      <c r="E134" s="20" t="str">
        <f t="shared" si="2"/>
        <v>00</v>
      </c>
      <c r="F134" s="21">
        <v>0.188115150919166</v>
      </c>
      <c r="G134" s="4">
        <v>0.48699999999999999</v>
      </c>
      <c r="H134" s="4">
        <v>0.44827586206896602</v>
      </c>
      <c r="I134" s="4">
        <v>0.04</v>
      </c>
      <c r="J134" s="4">
        <v>4.8000000000000001E-2</v>
      </c>
      <c r="K134" s="5">
        <v>100</v>
      </c>
      <c r="L134" s="5">
        <v>100</v>
      </c>
      <c r="M134" s="5">
        <v>100</v>
      </c>
      <c r="N134" s="5">
        <v>100</v>
      </c>
      <c r="O134" s="2">
        <v>0.66747943381136754</v>
      </c>
      <c r="P134" s="2">
        <v>0.59470710774669355</v>
      </c>
      <c r="Q134" s="2">
        <v>4.0821994520255166E-2</v>
      </c>
      <c r="R134" s="2">
        <v>4.9190244190771781E-2</v>
      </c>
    </row>
    <row r="135" spans="1:18" x14ac:dyDescent="0.3">
      <c r="A135" s="7">
        <v>224</v>
      </c>
      <c r="B135" s="7">
        <v>357</v>
      </c>
      <c r="C135" s="7">
        <v>0</v>
      </c>
      <c r="D135" s="7">
        <v>0</v>
      </c>
      <c r="E135" s="20" t="str">
        <f t="shared" si="2"/>
        <v>00</v>
      </c>
      <c r="F135" s="21">
        <v>0.18847981826439</v>
      </c>
      <c r="G135" s="4">
        <v>0.44400000000000001</v>
      </c>
      <c r="H135" s="4">
        <v>0.33009708737864102</v>
      </c>
      <c r="I135" s="4">
        <v>0.03</v>
      </c>
      <c r="J135" s="4">
        <v>4.4999999999999998E-2</v>
      </c>
      <c r="K135" s="5">
        <v>100</v>
      </c>
      <c r="L135" s="5">
        <v>100</v>
      </c>
      <c r="M135" s="5">
        <v>100</v>
      </c>
      <c r="N135" s="5">
        <v>100</v>
      </c>
      <c r="O135" s="2">
        <v>0.58698698473155464</v>
      </c>
      <c r="P135" s="2">
        <v>0.40062248363237685</v>
      </c>
      <c r="Q135" s="2">
        <v>3.0459207484708574E-2</v>
      </c>
      <c r="R135" s="2">
        <v>4.6043938501406846E-2</v>
      </c>
    </row>
    <row r="136" spans="1:18" x14ac:dyDescent="0.3">
      <c r="A136" s="7">
        <v>957</v>
      </c>
      <c r="B136" s="7">
        <v>342</v>
      </c>
      <c r="C136" s="7">
        <v>0</v>
      </c>
      <c r="D136" s="7">
        <v>0</v>
      </c>
      <c r="E136" s="20" t="str">
        <f t="shared" si="2"/>
        <v>00</v>
      </c>
      <c r="F136" s="21">
        <v>0.19051326797381801</v>
      </c>
      <c r="G136" s="4">
        <v>0.42399999999999999</v>
      </c>
      <c r="H136" s="4">
        <v>0.349881796690307</v>
      </c>
      <c r="I136" s="4">
        <v>2.3E-2</v>
      </c>
      <c r="J136" s="4">
        <v>3.3000000000000002E-2</v>
      </c>
      <c r="K136" s="5">
        <v>100</v>
      </c>
      <c r="L136" s="5">
        <v>100</v>
      </c>
      <c r="M136" s="5">
        <v>100</v>
      </c>
      <c r="N136" s="5">
        <v>100</v>
      </c>
      <c r="O136" s="2">
        <v>0.55164761828624564</v>
      </c>
      <c r="P136" s="2">
        <v>0.4306010813797061</v>
      </c>
      <c r="Q136" s="2">
        <v>2.3268626939354331E-2</v>
      </c>
      <c r="R136" s="2">
        <v>3.3556783528842754E-2</v>
      </c>
    </row>
    <row r="137" spans="1:18" x14ac:dyDescent="0.3">
      <c r="A137" s="7">
        <v>495</v>
      </c>
      <c r="B137" s="7">
        <v>371</v>
      </c>
      <c r="C137" s="7">
        <v>0</v>
      </c>
      <c r="D137" s="7">
        <v>0</v>
      </c>
      <c r="E137" s="20" t="str">
        <f t="shared" si="2"/>
        <v>00</v>
      </c>
      <c r="F137" s="21">
        <v>0.19208493621369399</v>
      </c>
      <c r="G137" s="4">
        <v>0.53800000000000003</v>
      </c>
      <c r="H137" s="4">
        <v>0.42610837438423599</v>
      </c>
      <c r="I137" s="4">
        <v>0.96799999999999997</v>
      </c>
      <c r="J137" s="4">
        <v>0.96099999999999997</v>
      </c>
      <c r="K137" s="5">
        <v>0</v>
      </c>
      <c r="L137" s="5">
        <v>100</v>
      </c>
      <c r="M137" s="5">
        <v>0</v>
      </c>
      <c r="N137" s="5">
        <v>0</v>
      </c>
      <c r="O137" s="2">
        <v>0.77219038790039829</v>
      </c>
      <c r="P137" s="2">
        <v>0.55531470603603128</v>
      </c>
      <c r="Q137" s="2">
        <v>3.4420193761824098</v>
      </c>
      <c r="R137" s="2">
        <v>3.2441936328524896</v>
      </c>
    </row>
    <row r="138" spans="1:18" x14ac:dyDescent="0.3">
      <c r="A138" s="7">
        <v>376</v>
      </c>
      <c r="B138" s="7">
        <v>338</v>
      </c>
      <c r="C138" s="7">
        <v>0</v>
      </c>
      <c r="D138" s="7">
        <v>0</v>
      </c>
      <c r="E138" s="20" t="str">
        <f t="shared" si="2"/>
        <v>00</v>
      </c>
      <c r="F138" s="21">
        <v>0.19238465453443501</v>
      </c>
      <c r="G138" s="4">
        <v>0.53</v>
      </c>
      <c r="H138" s="4">
        <v>0.375</v>
      </c>
      <c r="I138" s="4">
        <v>1.4E-2</v>
      </c>
      <c r="J138" s="4">
        <v>3.5999999999999997E-2</v>
      </c>
      <c r="K138" s="5">
        <v>0</v>
      </c>
      <c r="L138" s="5">
        <v>100</v>
      </c>
      <c r="M138" s="5">
        <v>100</v>
      </c>
      <c r="N138" s="5">
        <v>100</v>
      </c>
      <c r="O138" s="2">
        <v>0.75502258427803282</v>
      </c>
      <c r="P138" s="2">
        <v>0.47000362924573558</v>
      </c>
      <c r="Q138" s="2">
        <v>1.4098924379501648E-2</v>
      </c>
      <c r="R138" s="2">
        <v>3.666398437159147E-2</v>
      </c>
    </row>
    <row r="139" spans="1:18" x14ac:dyDescent="0.3">
      <c r="A139" s="7">
        <v>206</v>
      </c>
      <c r="B139" s="7">
        <v>361</v>
      </c>
      <c r="C139" s="7">
        <v>0</v>
      </c>
      <c r="D139" s="7">
        <v>0</v>
      </c>
      <c r="E139" s="20" t="str">
        <f t="shared" si="2"/>
        <v>00</v>
      </c>
      <c r="F139" s="21">
        <v>0.192588859650559</v>
      </c>
      <c r="G139" s="4">
        <v>0.54200000000000004</v>
      </c>
      <c r="H139" s="4">
        <v>0.42997542997542998</v>
      </c>
      <c r="I139" s="4">
        <v>3.3000000000000002E-2</v>
      </c>
      <c r="J139" s="4">
        <v>4.1000000000000002E-2</v>
      </c>
      <c r="K139" s="5">
        <v>0</v>
      </c>
      <c r="L139" s="5">
        <v>100</v>
      </c>
      <c r="M139" s="5">
        <v>100</v>
      </c>
      <c r="N139" s="5">
        <v>100</v>
      </c>
      <c r="O139" s="2">
        <v>0.78088609486795213</v>
      </c>
      <c r="P139" s="2">
        <v>0.5620758137762849</v>
      </c>
      <c r="Q139" s="2">
        <v>3.3556783528842754E-2</v>
      </c>
      <c r="R139" s="2">
        <v>4.1864204098698871E-2</v>
      </c>
    </row>
    <row r="140" spans="1:18" x14ac:dyDescent="0.3">
      <c r="A140" s="7">
        <v>958</v>
      </c>
      <c r="B140" s="7">
        <v>375</v>
      </c>
      <c r="C140" s="7">
        <v>0</v>
      </c>
      <c r="D140" s="7">
        <v>0</v>
      </c>
      <c r="E140" s="20" t="str">
        <f t="shared" si="2"/>
        <v>00</v>
      </c>
      <c r="F140" s="21">
        <v>0.194041845577377</v>
      </c>
      <c r="G140" s="4">
        <v>0.51800000000000002</v>
      </c>
      <c r="H140" s="4">
        <v>0.38780487804878</v>
      </c>
      <c r="I140" s="4">
        <v>3.1E-2</v>
      </c>
      <c r="J140" s="4">
        <v>3.5000000000000003E-2</v>
      </c>
      <c r="K140" s="5">
        <v>0</v>
      </c>
      <c r="L140" s="5">
        <v>100</v>
      </c>
      <c r="M140" s="5">
        <v>100</v>
      </c>
      <c r="N140" s="5">
        <v>100</v>
      </c>
      <c r="O140" s="2">
        <v>0.72981116493153675</v>
      </c>
      <c r="P140" s="2">
        <v>0.49070422056656871</v>
      </c>
      <c r="Q140" s="2">
        <v>3.1490667091370848E-2</v>
      </c>
      <c r="R140" s="2">
        <v>3.562717764315116E-2</v>
      </c>
    </row>
    <row r="141" spans="1:18" x14ac:dyDescent="0.3">
      <c r="A141" s="7">
        <v>237</v>
      </c>
      <c r="B141" s="7">
        <v>343</v>
      </c>
      <c r="C141" s="7">
        <v>0</v>
      </c>
      <c r="D141" s="7">
        <v>0</v>
      </c>
      <c r="E141" s="20" t="str">
        <f t="shared" si="2"/>
        <v>00</v>
      </c>
      <c r="F141" s="21">
        <v>0.19755957748049899</v>
      </c>
      <c r="G141" s="4">
        <v>0.58899999999999997</v>
      </c>
      <c r="H141" s="4">
        <v>0.38567493112947698</v>
      </c>
      <c r="I141" s="4">
        <v>2.9000000000000001E-2</v>
      </c>
      <c r="J141" s="4">
        <v>5.6000000000000001E-2</v>
      </c>
      <c r="K141" s="5">
        <v>0</v>
      </c>
      <c r="L141" s="5">
        <v>100</v>
      </c>
      <c r="M141" s="5">
        <v>100</v>
      </c>
      <c r="N141" s="5">
        <v>100</v>
      </c>
      <c r="O141" s="2">
        <v>0.8891620644859024</v>
      </c>
      <c r="P141" s="2">
        <v>0.48723106280473261</v>
      </c>
      <c r="Q141" s="2">
        <v>2.9428810690812168E-2</v>
      </c>
      <c r="R141" s="2">
        <v>5.7629112836636416E-2</v>
      </c>
    </row>
    <row r="142" spans="1:18" x14ac:dyDescent="0.3">
      <c r="A142" s="7">
        <v>648</v>
      </c>
      <c r="B142" s="7">
        <v>349</v>
      </c>
      <c r="C142" s="7">
        <v>0</v>
      </c>
      <c r="D142" s="7">
        <v>0</v>
      </c>
      <c r="E142" s="20" t="str">
        <f t="shared" si="2"/>
        <v>00</v>
      </c>
      <c r="F142" s="21">
        <v>0.199108857476614</v>
      </c>
      <c r="G142" s="4">
        <v>0.46600000000000003</v>
      </c>
      <c r="H142" s="4">
        <v>0.34900990099009899</v>
      </c>
      <c r="I142" s="4">
        <v>3.5999999999999997E-2</v>
      </c>
      <c r="J142" s="4">
        <v>3.2000000000000001E-2</v>
      </c>
      <c r="K142" s="5">
        <v>100</v>
      </c>
      <c r="L142" s="5">
        <v>100</v>
      </c>
      <c r="M142" s="5">
        <v>100</v>
      </c>
      <c r="N142" s="5">
        <v>100</v>
      </c>
      <c r="O142" s="2">
        <v>0.62735944002194211</v>
      </c>
      <c r="P142" s="2">
        <v>0.42926084578338547</v>
      </c>
      <c r="Q142" s="2">
        <v>3.666398437159147E-2</v>
      </c>
      <c r="R142" s="2">
        <v>3.2523191705560062E-2</v>
      </c>
    </row>
    <row r="143" spans="1:18" x14ac:dyDescent="0.3">
      <c r="A143" s="7">
        <v>835</v>
      </c>
      <c r="B143" s="7">
        <v>365</v>
      </c>
      <c r="C143" s="7">
        <v>0</v>
      </c>
      <c r="D143" s="7">
        <v>0</v>
      </c>
      <c r="E143" s="20" t="str">
        <f t="shared" si="2"/>
        <v>00</v>
      </c>
      <c r="F143" s="21">
        <v>0.20046623571639399</v>
      </c>
      <c r="G143" s="4">
        <v>0.53400000000000003</v>
      </c>
      <c r="H143" s="4">
        <v>0.39787798408488101</v>
      </c>
      <c r="I143" s="4">
        <v>3.2000000000000001E-2</v>
      </c>
      <c r="J143" s="4">
        <v>2.8000000000000001E-2</v>
      </c>
      <c r="K143" s="5">
        <v>0</v>
      </c>
      <c r="L143" s="5">
        <v>100</v>
      </c>
      <c r="M143" s="5">
        <v>100</v>
      </c>
      <c r="N143" s="5">
        <v>100</v>
      </c>
      <c r="O143" s="2">
        <v>0.76356964485649126</v>
      </c>
      <c r="P143" s="2">
        <v>0.50729516996660862</v>
      </c>
      <c r="Q143" s="2">
        <v>3.2523191705560062E-2</v>
      </c>
      <c r="R143" s="2">
        <v>2.8399474521698002E-2</v>
      </c>
    </row>
    <row r="144" spans="1:18" x14ac:dyDescent="0.3">
      <c r="A144" s="7">
        <v>697</v>
      </c>
      <c r="B144" s="7">
        <v>366</v>
      </c>
      <c r="C144" s="7">
        <v>0</v>
      </c>
      <c r="D144" s="7">
        <v>0</v>
      </c>
      <c r="E144" s="20" t="str">
        <f t="shared" si="2"/>
        <v>00</v>
      </c>
      <c r="F144" s="21">
        <v>0.20505499748809999</v>
      </c>
      <c r="G144" s="4">
        <v>0.52200000000000002</v>
      </c>
      <c r="H144" s="4">
        <v>0.35911602209944798</v>
      </c>
      <c r="I144" s="4">
        <v>3.2000000000000001E-2</v>
      </c>
      <c r="J144" s="4">
        <v>4.9000000000000002E-2</v>
      </c>
      <c r="K144" s="5">
        <v>0</v>
      </c>
      <c r="L144" s="5">
        <v>100</v>
      </c>
      <c r="M144" s="5">
        <v>100</v>
      </c>
      <c r="N144" s="5">
        <v>100</v>
      </c>
      <c r="O144" s="2">
        <v>0.73814454649068106</v>
      </c>
      <c r="P144" s="2">
        <v>0.44490684015946191</v>
      </c>
      <c r="Q144" s="2">
        <v>3.2523191705560062E-2</v>
      </c>
      <c r="R144" s="2">
        <v>5.024121643674679E-2</v>
      </c>
    </row>
    <row r="145" spans="1:18" x14ac:dyDescent="0.3">
      <c r="A145" s="7">
        <v>498</v>
      </c>
      <c r="B145" s="7">
        <v>353</v>
      </c>
      <c r="C145" s="7">
        <v>0</v>
      </c>
      <c r="D145" s="7">
        <v>0</v>
      </c>
      <c r="E145" s="20" t="str">
        <f t="shared" si="2"/>
        <v>00</v>
      </c>
      <c r="F145" s="21">
        <v>0.21020929364609001</v>
      </c>
      <c r="G145" s="4">
        <v>0.46400000000000002</v>
      </c>
      <c r="H145" s="4">
        <v>0.39090909090909098</v>
      </c>
      <c r="I145" s="4">
        <v>4.7E-2</v>
      </c>
      <c r="J145" s="4">
        <v>0.03</v>
      </c>
      <c r="K145" s="5">
        <v>100</v>
      </c>
      <c r="L145" s="5">
        <v>100</v>
      </c>
      <c r="M145" s="5">
        <v>100</v>
      </c>
      <c r="N145" s="5">
        <v>100</v>
      </c>
      <c r="O145" s="2">
        <v>0.62362111791133501</v>
      </c>
      <c r="P145" s="2">
        <v>0.49578774640145029</v>
      </c>
      <c r="Q145" s="2">
        <v>4.8140375327934984E-2</v>
      </c>
      <c r="R145" s="2">
        <v>3.0459207484708574E-2</v>
      </c>
    </row>
    <row r="146" spans="1:18" x14ac:dyDescent="0.3">
      <c r="A146" s="7">
        <v>503</v>
      </c>
      <c r="B146" s="7">
        <v>349</v>
      </c>
      <c r="C146" s="7">
        <v>0</v>
      </c>
      <c r="D146" s="7">
        <v>0</v>
      </c>
      <c r="E146" s="20" t="str">
        <f t="shared" si="2"/>
        <v>00</v>
      </c>
      <c r="F146" s="21">
        <v>0.210238062844503</v>
      </c>
      <c r="G146" s="4">
        <v>0.502</v>
      </c>
      <c r="H146" s="4">
        <v>0.38199513381995098</v>
      </c>
      <c r="I146" s="4">
        <v>0.03</v>
      </c>
      <c r="J146" s="4">
        <v>2.8000000000000001E-2</v>
      </c>
      <c r="K146" s="5">
        <v>0</v>
      </c>
      <c r="L146" s="5">
        <v>100</v>
      </c>
      <c r="M146" s="5">
        <v>100</v>
      </c>
      <c r="N146" s="5">
        <v>100</v>
      </c>
      <c r="O146" s="2">
        <v>0.69715520195748415</v>
      </c>
      <c r="P146" s="2">
        <v>0.48125894747769743</v>
      </c>
      <c r="Q146" s="2">
        <v>3.0459207484708574E-2</v>
      </c>
      <c r="R146" s="2">
        <v>2.8399474521698002E-2</v>
      </c>
    </row>
    <row r="147" spans="1:18" x14ac:dyDescent="0.3">
      <c r="A147" s="7">
        <v>755</v>
      </c>
      <c r="B147" s="7">
        <v>351</v>
      </c>
      <c r="C147" s="7">
        <v>0</v>
      </c>
      <c r="D147" s="7">
        <v>0</v>
      </c>
      <c r="E147" s="20" t="str">
        <f t="shared" si="2"/>
        <v>00</v>
      </c>
      <c r="F147" s="21">
        <v>0.211451665174057</v>
      </c>
      <c r="G147" s="4">
        <v>0.58799999999999997</v>
      </c>
      <c r="H147" s="4">
        <v>0.40540540540540498</v>
      </c>
      <c r="I147" s="4">
        <v>0.11600000000000001</v>
      </c>
      <c r="J147" s="4">
        <v>0.13800000000000001</v>
      </c>
      <c r="K147" s="5">
        <v>0</v>
      </c>
      <c r="L147" s="5">
        <v>100</v>
      </c>
      <c r="M147" s="5">
        <v>100</v>
      </c>
      <c r="N147" s="5">
        <v>100</v>
      </c>
      <c r="O147" s="2">
        <v>0.8867319296326106</v>
      </c>
      <c r="P147" s="2">
        <v>0.51987545928590795</v>
      </c>
      <c r="Q147" s="2">
        <v>0.1232982163444936</v>
      </c>
      <c r="R147" s="2">
        <v>0.14850000831844395</v>
      </c>
    </row>
    <row r="148" spans="1:18" x14ac:dyDescent="0.3">
      <c r="A148" s="7">
        <v>36</v>
      </c>
      <c r="B148" s="7">
        <v>330</v>
      </c>
      <c r="C148" s="7">
        <v>0</v>
      </c>
      <c r="D148" s="7">
        <v>0</v>
      </c>
      <c r="E148" s="20" t="str">
        <f t="shared" si="2"/>
        <v>00</v>
      </c>
      <c r="F148" s="21">
        <v>0.21674030044602699</v>
      </c>
      <c r="G148" s="4">
        <v>0.55900000000000005</v>
      </c>
      <c r="H148" s="4">
        <v>0.4</v>
      </c>
      <c r="I148" s="4">
        <v>3.2000000000000001E-2</v>
      </c>
      <c r="J148" s="4">
        <v>4.1000000000000002E-2</v>
      </c>
      <c r="K148" s="5">
        <v>0</v>
      </c>
      <c r="L148" s="5">
        <v>100</v>
      </c>
      <c r="M148" s="5">
        <v>100</v>
      </c>
      <c r="N148" s="5">
        <v>100</v>
      </c>
      <c r="O148" s="2">
        <v>0.81871040353529123</v>
      </c>
      <c r="P148" s="2">
        <v>0.51082562376599072</v>
      </c>
      <c r="Q148" s="2">
        <v>3.2523191705560062E-2</v>
      </c>
      <c r="R148" s="2">
        <v>4.1864204098698871E-2</v>
      </c>
    </row>
    <row r="149" spans="1:18" x14ac:dyDescent="0.3">
      <c r="A149" s="7">
        <v>421</v>
      </c>
      <c r="B149" s="7">
        <v>335</v>
      </c>
      <c r="C149" s="7">
        <v>0</v>
      </c>
      <c r="D149" s="7">
        <v>0</v>
      </c>
      <c r="E149" s="20" t="str">
        <f t="shared" si="2"/>
        <v>00</v>
      </c>
      <c r="F149" s="21">
        <v>0.21710922111570199</v>
      </c>
      <c r="G149" s="4">
        <v>0.58299999999999996</v>
      </c>
      <c r="H149" s="4">
        <v>0.40285714285714302</v>
      </c>
      <c r="I149" s="4">
        <v>0.96099999999999997</v>
      </c>
      <c r="J149" s="4">
        <v>0.93899999999999995</v>
      </c>
      <c r="K149" s="5">
        <v>0</v>
      </c>
      <c r="L149" s="5">
        <v>100</v>
      </c>
      <c r="M149" s="5">
        <v>0</v>
      </c>
      <c r="N149" s="5">
        <v>0</v>
      </c>
      <c r="O149" s="2">
        <v>0.87466905718333554</v>
      </c>
      <c r="P149" s="2">
        <v>0.51559890251864859</v>
      </c>
      <c r="Q149" s="2">
        <v>3.2441936328524896</v>
      </c>
      <c r="R149" s="2">
        <v>2.796881414808825</v>
      </c>
    </row>
    <row r="150" spans="1:18" x14ac:dyDescent="0.3">
      <c r="A150" s="7">
        <v>940</v>
      </c>
      <c r="B150" s="7">
        <v>360</v>
      </c>
      <c r="C150" s="7">
        <v>0</v>
      </c>
      <c r="D150" s="7">
        <v>0</v>
      </c>
      <c r="E150" s="20" t="str">
        <f t="shared" si="2"/>
        <v>00</v>
      </c>
      <c r="F150" s="21">
        <v>0.21761603623350001</v>
      </c>
      <c r="G150" s="4">
        <v>0.73</v>
      </c>
      <c r="H150" s="4">
        <v>0.595166163141994</v>
      </c>
      <c r="I150" s="4">
        <v>7.2999999999999995E-2</v>
      </c>
      <c r="J150" s="4">
        <v>5.7000000000000002E-2</v>
      </c>
      <c r="K150" s="5">
        <v>0</v>
      </c>
      <c r="L150" s="5">
        <v>0</v>
      </c>
      <c r="M150" s="5">
        <v>100</v>
      </c>
      <c r="N150" s="5">
        <v>100</v>
      </c>
      <c r="O150" s="2">
        <v>1.3093333199837622</v>
      </c>
      <c r="P150" s="2">
        <v>0.90427857542615164</v>
      </c>
      <c r="Q150" s="2">
        <v>7.5801713416281849E-2</v>
      </c>
      <c r="R150" s="2">
        <v>5.8688996348679613E-2</v>
      </c>
    </row>
    <row r="151" spans="1:18" x14ac:dyDescent="0.3">
      <c r="A151" s="7">
        <v>367</v>
      </c>
      <c r="B151" s="7">
        <v>359</v>
      </c>
      <c r="C151" s="7">
        <v>0</v>
      </c>
      <c r="D151" s="7">
        <v>0</v>
      </c>
      <c r="E151" s="20" t="str">
        <f t="shared" si="2"/>
        <v>00</v>
      </c>
      <c r="F151" s="21">
        <v>0.218955409791949</v>
      </c>
      <c r="G151" s="4">
        <v>0.48299999999999998</v>
      </c>
      <c r="H151" s="4">
        <v>0.37559808612440199</v>
      </c>
      <c r="I151" s="4">
        <v>0.04</v>
      </c>
      <c r="J151" s="4">
        <v>0.03</v>
      </c>
      <c r="K151" s="5">
        <v>100</v>
      </c>
      <c r="L151" s="5">
        <v>100</v>
      </c>
      <c r="M151" s="5">
        <v>100</v>
      </c>
      <c r="N151" s="5">
        <v>100</v>
      </c>
      <c r="O151" s="2">
        <v>0.65971240447370794</v>
      </c>
      <c r="P151" s="2">
        <v>0.47096102520206296</v>
      </c>
      <c r="Q151" s="2">
        <v>4.0821994520255166E-2</v>
      </c>
      <c r="R151" s="2">
        <v>3.0459207484708574E-2</v>
      </c>
    </row>
    <row r="152" spans="1:18" x14ac:dyDescent="0.3">
      <c r="A152" s="7">
        <v>300</v>
      </c>
      <c r="B152" s="7">
        <v>335</v>
      </c>
      <c r="C152" s="7">
        <v>0</v>
      </c>
      <c r="D152" s="7">
        <v>0</v>
      </c>
      <c r="E152" s="20" t="str">
        <f t="shared" si="2"/>
        <v>00</v>
      </c>
      <c r="F152" s="21">
        <v>0.219569100656093</v>
      </c>
      <c r="G152" s="4">
        <v>0.54100000000000004</v>
      </c>
      <c r="H152" s="4">
        <v>0.410994764397906</v>
      </c>
      <c r="I152" s="4">
        <v>3.3000000000000002E-2</v>
      </c>
      <c r="J152" s="4">
        <v>3.4000000000000002E-2</v>
      </c>
      <c r="K152" s="5">
        <v>0</v>
      </c>
      <c r="L152" s="5">
        <v>100</v>
      </c>
      <c r="M152" s="5">
        <v>100</v>
      </c>
      <c r="N152" s="5">
        <v>100</v>
      </c>
      <c r="O152" s="2">
        <v>0.77870506892159197</v>
      </c>
      <c r="P152" s="2">
        <v>0.52932020640215538</v>
      </c>
      <c r="Q152" s="2">
        <v>3.3556783528842754E-2</v>
      </c>
      <c r="R152" s="2">
        <v>3.459144476961909E-2</v>
      </c>
    </row>
    <row r="153" spans="1:18" x14ac:dyDescent="0.3">
      <c r="A153" s="7">
        <v>612</v>
      </c>
      <c r="B153" s="7">
        <v>358</v>
      </c>
      <c r="C153" s="7">
        <v>0</v>
      </c>
      <c r="D153" s="7">
        <v>0</v>
      </c>
      <c r="E153" s="20" t="str">
        <f t="shared" si="2"/>
        <v>00</v>
      </c>
      <c r="F153" s="21">
        <v>0.22097367225968201</v>
      </c>
      <c r="G153" s="4">
        <v>0.379</v>
      </c>
      <c r="H153" s="4">
        <v>0.29342723004694798</v>
      </c>
      <c r="I153" s="4">
        <v>0.04</v>
      </c>
      <c r="J153" s="4">
        <v>4.8000000000000001E-2</v>
      </c>
      <c r="K153" s="5">
        <v>100</v>
      </c>
      <c r="L153" s="5">
        <v>100</v>
      </c>
      <c r="M153" s="5">
        <v>100</v>
      </c>
      <c r="N153" s="5">
        <v>100</v>
      </c>
      <c r="O153" s="2">
        <v>0.47642419704865829</v>
      </c>
      <c r="P153" s="2">
        <v>0.34732908152049424</v>
      </c>
      <c r="Q153" s="2">
        <v>4.0821994520255166E-2</v>
      </c>
      <c r="R153" s="2">
        <v>4.9190244190771781E-2</v>
      </c>
    </row>
    <row r="154" spans="1:18" x14ac:dyDescent="0.3">
      <c r="A154" s="7">
        <v>978</v>
      </c>
      <c r="B154" s="7">
        <v>340</v>
      </c>
      <c r="C154" s="7">
        <v>0</v>
      </c>
      <c r="D154" s="7">
        <v>0</v>
      </c>
      <c r="E154" s="20" t="str">
        <f t="shared" si="2"/>
        <v>00</v>
      </c>
      <c r="F154" s="21">
        <v>0.222473993025985</v>
      </c>
      <c r="G154" s="4">
        <v>0.434</v>
      </c>
      <c r="H154" s="4">
        <v>0.39069767441860498</v>
      </c>
      <c r="I154" s="4">
        <v>4.4999999999999998E-2</v>
      </c>
      <c r="J154" s="4">
        <v>0.04</v>
      </c>
      <c r="K154" s="5">
        <v>100</v>
      </c>
      <c r="L154" s="5">
        <v>100</v>
      </c>
      <c r="M154" s="5">
        <v>100</v>
      </c>
      <c r="N154" s="5">
        <v>100</v>
      </c>
      <c r="O154" s="2">
        <v>0.56916120077895405</v>
      </c>
      <c r="P154" s="2">
        <v>0.49544070492651188</v>
      </c>
      <c r="Q154" s="2">
        <v>4.6043938501406846E-2</v>
      </c>
      <c r="R154" s="2">
        <v>4.0821994520255166E-2</v>
      </c>
    </row>
    <row r="155" spans="1:18" x14ac:dyDescent="0.3">
      <c r="A155" s="7">
        <v>145</v>
      </c>
      <c r="B155" s="7">
        <v>329</v>
      </c>
      <c r="C155" s="7">
        <v>0</v>
      </c>
      <c r="D155" s="7">
        <v>0</v>
      </c>
      <c r="E155" s="20" t="str">
        <f t="shared" si="2"/>
        <v>00</v>
      </c>
      <c r="F155" s="21">
        <v>0.23161300409392699</v>
      </c>
      <c r="G155" s="4">
        <v>0.41199999999999998</v>
      </c>
      <c r="H155" s="4">
        <v>0.32794457274826799</v>
      </c>
      <c r="I155" s="4">
        <v>3.2000000000000001E-2</v>
      </c>
      <c r="J155" s="4">
        <v>2.5000000000000001E-2</v>
      </c>
      <c r="K155" s="5">
        <v>100</v>
      </c>
      <c r="L155" s="5">
        <v>100</v>
      </c>
      <c r="M155" s="5">
        <v>100</v>
      </c>
      <c r="N155" s="5">
        <v>100</v>
      </c>
      <c r="O155" s="2">
        <v>0.53102833108351</v>
      </c>
      <c r="P155" s="2">
        <v>0.39741446083099741</v>
      </c>
      <c r="Q155" s="2">
        <v>3.2523191705560062E-2</v>
      </c>
      <c r="R155" s="2">
        <v>2.5317807984289897E-2</v>
      </c>
    </row>
    <row r="156" spans="1:18" x14ac:dyDescent="0.3">
      <c r="A156" s="7">
        <v>753</v>
      </c>
      <c r="B156" s="7">
        <v>345</v>
      </c>
      <c r="C156" s="7">
        <v>0</v>
      </c>
      <c r="D156" s="7">
        <v>0</v>
      </c>
      <c r="E156" s="20" t="str">
        <f t="shared" si="2"/>
        <v>00</v>
      </c>
      <c r="F156" s="21">
        <v>0.23368555359856799</v>
      </c>
      <c r="G156" s="4">
        <v>0.55700000000000005</v>
      </c>
      <c r="H156" s="4">
        <v>0.49642004773269699</v>
      </c>
      <c r="I156" s="4">
        <v>2.3E-2</v>
      </c>
      <c r="J156" s="4">
        <v>3.5000000000000003E-2</v>
      </c>
      <c r="K156" s="5">
        <v>0</v>
      </c>
      <c r="L156" s="5">
        <v>100</v>
      </c>
      <c r="M156" s="5">
        <v>100</v>
      </c>
      <c r="N156" s="5">
        <v>100</v>
      </c>
      <c r="O156" s="2">
        <v>0.81418550893700148</v>
      </c>
      <c r="P156" s="2">
        <v>0.68601278644607144</v>
      </c>
      <c r="Q156" s="2">
        <v>2.3268626939354331E-2</v>
      </c>
      <c r="R156" s="2">
        <v>3.562717764315116E-2</v>
      </c>
    </row>
    <row r="157" spans="1:18" x14ac:dyDescent="0.3">
      <c r="A157" s="7">
        <v>68</v>
      </c>
      <c r="B157" s="7">
        <v>365</v>
      </c>
      <c r="C157" s="7">
        <v>0</v>
      </c>
      <c r="D157" s="7">
        <v>0</v>
      </c>
      <c r="E157" s="20" t="str">
        <f t="shared" si="2"/>
        <v>00</v>
      </c>
      <c r="F157" s="21">
        <v>0.23985677094785399</v>
      </c>
      <c r="G157" s="4">
        <v>0.503</v>
      </c>
      <c r="H157" s="4">
        <v>0.39153439153439201</v>
      </c>
      <c r="I157" s="4">
        <v>4.9000000000000002E-2</v>
      </c>
      <c r="J157" s="4">
        <v>4.5999999999999999E-2</v>
      </c>
      <c r="K157" s="5">
        <v>0</v>
      </c>
      <c r="L157" s="5">
        <v>100</v>
      </c>
      <c r="M157" s="5">
        <v>100</v>
      </c>
      <c r="N157" s="5">
        <v>100</v>
      </c>
      <c r="O157" s="2">
        <v>0.69916525288550835</v>
      </c>
      <c r="P157" s="2">
        <v>0.49681488669639318</v>
      </c>
      <c r="Q157" s="2">
        <v>5.024121643674679E-2</v>
      </c>
      <c r="R157" s="2">
        <v>4.7091607533850569E-2</v>
      </c>
    </row>
    <row r="158" spans="1:18" x14ac:dyDescent="0.3">
      <c r="A158" s="7">
        <v>354</v>
      </c>
      <c r="B158" s="7">
        <v>348</v>
      </c>
      <c r="C158" s="7">
        <v>0</v>
      </c>
      <c r="D158" s="7">
        <v>0</v>
      </c>
      <c r="E158" s="20" t="str">
        <f t="shared" si="2"/>
        <v>00</v>
      </c>
      <c r="F158" s="21">
        <v>0.24224383048464801</v>
      </c>
      <c r="G158" s="4">
        <v>0.47399999999999998</v>
      </c>
      <c r="H158" s="4">
        <v>0.37825059101654801</v>
      </c>
      <c r="I158" s="4">
        <v>0.13200000000000001</v>
      </c>
      <c r="J158" s="4">
        <v>0.157</v>
      </c>
      <c r="K158" s="5">
        <v>100</v>
      </c>
      <c r="L158" s="5">
        <v>100</v>
      </c>
      <c r="M158" s="5">
        <v>100</v>
      </c>
      <c r="N158" s="5">
        <v>100</v>
      </c>
      <c r="O158" s="2">
        <v>0.64245406624442714</v>
      </c>
      <c r="P158" s="2">
        <v>0.47521814686851271</v>
      </c>
      <c r="Q158" s="2">
        <v>0.14156356432178688</v>
      </c>
      <c r="R158" s="2">
        <v>0.17078832098028163</v>
      </c>
    </row>
    <row r="159" spans="1:18" x14ac:dyDescent="0.3">
      <c r="A159" s="7">
        <v>928</v>
      </c>
      <c r="B159" s="7">
        <v>325</v>
      </c>
      <c r="C159" s="7">
        <v>0</v>
      </c>
      <c r="D159" s="7">
        <v>0</v>
      </c>
      <c r="E159" s="20" t="str">
        <f t="shared" si="2"/>
        <v>00</v>
      </c>
      <c r="F159" s="21">
        <v>0.24372063423346399</v>
      </c>
      <c r="G159" s="4">
        <v>0.41199999999999998</v>
      </c>
      <c r="H159" s="4">
        <v>0.35857461024498899</v>
      </c>
      <c r="I159" s="4">
        <v>4.3999999999999997E-2</v>
      </c>
      <c r="J159" s="4">
        <v>4.8000000000000001E-2</v>
      </c>
      <c r="K159" s="5">
        <v>100</v>
      </c>
      <c r="L159" s="5">
        <v>100</v>
      </c>
      <c r="M159" s="5">
        <v>100</v>
      </c>
      <c r="N159" s="5">
        <v>100</v>
      </c>
      <c r="O159" s="2">
        <v>0.53102833108351</v>
      </c>
      <c r="P159" s="2">
        <v>0.4440624076063085</v>
      </c>
      <c r="Q159" s="2">
        <v>4.4997365930735805E-2</v>
      </c>
      <c r="R159" s="2">
        <v>4.9190244190771781E-2</v>
      </c>
    </row>
    <row r="160" spans="1:18" x14ac:dyDescent="0.3">
      <c r="A160" s="7">
        <v>21</v>
      </c>
      <c r="B160" s="7">
        <v>304</v>
      </c>
      <c r="C160" s="7">
        <v>0</v>
      </c>
      <c r="D160" s="7">
        <v>0</v>
      </c>
      <c r="E160" s="20" t="str">
        <f t="shared" si="2"/>
        <v>00</v>
      </c>
      <c r="F160" s="21">
        <v>0.24479139179138501</v>
      </c>
      <c r="G160" s="4">
        <v>0.46700000000000003</v>
      </c>
      <c r="H160" s="4">
        <v>0.35897435897435898</v>
      </c>
      <c r="I160" s="4">
        <v>3.5999999999999997E-2</v>
      </c>
      <c r="J160" s="4">
        <v>0.04</v>
      </c>
      <c r="K160" s="5">
        <v>100</v>
      </c>
      <c r="L160" s="5">
        <v>100</v>
      </c>
      <c r="M160" s="5">
        <v>100</v>
      </c>
      <c r="N160" s="5">
        <v>100</v>
      </c>
      <c r="O160" s="2">
        <v>0.62923385481629268</v>
      </c>
      <c r="P160" s="2">
        <v>0.44468582126144579</v>
      </c>
      <c r="Q160" s="2">
        <v>3.666398437159147E-2</v>
      </c>
      <c r="R160" s="2">
        <v>4.0821994520255166E-2</v>
      </c>
    </row>
    <row r="161" spans="1:18" x14ac:dyDescent="0.3">
      <c r="A161" s="7">
        <v>48</v>
      </c>
      <c r="B161" s="7">
        <v>339</v>
      </c>
      <c r="C161" s="7">
        <v>0</v>
      </c>
      <c r="D161" s="7">
        <v>0</v>
      </c>
      <c r="E161" s="20" t="str">
        <f t="shared" si="2"/>
        <v>00</v>
      </c>
      <c r="F161" s="21">
        <v>0.24890065917874801</v>
      </c>
      <c r="G161" s="4">
        <v>0.379</v>
      </c>
      <c r="H161" s="4">
        <v>0.29166666666666702</v>
      </c>
      <c r="I161" s="4">
        <v>3.2000000000000001E-2</v>
      </c>
      <c r="J161" s="4">
        <v>4.9000000000000002E-2</v>
      </c>
      <c r="K161" s="5">
        <v>100</v>
      </c>
      <c r="L161" s="5">
        <v>100</v>
      </c>
      <c r="M161" s="5">
        <v>100</v>
      </c>
      <c r="N161" s="5">
        <v>100</v>
      </c>
      <c r="O161" s="2">
        <v>0.47642419704865829</v>
      </c>
      <c r="P161" s="2">
        <v>0.34484048629172998</v>
      </c>
      <c r="Q161" s="2">
        <v>3.2523191705560062E-2</v>
      </c>
      <c r="R161" s="2">
        <v>5.024121643674679E-2</v>
      </c>
    </row>
    <row r="162" spans="1:18" x14ac:dyDescent="0.3">
      <c r="A162" s="7">
        <v>740</v>
      </c>
      <c r="B162" s="7">
        <v>331</v>
      </c>
      <c r="C162" s="7">
        <v>0</v>
      </c>
      <c r="D162" s="7">
        <v>0</v>
      </c>
      <c r="E162" s="20" t="str">
        <f t="shared" si="2"/>
        <v>00</v>
      </c>
      <c r="F162" s="21">
        <v>0.249029563248967</v>
      </c>
      <c r="G162" s="4">
        <v>0.57499999999999996</v>
      </c>
      <c r="H162" s="4">
        <v>0.49391727493917298</v>
      </c>
      <c r="I162" s="4">
        <v>4.4999999999999998E-2</v>
      </c>
      <c r="J162" s="4">
        <v>4.2999999999999997E-2</v>
      </c>
      <c r="K162" s="5">
        <v>0</v>
      </c>
      <c r="L162" s="5">
        <v>100</v>
      </c>
      <c r="M162" s="5">
        <v>100</v>
      </c>
      <c r="N162" s="5">
        <v>100</v>
      </c>
      <c r="O162" s="2">
        <v>0.85566611005772009</v>
      </c>
      <c r="P162" s="2">
        <v>0.68105513479491697</v>
      </c>
      <c r="Q162" s="2">
        <v>4.6043938501406846E-2</v>
      </c>
      <c r="R162" s="2">
        <v>4.3951887529182831E-2</v>
      </c>
    </row>
    <row r="163" spans="1:18" x14ac:dyDescent="0.3">
      <c r="A163" s="7">
        <v>768</v>
      </c>
      <c r="B163" s="7">
        <v>325</v>
      </c>
      <c r="C163" s="7">
        <v>0</v>
      </c>
      <c r="D163" s="7">
        <v>0</v>
      </c>
      <c r="E163" s="20" t="str">
        <f t="shared" si="2"/>
        <v>00</v>
      </c>
      <c r="F163" s="21">
        <v>0.25229635386502902</v>
      </c>
      <c r="G163" s="4">
        <v>0.4</v>
      </c>
      <c r="H163" s="4">
        <v>0.329646017699115</v>
      </c>
      <c r="I163" s="4">
        <v>4.5999999999999999E-2</v>
      </c>
      <c r="J163" s="4">
        <v>3.9E-2</v>
      </c>
      <c r="K163" s="5">
        <v>100</v>
      </c>
      <c r="L163" s="5">
        <v>100</v>
      </c>
      <c r="M163" s="5">
        <v>100</v>
      </c>
      <c r="N163" s="5">
        <v>100</v>
      </c>
      <c r="O163" s="2">
        <v>0.51082562376599072</v>
      </c>
      <c r="P163" s="2">
        <v>0.39994937432286187</v>
      </c>
      <c r="Q163" s="2">
        <v>4.7091607533850569E-2</v>
      </c>
      <c r="R163" s="2">
        <v>3.9780870011844598E-2</v>
      </c>
    </row>
    <row r="164" spans="1:18" x14ac:dyDescent="0.3">
      <c r="A164" s="7">
        <v>725</v>
      </c>
      <c r="B164" s="7">
        <v>297</v>
      </c>
      <c r="C164" s="7">
        <v>0</v>
      </c>
      <c r="D164" s="7">
        <v>0</v>
      </c>
      <c r="E164" s="20" t="str">
        <f t="shared" si="2"/>
        <v>00</v>
      </c>
      <c r="F164" s="21">
        <v>0.25409284148518202</v>
      </c>
      <c r="G164" s="4">
        <v>0.61299999999999999</v>
      </c>
      <c r="H164" s="4">
        <v>0.433242506811989</v>
      </c>
      <c r="I164" s="4">
        <v>0.224</v>
      </c>
      <c r="J164" s="4">
        <v>0.21199999999999999</v>
      </c>
      <c r="K164" s="5">
        <v>0</v>
      </c>
      <c r="L164" s="5">
        <v>100</v>
      </c>
      <c r="M164" s="5">
        <v>100</v>
      </c>
      <c r="N164" s="5">
        <v>100</v>
      </c>
      <c r="O164" s="2">
        <v>0.9493305859523552</v>
      </c>
      <c r="P164" s="2">
        <v>0.56782376835325199</v>
      </c>
      <c r="Q164" s="2">
        <v>0.25360275879891825</v>
      </c>
      <c r="R164" s="2">
        <v>0.23825718912425789</v>
      </c>
    </row>
    <row r="165" spans="1:18" x14ac:dyDescent="0.3">
      <c r="A165" s="7">
        <v>617</v>
      </c>
      <c r="B165" s="7">
        <v>306</v>
      </c>
      <c r="C165" s="7">
        <v>0</v>
      </c>
      <c r="D165" s="7">
        <v>0</v>
      </c>
      <c r="E165" s="20" t="str">
        <f t="shared" si="2"/>
        <v>00</v>
      </c>
      <c r="F165" s="21">
        <v>0.25769599622956202</v>
      </c>
      <c r="G165" s="4">
        <v>0.48299999999999998</v>
      </c>
      <c r="H165" s="4">
        <v>0.36802030456852802</v>
      </c>
      <c r="I165" s="4">
        <v>3.6999999999999998E-2</v>
      </c>
      <c r="J165" s="4">
        <v>0.06</v>
      </c>
      <c r="K165" s="5">
        <v>100</v>
      </c>
      <c r="L165" s="5">
        <v>100</v>
      </c>
      <c r="M165" s="5">
        <v>100</v>
      </c>
      <c r="N165" s="5">
        <v>100</v>
      </c>
      <c r="O165" s="2">
        <v>0.65971240447370794</v>
      </c>
      <c r="P165" s="2">
        <v>0.45889801283322629</v>
      </c>
      <c r="Q165" s="2">
        <v>3.7701867184011528E-2</v>
      </c>
      <c r="R165" s="2">
        <v>6.1875403718087529E-2</v>
      </c>
    </row>
    <row r="166" spans="1:18" x14ac:dyDescent="0.3">
      <c r="A166" s="7">
        <v>238</v>
      </c>
      <c r="B166" s="7">
        <v>309</v>
      </c>
      <c r="C166" s="7">
        <v>0</v>
      </c>
      <c r="D166" s="7">
        <v>0</v>
      </c>
      <c r="E166" s="20" t="str">
        <f t="shared" si="2"/>
        <v>00</v>
      </c>
      <c r="F166" s="21">
        <v>0.26007254087825898</v>
      </c>
      <c r="G166" s="4">
        <v>0.60699999999999998</v>
      </c>
      <c r="H166" s="4">
        <v>0.45114942528735602</v>
      </c>
      <c r="I166" s="4">
        <v>4.3999999999999997E-2</v>
      </c>
      <c r="J166" s="4">
        <v>3.2000000000000001E-2</v>
      </c>
      <c r="K166" s="5">
        <v>0</v>
      </c>
      <c r="L166" s="5">
        <v>100</v>
      </c>
      <c r="M166" s="5">
        <v>100</v>
      </c>
      <c r="N166" s="5">
        <v>100</v>
      </c>
      <c r="O166" s="2">
        <v>0.93394566711287574</v>
      </c>
      <c r="P166" s="2">
        <v>0.59992905172784394</v>
      </c>
      <c r="Q166" s="2">
        <v>4.4997365930735805E-2</v>
      </c>
      <c r="R166" s="2">
        <v>3.2523191705560062E-2</v>
      </c>
    </row>
    <row r="167" spans="1:18" x14ac:dyDescent="0.3">
      <c r="A167" s="7">
        <v>137</v>
      </c>
      <c r="B167" s="7">
        <v>320</v>
      </c>
      <c r="C167" s="7">
        <v>0</v>
      </c>
      <c r="D167" s="7">
        <v>0</v>
      </c>
      <c r="E167" s="20" t="str">
        <f t="shared" si="2"/>
        <v>00</v>
      </c>
      <c r="F167" s="21">
        <v>0.26042897796541697</v>
      </c>
      <c r="G167" s="4">
        <v>0.68</v>
      </c>
      <c r="H167" s="4">
        <v>0.48843930635838201</v>
      </c>
      <c r="I167" s="4">
        <v>5.0999999999999997E-2</v>
      </c>
      <c r="J167" s="4">
        <v>4.1000000000000002E-2</v>
      </c>
      <c r="K167" s="5">
        <v>0</v>
      </c>
      <c r="L167" s="5">
        <v>100</v>
      </c>
      <c r="M167" s="5">
        <v>100</v>
      </c>
      <c r="N167" s="5">
        <v>100</v>
      </c>
      <c r="O167" s="2">
        <v>1.139434283188365</v>
      </c>
      <c r="P167" s="2">
        <v>0.6702890424838962</v>
      </c>
      <c r="Q167" s="2">
        <v>5.2346480372209236E-2</v>
      </c>
      <c r="R167" s="2">
        <v>4.1864204098698871E-2</v>
      </c>
    </row>
    <row r="168" spans="1:18" x14ac:dyDescent="0.3">
      <c r="A168" s="7">
        <v>252</v>
      </c>
      <c r="B168" s="7">
        <v>331</v>
      </c>
      <c r="C168" s="7">
        <v>0</v>
      </c>
      <c r="D168" s="7">
        <v>0</v>
      </c>
      <c r="E168" s="20" t="str">
        <f t="shared" si="2"/>
        <v>00</v>
      </c>
      <c r="F168" s="21">
        <v>0.26066475256800198</v>
      </c>
      <c r="G168" s="4">
        <v>0.55900000000000005</v>
      </c>
      <c r="H168" s="4">
        <v>0.45742092457420902</v>
      </c>
      <c r="I168" s="4">
        <v>0.05</v>
      </c>
      <c r="J168" s="4">
        <v>0.04</v>
      </c>
      <c r="K168" s="5">
        <v>0</v>
      </c>
      <c r="L168" s="5">
        <v>100</v>
      </c>
      <c r="M168" s="5">
        <v>100</v>
      </c>
      <c r="N168" s="5">
        <v>100</v>
      </c>
      <c r="O168" s="2">
        <v>0.81871040353529123</v>
      </c>
      <c r="P168" s="2">
        <v>0.61142144303611545</v>
      </c>
      <c r="Q168" s="2">
        <v>5.1293294387550578E-2</v>
      </c>
      <c r="R168" s="2">
        <v>4.0821994520255166E-2</v>
      </c>
    </row>
    <row r="169" spans="1:18" x14ac:dyDescent="0.3">
      <c r="A169" s="7">
        <v>132</v>
      </c>
      <c r="B169" s="7">
        <v>324</v>
      </c>
      <c r="C169" s="7">
        <v>0</v>
      </c>
      <c r="D169" s="7">
        <v>0</v>
      </c>
      <c r="E169" s="20" t="str">
        <f t="shared" si="2"/>
        <v>00</v>
      </c>
      <c r="F169" s="21">
        <v>0.26175276036412798</v>
      </c>
      <c r="G169" s="4">
        <v>0.58899999999999997</v>
      </c>
      <c r="H169" s="4">
        <v>0.50234741784037595</v>
      </c>
      <c r="I169" s="4">
        <v>6.3E-2</v>
      </c>
      <c r="J169" s="4">
        <v>5.0999999999999997E-2</v>
      </c>
      <c r="K169" s="5">
        <v>0</v>
      </c>
      <c r="L169" s="5">
        <v>0</v>
      </c>
      <c r="M169" s="5">
        <v>100</v>
      </c>
      <c r="N169" s="5">
        <v>100</v>
      </c>
      <c r="O169" s="2">
        <v>0.8891620644859024</v>
      </c>
      <c r="P169" s="2">
        <v>0.69785307159735865</v>
      </c>
      <c r="Q169" s="2">
        <v>6.5071996743714805E-2</v>
      </c>
      <c r="R169" s="2">
        <v>5.2346480372209236E-2</v>
      </c>
    </row>
    <row r="170" spans="1:18" x14ac:dyDescent="0.3">
      <c r="A170" s="7">
        <v>481</v>
      </c>
      <c r="B170" s="7">
        <v>312</v>
      </c>
      <c r="C170" s="7">
        <v>0</v>
      </c>
      <c r="D170" s="7">
        <v>0</v>
      </c>
      <c r="E170" s="20" t="str">
        <f t="shared" si="2"/>
        <v>00</v>
      </c>
      <c r="F170" s="21">
        <v>0.26817434737044699</v>
      </c>
      <c r="G170" s="4">
        <v>0.59599999999999997</v>
      </c>
      <c r="H170" s="4">
        <v>0.463476070528967</v>
      </c>
      <c r="I170" s="4">
        <v>5.0999999999999997E-2</v>
      </c>
      <c r="J170" s="4">
        <v>5.3999999999999999E-2</v>
      </c>
      <c r="K170" s="5">
        <v>0</v>
      </c>
      <c r="L170" s="5">
        <v>100</v>
      </c>
      <c r="M170" s="5">
        <v>100</v>
      </c>
      <c r="N170" s="5">
        <v>100</v>
      </c>
      <c r="O170" s="2">
        <v>0.9063404010209869</v>
      </c>
      <c r="P170" s="2">
        <v>0.62264411497776484</v>
      </c>
      <c r="Q170" s="2">
        <v>5.2346480372209236E-2</v>
      </c>
      <c r="R170" s="2">
        <v>5.5512709930258829E-2</v>
      </c>
    </row>
    <row r="171" spans="1:18" x14ac:dyDescent="0.3">
      <c r="A171" s="7">
        <v>721</v>
      </c>
      <c r="B171" s="7">
        <v>301</v>
      </c>
      <c r="C171" s="7">
        <v>0</v>
      </c>
      <c r="D171" s="7">
        <v>0</v>
      </c>
      <c r="E171" s="20" t="str">
        <f t="shared" si="2"/>
        <v>00</v>
      </c>
      <c r="F171" s="21">
        <v>0.27034710722473998</v>
      </c>
      <c r="G171" s="4">
        <v>0.55900000000000005</v>
      </c>
      <c r="H171" s="4">
        <v>0.41645244215938299</v>
      </c>
      <c r="I171" s="4">
        <v>2.7E-2</v>
      </c>
      <c r="J171" s="4">
        <v>4.2000000000000003E-2</v>
      </c>
      <c r="K171" s="5">
        <v>0</v>
      </c>
      <c r="L171" s="5">
        <v>100</v>
      </c>
      <c r="M171" s="5">
        <v>100</v>
      </c>
      <c r="N171" s="5">
        <v>100</v>
      </c>
      <c r="O171" s="2">
        <v>0.81871040353529123</v>
      </c>
      <c r="P171" s="2">
        <v>0.5386293261370434</v>
      </c>
      <c r="Q171" s="2">
        <v>2.7371196796132015E-2</v>
      </c>
      <c r="R171" s="2">
        <v>4.290750101127655E-2</v>
      </c>
    </row>
    <row r="172" spans="1:18" x14ac:dyDescent="0.3">
      <c r="A172" s="7">
        <v>715</v>
      </c>
      <c r="B172" s="7">
        <v>306</v>
      </c>
      <c r="C172" s="7">
        <v>0</v>
      </c>
      <c r="D172" s="7">
        <v>0</v>
      </c>
      <c r="E172" s="20" t="str">
        <f t="shared" si="2"/>
        <v>00</v>
      </c>
      <c r="F172" s="21">
        <v>0.27089603497426701</v>
      </c>
      <c r="G172" s="4">
        <v>0.46</v>
      </c>
      <c r="H172" s="4">
        <v>0.31578947368421101</v>
      </c>
      <c r="I172" s="4">
        <v>0.22900000000000001</v>
      </c>
      <c r="J172" s="4">
        <v>0.22700000000000001</v>
      </c>
      <c r="K172" s="5">
        <v>100</v>
      </c>
      <c r="L172" s="5">
        <v>100</v>
      </c>
      <c r="M172" s="5">
        <v>100</v>
      </c>
      <c r="N172" s="5">
        <v>100</v>
      </c>
      <c r="O172" s="2">
        <v>0.61618613942381695</v>
      </c>
      <c r="P172" s="2">
        <v>0.37948962170490452</v>
      </c>
      <c r="Q172" s="2">
        <v>0.26006690541880756</v>
      </c>
      <c r="R172" s="2">
        <v>0.25747623039471507</v>
      </c>
    </row>
    <row r="173" spans="1:18" x14ac:dyDescent="0.3">
      <c r="A173" s="7">
        <v>462</v>
      </c>
      <c r="B173" s="7">
        <v>318</v>
      </c>
      <c r="C173" s="7">
        <v>0</v>
      </c>
      <c r="D173" s="7">
        <v>0</v>
      </c>
      <c r="E173" s="20" t="str">
        <f t="shared" si="2"/>
        <v>00</v>
      </c>
      <c r="F173" s="21">
        <v>0.271291818400272</v>
      </c>
      <c r="G173" s="4">
        <v>0.60499999999999998</v>
      </c>
      <c r="H173" s="4">
        <v>0.48128342245989297</v>
      </c>
      <c r="I173" s="4">
        <v>0.29499999999999998</v>
      </c>
      <c r="J173" s="4">
        <v>0.22900000000000001</v>
      </c>
      <c r="K173" s="5">
        <v>0</v>
      </c>
      <c r="L173" s="5">
        <v>100</v>
      </c>
      <c r="M173" s="5">
        <v>100</v>
      </c>
      <c r="N173" s="5">
        <v>100</v>
      </c>
      <c r="O173" s="2">
        <v>0.92886951408101515</v>
      </c>
      <c r="P173" s="2">
        <v>0.65639763835120368</v>
      </c>
      <c r="Q173" s="2">
        <v>0.34955747616986832</v>
      </c>
      <c r="R173" s="2">
        <v>0.26006690541880756</v>
      </c>
    </row>
    <row r="174" spans="1:18" x14ac:dyDescent="0.3">
      <c r="A174" s="7">
        <v>400</v>
      </c>
      <c r="B174" s="7">
        <v>324</v>
      </c>
      <c r="C174" s="7">
        <v>0</v>
      </c>
      <c r="D174" s="7">
        <v>0</v>
      </c>
      <c r="E174" s="20" t="str">
        <f t="shared" si="2"/>
        <v>00</v>
      </c>
      <c r="F174" s="21">
        <v>0.27692904857149903</v>
      </c>
      <c r="G174" s="4">
        <v>0.55600000000000005</v>
      </c>
      <c r="H174" s="4">
        <v>0.37119113573407198</v>
      </c>
      <c r="I174" s="4">
        <v>0.90900000000000003</v>
      </c>
      <c r="J174" s="4">
        <v>0.90200000000000002</v>
      </c>
      <c r="K174" s="5">
        <v>0</v>
      </c>
      <c r="L174" s="5">
        <v>100</v>
      </c>
      <c r="M174" s="5">
        <v>0</v>
      </c>
      <c r="N174" s="5">
        <v>0</v>
      </c>
      <c r="O174" s="2">
        <v>0.81193071654991245</v>
      </c>
      <c r="P174" s="2">
        <v>0.46392794085147826</v>
      </c>
      <c r="Q174" s="2">
        <v>2.3968957724652875</v>
      </c>
      <c r="R174" s="2">
        <v>2.3227878003115654</v>
      </c>
    </row>
    <row r="175" spans="1:18" x14ac:dyDescent="0.3">
      <c r="A175" s="7">
        <v>989</v>
      </c>
      <c r="B175" s="7">
        <v>320</v>
      </c>
      <c r="C175" s="7">
        <v>0</v>
      </c>
      <c r="D175" s="7">
        <v>0</v>
      </c>
      <c r="E175" s="20" t="str">
        <f t="shared" si="2"/>
        <v>00</v>
      </c>
      <c r="F175" s="21">
        <v>0.27968357425173002</v>
      </c>
      <c r="G175" s="4">
        <v>0.61099999999999999</v>
      </c>
      <c r="H175" s="4">
        <v>0.51968503937007904</v>
      </c>
      <c r="I175" s="4">
        <v>0.39400000000000002</v>
      </c>
      <c r="J175" s="4">
        <v>0.35599999999999998</v>
      </c>
      <c r="K175" s="5">
        <v>0</v>
      </c>
      <c r="L175" s="5">
        <v>0</v>
      </c>
      <c r="M175" s="5">
        <v>100</v>
      </c>
      <c r="N175" s="5">
        <v>100</v>
      </c>
      <c r="O175" s="2">
        <v>0.94417593536369071</v>
      </c>
      <c r="P175" s="2">
        <v>0.73331322228528062</v>
      </c>
      <c r="Q175" s="2">
        <v>0.50087529291282262</v>
      </c>
      <c r="R175" s="2">
        <v>0.44005655287778339</v>
      </c>
    </row>
    <row r="176" spans="1:18" x14ac:dyDescent="0.3">
      <c r="A176" s="7">
        <v>787</v>
      </c>
      <c r="B176" s="7">
        <v>315</v>
      </c>
      <c r="C176" s="7">
        <v>0</v>
      </c>
      <c r="D176" s="7">
        <v>0</v>
      </c>
      <c r="E176" s="20" t="str">
        <f t="shared" si="2"/>
        <v>00</v>
      </c>
      <c r="F176" s="21">
        <v>0.28264972311688302</v>
      </c>
      <c r="G176" s="4">
        <v>0.49399999999999999</v>
      </c>
      <c r="H176" s="4">
        <v>0.36</v>
      </c>
      <c r="I176" s="4">
        <v>0.61899999999999999</v>
      </c>
      <c r="J176" s="4">
        <v>0.59599999999999997</v>
      </c>
      <c r="K176" s="5">
        <v>100</v>
      </c>
      <c r="L176" s="5">
        <v>100</v>
      </c>
      <c r="M176" s="5">
        <v>0</v>
      </c>
      <c r="N176" s="5">
        <v>0</v>
      </c>
      <c r="O176" s="2">
        <v>0.68121860969467152</v>
      </c>
      <c r="P176" s="2">
        <v>0.44628710262841947</v>
      </c>
      <c r="Q176" s="2">
        <v>0.96495590385543606</v>
      </c>
      <c r="R176" s="2">
        <v>0.9063404010209869</v>
      </c>
    </row>
    <row r="177" spans="1:18" x14ac:dyDescent="0.3">
      <c r="A177" s="7">
        <v>998</v>
      </c>
      <c r="B177" s="7">
        <v>319</v>
      </c>
      <c r="C177" s="7">
        <v>0</v>
      </c>
      <c r="D177" s="7">
        <v>0</v>
      </c>
      <c r="E177" s="20" t="str">
        <f t="shared" si="2"/>
        <v>00</v>
      </c>
      <c r="F177" s="21">
        <v>0.284837843233677</v>
      </c>
      <c r="G177" s="4">
        <v>0.52200000000000002</v>
      </c>
      <c r="H177" s="4">
        <v>0.36315789473684201</v>
      </c>
      <c r="I177" s="4">
        <v>3.9E-2</v>
      </c>
      <c r="J177" s="4">
        <v>5.2999999999999999E-2</v>
      </c>
      <c r="K177" s="5">
        <v>0</v>
      </c>
      <c r="L177" s="5">
        <v>100</v>
      </c>
      <c r="M177" s="5">
        <v>100</v>
      </c>
      <c r="N177" s="5">
        <v>100</v>
      </c>
      <c r="O177" s="2">
        <v>0.73814454649068106</v>
      </c>
      <c r="P177" s="2">
        <v>0.45123352656374494</v>
      </c>
      <c r="Q177" s="2">
        <v>3.9780870011844598E-2</v>
      </c>
      <c r="R177" s="2">
        <v>5.4456185796058855E-2</v>
      </c>
    </row>
    <row r="178" spans="1:18" x14ac:dyDescent="0.3">
      <c r="A178" s="7">
        <v>738</v>
      </c>
      <c r="B178" s="7">
        <v>295</v>
      </c>
      <c r="C178" s="7">
        <v>0</v>
      </c>
      <c r="D178" s="7">
        <v>0</v>
      </c>
      <c r="E178" s="20" t="str">
        <f t="shared" si="2"/>
        <v>00</v>
      </c>
      <c r="F178" s="21">
        <v>0.29070797743697302</v>
      </c>
      <c r="G178" s="4">
        <v>0.69899999999999995</v>
      </c>
      <c r="H178" s="4">
        <v>0.55786350148368002</v>
      </c>
      <c r="I178" s="4">
        <v>5.0999999999999997E-2</v>
      </c>
      <c r="J178" s="4">
        <v>4.7E-2</v>
      </c>
      <c r="K178" s="5">
        <v>0</v>
      </c>
      <c r="L178" s="5">
        <v>0</v>
      </c>
      <c r="M178" s="5">
        <v>100</v>
      </c>
      <c r="N178" s="5">
        <v>100</v>
      </c>
      <c r="O178" s="2">
        <v>1.2006450142332612</v>
      </c>
      <c r="P178" s="2">
        <v>0.81613662440690371</v>
      </c>
      <c r="Q178" s="2">
        <v>5.2346480372209236E-2</v>
      </c>
      <c r="R178" s="2">
        <v>4.8140375327934984E-2</v>
      </c>
    </row>
    <row r="179" spans="1:18" x14ac:dyDescent="0.3">
      <c r="A179" s="7">
        <v>409</v>
      </c>
      <c r="B179" s="7">
        <v>305</v>
      </c>
      <c r="C179" s="7">
        <v>0</v>
      </c>
      <c r="D179" s="7">
        <v>0</v>
      </c>
      <c r="E179" s="20" t="str">
        <f t="shared" si="2"/>
        <v>00</v>
      </c>
      <c r="F179" s="21">
        <v>0.29315638395263399</v>
      </c>
      <c r="G179" s="4">
        <v>0.64900000000000002</v>
      </c>
      <c r="H179" s="4">
        <v>0.53664921465968596</v>
      </c>
      <c r="I179" s="4">
        <v>2.9000000000000001E-2</v>
      </c>
      <c r="J179" s="4">
        <v>0.05</v>
      </c>
      <c r="K179" s="5">
        <v>0</v>
      </c>
      <c r="L179" s="5">
        <v>0</v>
      </c>
      <c r="M179" s="5">
        <v>100</v>
      </c>
      <c r="N179" s="5">
        <v>100</v>
      </c>
      <c r="O179" s="2">
        <v>1.0469690555162714</v>
      </c>
      <c r="P179" s="2">
        <v>0.76927087603274624</v>
      </c>
      <c r="Q179" s="2">
        <v>2.9428810690812168E-2</v>
      </c>
      <c r="R179" s="2">
        <v>5.1293294387550578E-2</v>
      </c>
    </row>
    <row r="180" spans="1:18" x14ac:dyDescent="0.3">
      <c r="A180" s="7">
        <v>687</v>
      </c>
      <c r="B180" s="7">
        <v>310</v>
      </c>
      <c r="C180" s="7">
        <v>0</v>
      </c>
      <c r="D180" s="7">
        <v>0</v>
      </c>
      <c r="E180" s="20" t="str">
        <f t="shared" si="2"/>
        <v>00</v>
      </c>
      <c r="F180" s="21">
        <v>0.29709308398053802</v>
      </c>
      <c r="G180" s="4">
        <v>0.497</v>
      </c>
      <c r="H180" s="4">
        <v>0.43456790123456801</v>
      </c>
      <c r="I180" s="4">
        <v>5.0999999999999997E-2</v>
      </c>
      <c r="J180" s="4">
        <v>4.7E-2</v>
      </c>
      <c r="K180" s="5">
        <v>100</v>
      </c>
      <c r="L180" s="5">
        <v>100</v>
      </c>
      <c r="M180" s="5">
        <v>100</v>
      </c>
      <c r="N180" s="5">
        <v>100</v>
      </c>
      <c r="O180" s="2">
        <v>0.68716510888239779</v>
      </c>
      <c r="P180" s="2">
        <v>0.57016506355229968</v>
      </c>
      <c r="Q180" s="2">
        <v>5.2346480372209236E-2</v>
      </c>
      <c r="R180" s="2">
        <v>4.8140375327934984E-2</v>
      </c>
    </row>
    <row r="181" spans="1:18" x14ac:dyDescent="0.3">
      <c r="A181" s="7">
        <v>171</v>
      </c>
      <c r="B181" s="7">
        <v>277</v>
      </c>
      <c r="C181" s="7">
        <v>0</v>
      </c>
      <c r="D181" s="7">
        <v>0</v>
      </c>
      <c r="E181" s="20" t="str">
        <f t="shared" si="2"/>
        <v>00</v>
      </c>
      <c r="F181" s="21">
        <v>0.298101895955522</v>
      </c>
      <c r="G181" s="4">
        <v>0.72</v>
      </c>
      <c r="H181" s="4">
        <v>0.528813559322034</v>
      </c>
      <c r="I181" s="4">
        <v>0.04</v>
      </c>
      <c r="J181" s="4">
        <v>5.5E-2</v>
      </c>
      <c r="K181" s="5">
        <v>0</v>
      </c>
      <c r="L181" s="5">
        <v>0</v>
      </c>
      <c r="M181" s="5">
        <v>100</v>
      </c>
      <c r="N181" s="5">
        <v>100</v>
      </c>
      <c r="O181" s="2">
        <v>1.2729656758128873</v>
      </c>
      <c r="P181" s="2">
        <v>0.75250142320912827</v>
      </c>
      <c r="Q181" s="2">
        <v>4.0821994520255166E-2</v>
      </c>
      <c r="R181" s="2">
        <v>5.6570351488394351E-2</v>
      </c>
    </row>
    <row r="182" spans="1:18" x14ac:dyDescent="0.3">
      <c r="A182" s="7">
        <v>807</v>
      </c>
      <c r="B182" s="7">
        <v>295</v>
      </c>
      <c r="C182" s="7">
        <v>0</v>
      </c>
      <c r="D182" s="7">
        <v>0</v>
      </c>
      <c r="E182" s="20" t="str">
        <f t="shared" si="2"/>
        <v>00</v>
      </c>
      <c r="F182" s="21">
        <v>0.30250425855534202</v>
      </c>
      <c r="G182" s="4">
        <v>0.44</v>
      </c>
      <c r="H182" s="4">
        <v>0.37807606263982102</v>
      </c>
      <c r="I182" s="4">
        <v>0.215</v>
      </c>
      <c r="J182" s="4">
        <v>0.17899999999999999</v>
      </c>
      <c r="K182" s="5">
        <v>100</v>
      </c>
      <c r="L182" s="5">
        <v>100</v>
      </c>
      <c r="M182" s="5">
        <v>100</v>
      </c>
      <c r="N182" s="5">
        <v>100</v>
      </c>
      <c r="O182" s="2">
        <v>0.57981849525294205</v>
      </c>
      <c r="P182" s="2">
        <v>0.47493748092293164</v>
      </c>
      <c r="Q182" s="2">
        <v>0.24207156119972859</v>
      </c>
      <c r="R182" s="2">
        <v>0.1972321695297089</v>
      </c>
    </row>
    <row r="183" spans="1:18" x14ac:dyDescent="0.3">
      <c r="A183" s="7">
        <v>815</v>
      </c>
      <c r="B183" s="7">
        <v>286</v>
      </c>
      <c r="C183" s="7">
        <v>0</v>
      </c>
      <c r="D183" s="7">
        <v>0</v>
      </c>
      <c r="E183" s="20" t="str">
        <f t="shared" si="2"/>
        <v>00</v>
      </c>
      <c r="F183" s="21">
        <v>0.30388363891230102</v>
      </c>
      <c r="G183" s="4">
        <v>0.49</v>
      </c>
      <c r="H183" s="4">
        <v>0.405541561712846</v>
      </c>
      <c r="I183" s="4">
        <v>0.63800000000000001</v>
      </c>
      <c r="J183" s="4">
        <v>0.60099999999999998</v>
      </c>
      <c r="K183" s="5">
        <v>100</v>
      </c>
      <c r="L183" s="5">
        <v>100</v>
      </c>
      <c r="M183" s="5">
        <v>0</v>
      </c>
      <c r="N183" s="5">
        <v>0</v>
      </c>
      <c r="O183" s="2">
        <v>0.67334455326376563</v>
      </c>
      <c r="P183" s="2">
        <v>0.52010447566157969</v>
      </c>
      <c r="Q183" s="2">
        <v>1.016111067156366</v>
      </c>
      <c r="R183" s="2">
        <v>0.91879386209227354</v>
      </c>
    </row>
    <row r="184" spans="1:18" x14ac:dyDescent="0.3">
      <c r="A184" s="7">
        <v>337</v>
      </c>
      <c r="B184" s="7">
        <v>291</v>
      </c>
      <c r="C184" s="7">
        <v>0</v>
      </c>
      <c r="D184" s="7">
        <v>0</v>
      </c>
      <c r="E184" s="20" t="str">
        <f t="shared" si="2"/>
        <v>00</v>
      </c>
      <c r="F184" s="21">
        <v>0.30683501639251798</v>
      </c>
      <c r="G184" s="4">
        <v>0.47099999999999997</v>
      </c>
      <c r="H184" s="4">
        <v>0.35629453681710199</v>
      </c>
      <c r="I184" s="4">
        <v>5.0999999999999997E-2</v>
      </c>
      <c r="J184" s="4">
        <v>4.9000000000000002E-2</v>
      </c>
      <c r="K184" s="5">
        <v>100</v>
      </c>
      <c r="L184" s="5">
        <v>100</v>
      </c>
      <c r="M184" s="5">
        <v>100</v>
      </c>
      <c r="N184" s="5">
        <v>100</v>
      </c>
      <c r="O184" s="2">
        <v>0.63676684712383758</v>
      </c>
      <c r="P184" s="2">
        <v>0.44051401280268027</v>
      </c>
      <c r="Q184" s="2">
        <v>5.2346480372209236E-2</v>
      </c>
      <c r="R184" s="2">
        <v>5.024121643674679E-2</v>
      </c>
    </row>
    <row r="185" spans="1:18" x14ac:dyDescent="0.3">
      <c r="A185" s="7">
        <v>410</v>
      </c>
      <c r="B185" s="7">
        <v>316</v>
      </c>
      <c r="C185" s="7">
        <v>0</v>
      </c>
      <c r="D185" s="7">
        <v>0</v>
      </c>
      <c r="E185" s="20" t="str">
        <f t="shared" si="2"/>
        <v>00</v>
      </c>
      <c r="F185" s="21">
        <v>0.307527141124466</v>
      </c>
      <c r="G185" s="4">
        <v>0.42299999999999999</v>
      </c>
      <c r="H185" s="4">
        <v>0.31034482758620702</v>
      </c>
      <c r="I185" s="4">
        <v>7.0999999999999994E-2</v>
      </c>
      <c r="J185" s="4">
        <v>6.4000000000000001E-2</v>
      </c>
      <c r="K185" s="5">
        <v>100</v>
      </c>
      <c r="L185" s="5">
        <v>100</v>
      </c>
      <c r="M185" s="5">
        <v>100</v>
      </c>
      <c r="N185" s="5">
        <v>100</v>
      </c>
      <c r="O185" s="2">
        <v>0.54991301247403757</v>
      </c>
      <c r="P185" s="2">
        <v>0.37156355643248329</v>
      </c>
      <c r="Q185" s="2">
        <v>7.3646540168298483E-2</v>
      </c>
      <c r="R185" s="2">
        <v>6.613980250454507E-2</v>
      </c>
    </row>
    <row r="186" spans="1:18" x14ac:dyDescent="0.3">
      <c r="A186" s="7">
        <v>164</v>
      </c>
      <c r="B186" s="7">
        <v>285</v>
      </c>
      <c r="C186" s="7">
        <v>0</v>
      </c>
      <c r="D186" s="7">
        <v>0</v>
      </c>
      <c r="E186" s="20" t="str">
        <f t="shared" si="2"/>
        <v>00</v>
      </c>
      <c r="F186" s="21">
        <v>0.307735364875521</v>
      </c>
      <c r="G186" s="4">
        <v>0.53400000000000003</v>
      </c>
      <c r="H186" s="4">
        <v>0.41421568627451</v>
      </c>
      <c r="I186" s="4">
        <v>5.1999999999999998E-2</v>
      </c>
      <c r="J186" s="4">
        <v>5.8999999999999997E-2</v>
      </c>
      <c r="K186" s="5">
        <v>0</v>
      </c>
      <c r="L186" s="5">
        <v>100</v>
      </c>
      <c r="M186" s="5">
        <v>100</v>
      </c>
      <c r="N186" s="5">
        <v>100</v>
      </c>
      <c r="O186" s="2">
        <v>0.76356964485649126</v>
      </c>
      <c r="P186" s="2">
        <v>0.53480362247265134</v>
      </c>
      <c r="Q186" s="2">
        <v>5.3400776727115296E-2</v>
      </c>
      <c r="R186" s="2">
        <v>6.0812139396757357E-2</v>
      </c>
    </row>
    <row r="187" spans="1:18" x14ac:dyDescent="0.3">
      <c r="A187" s="7">
        <v>244</v>
      </c>
      <c r="B187" s="7">
        <v>290</v>
      </c>
      <c r="C187" s="7">
        <v>0</v>
      </c>
      <c r="D187" s="7">
        <v>0</v>
      </c>
      <c r="E187" s="20" t="str">
        <f t="shared" si="2"/>
        <v>00</v>
      </c>
      <c r="F187" s="21">
        <v>0.310941079144396</v>
      </c>
      <c r="G187" s="4">
        <v>0.57199999999999995</v>
      </c>
      <c r="H187" s="4">
        <v>0.48905109489051102</v>
      </c>
      <c r="I187" s="4">
        <v>3.5999999999999997E-2</v>
      </c>
      <c r="J187" s="4">
        <v>5.0999999999999997E-2</v>
      </c>
      <c r="K187" s="5">
        <v>0</v>
      </c>
      <c r="L187" s="5">
        <v>100</v>
      </c>
      <c r="M187" s="5">
        <v>100</v>
      </c>
      <c r="N187" s="5">
        <v>100</v>
      </c>
      <c r="O187" s="2">
        <v>0.84863208340034013</v>
      </c>
      <c r="P187" s="2">
        <v>0.67148568377876605</v>
      </c>
      <c r="Q187" s="2">
        <v>3.666398437159147E-2</v>
      </c>
      <c r="R187" s="2">
        <v>5.2346480372209236E-2</v>
      </c>
    </row>
    <row r="188" spans="1:18" x14ac:dyDescent="0.3">
      <c r="A188" s="7">
        <v>88</v>
      </c>
      <c r="B188" s="7">
        <v>273</v>
      </c>
      <c r="C188" s="7">
        <v>0</v>
      </c>
      <c r="D188" s="7">
        <v>0</v>
      </c>
      <c r="E188" s="20" t="str">
        <f t="shared" si="2"/>
        <v>00</v>
      </c>
      <c r="F188" s="21">
        <v>0.31155172076418303</v>
      </c>
      <c r="G188" s="4">
        <v>0.57599999999999996</v>
      </c>
      <c r="H188" s="4">
        <v>0.40412979351032402</v>
      </c>
      <c r="I188" s="4">
        <v>0.56499999999999995</v>
      </c>
      <c r="J188" s="4">
        <v>0.60799999999999998</v>
      </c>
      <c r="K188" s="5">
        <v>0</v>
      </c>
      <c r="L188" s="5">
        <v>100</v>
      </c>
      <c r="M188" s="5">
        <v>0</v>
      </c>
      <c r="N188" s="5">
        <v>0</v>
      </c>
      <c r="O188" s="2">
        <v>0.85802182375017921</v>
      </c>
      <c r="P188" s="2">
        <v>0.51773240997924486</v>
      </c>
      <c r="Q188" s="2">
        <v>0.83240924789345283</v>
      </c>
      <c r="R188" s="2">
        <v>0.93649343919167449</v>
      </c>
    </row>
    <row r="189" spans="1:18" x14ac:dyDescent="0.3">
      <c r="A189" s="7">
        <v>444</v>
      </c>
      <c r="B189" s="7">
        <v>275</v>
      </c>
      <c r="C189" s="7">
        <v>0</v>
      </c>
      <c r="D189" s="7">
        <v>0</v>
      </c>
      <c r="E189" s="20" t="str">
        <f t="shared" si="2"/>
        <v>00</v>
      </c>
      <c r="F189" s="21">
        <v>0.31287258928562001</v>
      </c>
      <c r="G189" s="4">
        <v>0.46400000000000002</v>
      </c>
      <c r="H189" s="4">
        <v>0.38116591928251098</v>
      </c>
      <c r="I189" s="4">
        <v>0.129</v>
      </c>
      <c r="J189" s="4">
        <v>0.115</v>
      </c>
      <c r="K189" s="5">
        <v>100</v>
      </c>
      <c r="L189" s="5">
        <v>100</v>
      </c>
      <c r="M189" s="5">
        <v>100</v>
      </c>
      <c r="N189" s="5">
        <v>100</v>
      </c>
      <c r="O189" s="2">
        <v>0.62362111791133501</v>
      </c>
      <c r="P189" s="2">
        <v>0.47991808630291372</v>
      </c>
      <c r="Q189" s="2">
        <v>0.13811330212963427</v>
      </c>
      <c r="R189" s="2">
        <v>0.12216763397420753</v>
      </c>
    </row>
    <row r="190" spans="1:18" x14ac:dyDescent="0.3">
      <c r="A190" s="7">
        <v>632</v>
      </c>
      <c r="B190" s="7">
        <v>273</v>
      </c>
      <c r="C190" s="7">
        <v>0</v>
      </c>
      <c r="D190" s="7">
        <v>0</v>
      </c>
      <c r="E190" s="20" t="str">
        <f t="shared" si="2"/>
        <v>00</v>
      </c>
      <c r="F190" s="21">
        <v>0.319722331143316</v>
      </c>
      <c r="G190" s="4">
        <v>0.48599999999999999</v>
      </c>
      <c r="H190" s="4">
        <v>0.37593984962406002</v>
      </c>
      <c r="I190" s="4">
        <v>5.8000000000000003E-2</v>
      </c>
      <c r="J190" s="4">
        <v>7.5999999999999998E-2</v>
      </c>
      <c r="K190" s="5">
        <v>100</v>
      </c>
      <c r="L190" s="5">
        <v>100</v>
      </c>
      <c r="M190" s="5">
        <v>100</v>
      </c>
      <c r="N190" s="5">
        <v>100</v>
      </c>
      <c r="O190" s="2">
        <v>0.66553201352697189</v>
      </c>
      <c r="P190" s="2">
        <v>0.47150852042515562</v>
      </c>
      <c r="Q190" s="2">
        <v>5.9750004405774049E-2</v>
      </c>
      <c r="R190" s="2">
        <v>7.9043207340452851E-2</v>
      </c>
    </row>
    <row r="191" spans="1:18" x14ac:dyDescent="0.3">
      <c r="A191" s="7">
        <v>104</v>
      </c>
      <c r="B191" s="7">
        <v>282</v>
      </c>
      <c r="C191" s="7">
        <v>0</v>
      </c>
      <c r="D191" s="7">
        <v>0</v>
      </c>
      <c r="E191" s="20" t="str">
        <f t="shared" si="2"/>
        <v>00</v>
      </c>
      <c r="F191" s="21">
        <v>0.32123060382994501</v>
      </c>
      <c r="G191" s="4">
        <v>0.57099999999999995</v>
      </c>
      <c r="H191" s="4">
        <v>0.4</v>
      </c>
      <c r="I191" s="4">
        <v>0.35299999999999998</v>
      </c>
      <c r="J191" s="4">
        <v>0.32300000000000001</v>
      </c>
      <c r="K191" s="5">
        <v>0</v>
      </c>
      <c r="L191" s="5">
        <v>100</v>
      </c>
      <c r="M191" s="5">
        <v>100</v>
      </c>
      <c r="N191" s="5">
        <v>100</v>
      </c>
      <c r="O191" s="2">
        <v>0.84629836005411996</v>
      </c>
      <c r="P191" s="2">
        <v>0.51082562376599072</v>
      </c>
      <c r="Q191" s="2">
        <v>0.43540898448123644</v>
      </c>
      <c r="R191" s="2">
        <v>0.39008400606986199</v>
      </c>
    </row>
    <row r="192" spans="1:18" x14ac:dyDescent="0.3">
      <c r="A192" s="7">
        <v>606</v>
      </c>
      <c r="B192" s="7">
        <v>262</v>
      </c>
      <c r="C192" s="7">
        <v>0</v>
      </c>
      <c r="D192" s="7">
        <v>0</v>
      </c>
      <c r="E192" s="20" t="str">
        <f t="shared" si="2"/>
        <v>00</v>
      </c>
      <c r="F192" s="21">
        <v>0.32157898742360203</v>
      </c>
      <c r="G192" s="4">
        <v>0.57799999999999996</v>
      </c>
      <c r="H192" s="4">
        <v>0.45628415300546399</v>
      </c>
      <c r="I192" s="4">
        <v>5.3999999999999999E-2</v>
      </c>
      <c r="J192" s="4">
        <v>6.0999999999999999E-2</v>
      </c>
      <c r="K192" s="5">
        <v>0</v>
      </c>
      <c r="L192" s="5">
        <v>100</v>
      </c>
      <c r="M192" s="5">
        <v>100</v>
      </c>
      <c r="N192" s="5">
        <v>100</v>
      </c>
      <c r="O192" s="2">
        <v>0.8627499649461251</v>
      </c>
      <c r="P192" s="2">
        <v>0.60932850867687294</v>
      </c>
      <c r="Q192" s="2">
        <v>5.5512709930258829E-2</v>
      </c>
      <c r="R192" s="2">
        <v>6.2939799773874081E-2</v>
      </c>
    </row>
    <row r="193" spans="1:18" x14ac:dyDescent="0.3">
      <c r="A193" s="7">
        <v>646</v>
      </c>
      <c r="B193" s="7">
        <v>293</v>
      </c>
      <c r="C193" s="7">
        <v>0</v>
      </c>
      <c r="D193" s="7">
        <v>0</v>
      </c>
      <c r="E193" s="20" t="str">
        <f t="shared" si="2"/>
        <v>00</v>
      </c>
      <c r="F193" s="21">
        <v>0.32844992757528702</v>
      </c>
      <c r="G193" s="4">
        <v>0.64300000000000002</v>
      </c>
      <c r="H193" s="4">
        <v>0.48295454545454503</v>
      </c>
      <c r="I193" s="4">
        <v>6.4000000000000001E-2</v>
      </c>
      <c r="J193" s="4">
        <v>5.2999999999999999E-2</v>
      </c>
      <c r="K193" s="5">
        <v>0</v>
      </c>
      <c r="L193" s="5">
        <v>100</v>
      </c>
      <c r="M193" s="5">
        <v>100</v>
      </c>
      <c r="N193" s="5">
        <v>100</v>
      </c>
      <c r="O193" s="2">
        <v>1.0300194972024981</v>
      </c>
      <c r="P193" s="2">
        <v>0.65962448852130084</v>
      </c>
      <c r="Q193" s="2">
        <v>6.613980250454507E-2</v>
      </c>
      <c r="R193" s="2">
        <v>5.4456185796058855E-2</v>
      </c>
    </row>
    <row r="194" spans="1:18" x14ac:dyDescent="0.3">
      <c r="A194" s="7">
        <v>592</v>
      </c>
      <c r="B194" s="7">
        <v>302</v>
      </c>
      <c r="C194" s="7">
        <v>0</v>
      </c>
      <c r="D194" s="7">
        <v>0</v>
      </c>
      <c r="E194" s="20" t="str">
        <f t="shared" ref="E194:E257" si="3">_xlfn.CONCAT(C194,D194)</f>
        <v>00</v>
      </c>
      <c r="F194" s="21">
        <v>0.32909384924525897</v>
      </c>
      <c r="G194" s="4">
        <v>0.48799999999999999</v>
      </c>
      <c r="H194" s="4">
        <v>0.34430379746835399</v>
      </c>
      <c r="I194" s="4">
        <v>4.2999999999999997E-2</v>
      </c>
      <c r="J194" s="4">
        <v>5.7000000000000002E-2</v>
      </c>
      <c r="K194" s="5">
        <v>100</v>
      </c>
      <c r="L194" s="5">
        <v>100</v>
      </c>
      <c r="M194" s="5">
        <v>100</v>
      </c>
      <c r="N194" s="5">
        <v>100</v>
      </c>
      <c r="O194" s="2">
        <v>0.66943065394262924</v>
      </c>
      <c r="P194" s="2">
        <v>0.42205770320158353</v>
      </c>
      <c r="Q194" s="2">
        <v>4.3951887529182831E-2</v>
      </c>
      <c r="R194" s="2">
        <v>5.8688996348679613E-2</v>
      </c>
    </row>
    <row r="195" spans="1:18" x14ac:dyDescent="0.3">
      <c r="A195" s="7">
        <v>840</v>
      </c>
      <c r="B195" s="7">
        <v>290</v>
      </c>
      <c r="C195" s="7">
        <v>0</v>
      </c>
      <c r="D195" s="7">
        <v>0</v>
      </c>
      <c r="E195" s="20" t="str">
        <f t="shared" si="3"/>
        <v>00</v>
      </c>
      <c r="F195" s="21">
        <v>0.332043917813652</v>
      </c>
      <c r="G195" s="4">
        <v>0.79300000000000004</v>
      </c>
      <c r="H195" s="4">
        <v>0.58333333333333304</v>
      </c>
      <c r="I195" s="4">
        <v>5.6000000000000001E-2</v>
      </c>
      <c r="J195" s="4">
        <v>7.0999999999999994E-2</v>
      </c>
      <c r="K195" s="5">
        <v>0</v>
      </c>
      <c r="L195" s="5">
        <v>0</v>
      </c>
      <c r="M195" s="5">
        <v>100</v>
      </c>
      <c r="N195" s="5">
        <v>100</v>
      </c>
      <c r="O195" s="2">
        <v>1.5750364857167682</v>
      </c>
      <c r="P195" s="2">
        <v>0.87546873735389918</v>
      </c>
      <c r="Q195" s="2">
        <v>5.7629112836636416E-2</v>
      </c>
      <c r="R195" s="2">
        <v>7.3646540168298483E-2</v>
      </c>
    </row>
    <row r="196" spans="1:18" x14ac:dyDescent="0.3">
      <c r="A196" s="7">
        <v>380</v>
      </c>
      <c r="B196" s="7">
        <v>281</v>
      </c>
      <c r="C196" s="7">
        <v>0</v>
      </c>
      <c r="D196" s="7">
        <v>0</v>
      </c>
      <c r="E196" s="20" t="str">
        <f t="shared" si="3"/>
        <v>00</v>
      </c>
      <c r="F196" s="21">
        <v>0.33215755218884602</v>
      </c>
      <c r="G196" s="4">
        <v>0.60799999999999998</v>
      </c>
      <c r="H196" s="4">
        <v>0.49291784702549601</v>
      </c>
      <c r="I196" s="4">
        <v>6.5000000000000002E-2</v>
      </c>
      <c r="J196" s="4">
        <v>6.3E-2</v>
      </c>
      <c r="K196" s="5">
        <v>0</v>
      </c>
      <c r="L196" s="5">
        <v>100</v>
      </c>
      <c r="M196" s="5">
        <v>100</v>
      </c>
      <c r="N196" s="5">
        <v>100</v>
      </c>
      <c r="O196" s="2">
        <v>0.93649343919167449</v>
      </c>
      <c r="P196" s="2">
        <v>0.67908225109254228</v>
      </c>
      <c r="Q196" s="2">
        <v>6.720874969344999E-2</v>
      </c>
      <c r="R196" s="2">
        <v>6.5071996743714805E-2</v>
      </c>
    </row>
    <row r="197" spans="1:18" x14ac:dyDescent="0.3">
      <c r="A197" s="7">
        <v>236</v>
      </c>
      <c r="B197" s="7">
        <v>275</v>
      </c>
      <c r="C197" s="7">
        <v>0</v>
      </c>
      <c r="D197" s="7">
        <v>0</v>
      </c>
      <c r="E197" s="20" t="str">
        <f t="shared" si="3"/>
        <v>00</v>
      </c>
      <c r="F197" s="21">
        <v>0.33643212184357102</v>
      </c>
      <c r="G197" s="4">
        <v>0.47599999999999998</v>
      </c>
      <c r="H197" s="4">
        <v>0.41425389755011099</v>
      </c>
      <c r="I197" s="4">
        <v>7.0000000000000007E-2</v>
      </c>
      <c r="J197" s="4">
        <v>6.5000000000000002E-2</v>
      </c>
      <c r="K197" s="5">
        <v>100</v>
      </c>
      <c r="L197" s="5">
        <v>100</v>
      </c>
      <c r="M197" s="5">
        <v>100</v>
      </c>
      <c r="N197" s="5">
        <v>100</v>
      </c>
      <c r="O197" s="2">
        <v>0.64626359466109484</v>
      </c>
      <c r="P197" s="2">
        <v>0.53486885556448915</v>
      </c>
      <c r="Q197" s="2">
        <v>7.2570692834835498E-2</v>
      </c>
      <c r="R197" s="2">
        <v>6.720874969344999E-2</v>
      </c>
    </row>
    <row r="198" spans="1:18" x14ac:dyDescent="0.3">
      <c r="A198" s="7">
        <v>471</v>
      </c>
      <c r="B198" s="7">
        <v>286</v>
      </c>
      <c r="C198" s="7">
        <v>0</v>
      </c>
      <c r="D198" s="7">
        <v>0</v>
      </c>
      <c r="E198" s="20" t="str">
        <f t="shared" si="3"/>
        <v>00</v>
      </c>
      <c r="F198" s="21">
        <v>0.33715864367805998</v>
      </c>
      <c r="G198" s="4">
        <v>0.54100000000000004</v>
      </c>
      <c r="H198" s="4">
        <v>0.43859649122806998</v>
      </c>
      <c r="I198" s="4">
        <v>5.1999999999999998E-2</v>
      </c>
      <c r="J198" s="4">
        <v>6.3E-2</v>
      </c>
      <c r="K198" s="5">
        <v>0</v>
      </c>
      <c r="L198" s="5">
        <v>100</v>
      </c>
      <c r="M198" s="5">
        <v>100</v>
      </c>
      <c r="N198" s="5">
        <v>100</v>
      </c>
      <c r="O198" s="2">
        <v>0.77870506892159197</v>
      </c>
      <c r="P198" s="2">
        <v>0.57731536503482328</v>
      </c>
      <c r="Q198" s="2">
        <v>5.3400776727115296E-2</v>
      </c>
      <c r="R198" s="2">
        <v>6.5071996743714805E-2</v>
      </c>
    </row>
    <row r="199" spans="1:18" x14ac:dyDescent="0.3">
      <c r="A199" s="7">
        <v>148</v>
      </c>
      <c r="B199" s="7">
        <v>290</v>
      </c>
      <c r="C199" s="7">
        <v>0</v>
      </c>
      <c r="D199" s="7">
        <v>0</v>
      </c>
      <c r="E199" s="20" t="str">
        <f t="shared" si="3"/>
        <v>00</v>
      </c>
      <c r="F199" s="21">
        <v>0.33950391681167502</v>
      </c>
      <c r="G199" s="4">
        <v>0.36</v>
      </c>
      <c r="H199" s="4">
        <v>0.26697892271662799</v>
      </c>
      <c r="I199" s="4">
        <v>8.5999999999999993E-2</v>
      </c>
      <c r="J199" s="4">
        <v>7.8E-2</v>
      </c>
      <c r="K199" s="5">
        <v>100</v>
      </c>
      <c r="L199" s="5">
        <v>100</v>
      </c>
      <c r="M199" s="5">
        <v>100</v>
      </c>
      <c r="N199" s="5">
        <v>100</v>
      </c>
      <c r="O199" s="2">
        <v>0.44628710262841947</v>
      </c>
      <c r="P199" s="2">
        <v>0.31058082268847176</v>
      </c>
      <c r="Q199" s="2">
        <v>8.9924707527987008E-2</v>
      </c>
      <c r="R199" s="2">
        <v>8.1210055425543173E-2</v>
      </c>
    </row>
    <row r="200" spans="1:18" x14ac:dyDescent="0.3">
      <c r="A200" s="7">
        <v>626</v>
      </c>
      <c r="B200" s="7">
        <v>278</v>
      </c>
      <c r="C200" s="7">
        <v>0</v>
      </c>
      <c r="D200" s="7">
        <v>0</v>
      </c>
      <c r="E200" s="20" t="str">
        <f t="shared" si="3"/>
        <v>00</v>
      </c>
      <c r="F200" s="21">
        <v>0.34025262806595702</v>
      </c>
      <c r="G200" s="4">
        <v>0.54600000000000004</v>
      </c>
      <c r="H200" s="4">
        <v>0.42364532019704398</v>
      </c>
      <c r="I200" s="4">
        <v>5.0999999999999997E-2</v>
      </c>
      <c r="J200" s="4">
        <v>5.0999999999999997E-2</v>
      </c>
      <c r="K200" s="5">
        <v>0</v>
      </c>
      <c r="L200" s="5">
        <v>100</v>
      </c>
      <c r="M200" s="5">
        <v>100</v>
      </c>
      <c r="N200" s="5">
        <v>100</v>
      </c>
      <c r="O200" s="2">
        <v>0.78965808094078915</v>
      </c>
      <c r="P200" s="2">
        <v>0.55103204424403074</v>
      </c>
      <c r="Q200" s="2">
        <v>5.2346480372209236E-2</v>
      </c>
      <c r="R200" s="2">
        <v>5.2346480372209236E-2</v>
      </c>
    </row>
    <row r="201" spans="1:18" x14ac:dyDescent="0.3">
      <c r="A201" s="7">
        <v>651</v>
      </c>
      <c r="B201" s="7">
        <v>267</v>
      </c>
      <c r="C201" s="7">
        <v>0</v>
      </c>
      <c r="D201" s="7">
        <v>0</v>
      </c>
      <c r="E201" s="20" t="str">
        <f t="shared" si="3"/>
        <v>00</v>
      </c>
      <c r="F201" s="21">
        <v>0.340302371542472</v>
      </c>
      <c r="G201" s="4">
        <v>0.52</v>
      </c>
      <c r="H201" s="4">
        <v>0.44680851063829802</v>
      </c>
      <c r="I201" s="4">
        <v>0.20799999999999999</v>
      </c>
      <c r="J201" s="4">
        <v>0.18</v>
      </c>
      <c r="K201" s="5">
        <v>0</v>
      </c>
      <c r="L201" s="5">
        <v>100</v>
      </c>
      <c r="M201" s="5">
        <v>100</v>
      </c>
      <c r="N201" s="5">
        <v>100</v>
      </c>
      <c r="O201" s="2">
        <v>0.73396917508020043</v>
      </c>
      <c r="P201" s="2">
        <v>0.59205106368857674</v>
      </c>
      <c r="Q201" s="2">
        <v>0.23319388716771114</v>
      </c>
      <c r="R201" s="2">
        <v>0.19845093872383818</v>
      </c>
    </row>
    <row r="202" spans="1:18" x14ac:dyDescent="0.3">
      <c r="A202" s="7">
        <v>705</v>
      </c>
      <c r="B202" s="7">
        <v>275</v>
      </c>
      <c r="C202" s="7">
        <v>0</v>
      </c>
      <c r="D202" s="7">
        <v>0</v>
      </c>
      <c r="E202" s="20" t="str">
        <f t="shared" si="3"/>
        <v>00</v>
      </c>
      <c r="F202" s="21">
        <v>0.343983024868384</v>
      </c>
      <c r="G202" s="4">
        <v>0.57299999999999995</v>
      </c>
      <c r="H202" s="4">
        <v>0.45477386934673403</v>
      </c>
      <c r="I202" s="4">
        <v>5.5E-2</v>
      </c>
      <c r="J202" s="4">
        <v>5.7000000000000002E-2</v>
      </c>
      <c r="K202" s="5">
        <v>0</v>
      </c>
      <c r="L202" s="5">
        <v>100</v>
      </c>
      <c r="M202" s="5">
        <v>100</v>
      </c>
      <c r="N202" s="5">
        <v>100</v>
      </c>
      <c r="O202" s="2">
        <v>0.85097126575351234</v>
      </c>
      <c r="P202" s="2">
        <v>0.60655465174397882</v>
      </c>
      <c r="Q202" s="2">
        <v>5.6570351488394351E-2</v>
      </c>
      <c r="R202" s="2">
        <v>5.8688996348679613E-2</v>
      </c>
    </row>
    <row r="203" spans="1:18" x14ac:dyDescent="0.3">
      <c r="A203" s="7">
        <v>16</v>
      </c>
      <c r="B203" s="7">
        <v>267</v>
      </c>
      <c r="C203" s="7">
        <v>0</v>
      </c>
      <c r="D203" s="7">
        <v>0</v>
      </c>
      <c r="E203" s="20" t="str">
        <f t="shared" si="3"/>
        <v>00</v>
      </c>
      <c r="F203" s="21">
        <v>0.34997917460981598</v>
      </c>
      <c r="G203" s="4">
        <v>0.45</v>
      </c>
      <c r="H203" s="4">
        <v>0.36299765807962497</v>
      </c>
      <c r="I203" s="4">
        <v>6.2E-2</v>
      </c>
      <c r="J203" s="4">
        <v>5.2999999999999999E-2</v>
      </c>
      <c r="K203" s="5">
        <v>100</v>
      </c>
      <c r="L203" s="5">
        <v>100</v>
      </c>
      <c r="M203" s="5">
        <v>100</v>
      </c>
      <c r="N203" s="5">
        <v>100</v>
      </c>
      <c r="O203" s="2">
        <v>0.59783700075562041</v>
      </c>
      <c r="P203" s="2">
        <v>0.45098194693262683</v>
      </c>
      <c r="Q203" s="2">
        <v>6.4005329975912434E-2</v>
      </c>
      <c r="R203" s="2">
        <v>5.4456185796058855E-2</v>
      </c>
    </row>
    <row r="204" spans="1:18" x14ac:dyDescent="0.3">
      <c r="A204" s="7">
        <v>472</v>
      </c>
      <c r="B204" s="7">
        <v>279</v>
      </c>
      <c r="C204" s="7">
        <v>0</v>
      </c>
      <c r="D204" s="7">
        <v>0</v>
      </c>
      <c r="E204" s="20" t="str">
        <f t="shared" si="3"/>
        <v>00</v>
      </c>
      <c r="F204" s="21">
        <v>0.35178722519319999</v>
      </c>
      <c r="G204" s="4">
        <v>0.45800000000000002</v>
      </c>
      <c r="H204" s="4">
        <v>0.41777777777777803</v>
      </c>
      <c r="I204" s="4">
        <v>0.94399999999999995</v>
      </c>
      <c r="J204" s="4">
        <v>0.92800000000000005</v>
      </c>
      <c r="K204" s="5">
        <v>100</v>
      </c>
      <c r="L204" s="5">
        <v>100</v>
      </c>
      <c r="M204" s="5">
        <v>0</v>
      </c>
      <c r="N204" s="5">
        <v>0</v>
      </c>
      <c r="O204" s="2">
        <v>0.61248927754249083</v>
      </c>
      <c r="P204" s="2">
        <v>0.54090307900326906</v>
      </c>
      <c r="Q204" s="2">
        <v>2.8824035882469867</v>
      </c>
      <c r="R204" s="2">
        <v>2.6310891599660824</v>
      </c>
    </row>
    <row r="205" spans="1:18" x14ac:dyDescent="0.3">
      <c r="A205" s="7">
        <v>62</v>
      </c>
      <c r="B205" s="7">
        <v>271</v>
      </c>
      <c r="C205" s="7">
        <v>0</v>
      </c>
      <c r="D205" s="7">
        <v>0</v>
      </c>
      <c r="E205" s="20" t="str">
        <f t="shared" si="3"/>
        <v>00</v>
      </c>
      <c r="F205" s="21">
        <v>0.35303224563020802</v>
      </c>
      <c r="G205" s="4">
        <v>0.38600000000000001</v>
      </c>
      <c r="H205" s="4">
        <v>0.307865168539326</v>
      </c>
      <c r="I205" s="4">
        <v>4.2000000000000003E-2</v>
      </c>
      <c r="J205" s="4">
        <v>4.8000000000000001E-2</v>
      </c>
      <c r="K205" s="5">
        <v>100</v>
      </c>
      <c r="L205" s="5">
        <v>100</v>
      </c>
      <c r="M205" s="5">
        <v>100</v>
      </c>
      <c r="N205" s="5">
        <v>100</v>
      </c>
      <c r="O205" s="2">
        <v>0.48776035083499458</v>
      </c>
      <c r="P205" s="2">
        <v>0.36797449919266595</v>
      </c>
      <c r="Q205" s="2">
        <v>4.290750101127655E-2</v>
      </c>
      <c r="R205" s="2">
        <v>4.9190244190771781E-2</v>
      </c>
    </row>
    <row r="206" spans="1:18" x14ac:dyDescent="0.3">
      <c r="A206" s="7">
        <v>446</v>
      </c>
      <c r="B206" s="7">
        <v>292</v>
      </c>
      <c r="C206" s="7">
        <v>0</v>
      </c>
      <c r="D206" s="7">
        <v>0</v>
      </c>
      <c r="E206" s="20" t="str">
        <f t="shared" si="3"/>
        <v>00</v>
      </c>
      <c r="F206" s="21">
        <v>0.35645886494121598</v>
      </c>
      <c r="G206" s="4">
        <v>0.39900000000000002</v>
      </c>
      <c r="H206" s="4">
        <v>0.32235294117647101</v>
      </c>
      <c r="I206" s="4">
        <v>5.0999999999999997E-2</v>
      </c>
      <c r="J206" s="4">
        <v>6.0999999999999999E-2</v>
      </c>
      <c r="K206" s="5">
        <v>100</v>
      </c>
      <c r="L206" s="5">
        <v>100</v>
      </c>
      <c r="M206" s="5">
        <v>100</v>
      </c>
      <c r="N206" s="5">
        <v>100</v>
      </c>
      <c r="O206" s="2">
        <v>0.50916034444692948</v>
      </c>
      <c r="P206" s="2">
        <v>0.38912868878847146</v>
      </c>
      <c r="Q206" s="2">
        <v>5.2346480372209236E-2</v>
      </c>
      <c r="R206" s="2">
        <v>6.2939799773874081E-2</v>
      </c>
    </row>
    <row r="207" spans="1:18" x14ac:dyDescent="0.3">
      <c r="A207" s="7">
        <v>212</v>
      </c>
      <c r="B207" s="7">
        <v>258</v>
      </c>
      <c r="C207" s="7">
        <v>0</v>
      </c>
      <c r="D207" s="7">
        <v>0</v>
      </c>
      <c r="E207" s="20" t="str">
        <f t="shared" si="3"/>
        <v>00</v>
      </c>
      <c r="F207" s="21">
        <v>0.35700138971982198</v>
      </c>
      <c r="G207" s="4">
        <v>0.56000000000000005</v>
      </c>
      <c r="H207" s="4">
        <v>0.458937198067633</v>
      </c>
      <c r="I207" s="4">
        <v>4.9000000000000002E-2</v>
      </c>
      <c r="J207" s="4">
        <v>5.6000000000000001E-2</v>
      </c>
      <c r="K207" s="5">
        <v>0</v>
      </c>
      <c r="L207" s="5">
        <v>100</v>
      </c>
      <c r="M207" s="5">
        <v>100</v>
      </c>
      <c r="N207" s="5">
        <v>100</v>
      </c>
      <c r="O207" s="2">
        <v>0.82098055206983034</v>
      </c>
      <c r="P207" s="2">
        <v>0.61421992197027486</v>
      </c>
      <c r="Q207" s="2">
        <v>5.024121643674679E-2</v>
      </c>
      <c r="R207" s="2">
        <v>5.7629112836636416E-2</v>
      </c>
    </row>
    <row r="208" spans="1:18" x14ac:dyDescent="0.3">
      <c r="A208" s="7">
        <v>202</v>
      </c>
      <c r="B208" s="7">
        <v>255</v>
      </c>
      <c r="C208" s="7">
        <v>0</v>
      </c>
      <c r="D208" s="7">
        <v>0</v>
      </c>
      <c r="E208" s="20" t="str">
        <f t="shared" si="3"/>
        <v>00</v>
      </c>
      <c r="F208" s="21">
        <v>0.36150180322764502</v>
      </c>
      <c r="G208" s="4">
        <v>0.46899999999999997</v>
      </c>
      <c r="H208" s="4">
        <v>0.35194174757281599</v>
      </c>
      <c r="I208" s="4">
        <v>7.0000000000000007E-2</v>
      </c>
      <c r="J208" s="4">
        <v>9.5000000000000001E-2</v>
      </c>
      <c r="K208" s="5">
        <v>100</v>
      </c>
      <c r="L208" s="5">
        <v>100</v>
      </c>
      <c r="M208" s="5">
        <v>100</v>
      </c>
      <c r="N208" s="5">
        <v>100</v>
      </c>
      <c r="O208" s="2">
        <v>0.63299325774019821</v>
      </c>
      <c r="P208" s="2">
        <v>0.43377469094927745</v>
      </c>
      <c r="Q208" s="2">
        <v>7.2570692834835498E-2</v>
      </c>
      <c r="R208" s="2">
        <v>9.9820335282210904E-2</v>
      </c>
    </row>
    <row r="209" spans="1:18" x14ac:dyDescent="0.3">
      <c r="A209" s="7">
        <v>418</v>
      </c>
      <c r="B209" s="7">
        <v>248</v>
      </c>
      <c r="C209" s="7">
        <v>0</v>
      </c>
      <c r="D209" s="7">
        <v>0</v>
      </c>
      <c r="E209" s="20" t="str">
        <f t="shared" si="3"/>
        <v>00</v>
      </c>
      <c r="F209" s="21">
        <v>0.362463188458019</v>
      </c>
      <c r="G209" s="4">
        <v>0.46300000000000002</v>
      </c>
      <c r="H209" s="4">
        <v>0.38277511961722499</v>
      </c>
      <c r="I209" s="4">
        <v>2.5999999999999999E-2</v>
      </c>
      <c r="J209" s="4">
        <v>0.05</v>
      </c>
      <c r="K209" s="5">
        <v>100</v>
      </c>
      <c r="L209" s="5">
        <v>100</v>
      </c>
      <c r="M209" s="5">
        <v>100</v>
      </c>
      <c r="N209" s="5">
        <v>100</v>
      </c>
      <c r="O209" s="2">
        <v>0.62175718447327255</v>
      </c>
      <c r="P209" s="2">
        <v>0.48252184760313904</v>
      </c>
      <c r="Q209" s="2">
        <v>2.6343975339601977E-2</v>
      </c>
      <c r="R209" s="2">
        <v>5.1293294387550578E-2</v>
      </c>
    </row>
    <row r="210" spans="1:18" x14ac:dyDescent="0.3">
      <c r="A210" s="7">
        <v>167</v>
      </c>
      <c r="B210" s="7">
        <v>270</v>
      </c>
      <c r="C210" s="7">
        <v>0</v>
      </c>
      <c r="D210" s="7">
        <v>0</v>
      </c>
      <c r="E210" s="20" t="str">
        <f t="shared" si="3"/>
        <v>00</v>
      </c>
      <c r="F210" s="21">
        <v>0.36324828174079599</v>
      </c>
      <c r="G210" s="4">
        <v>0.52900000000000003</v>
      </c>
      <c r="H210" s="4">
        <v>0.36979166666666702</v>
      </c>
      <c r="I210" s="4">
        <v>8.1000000000000003E-2</v>
      </c>
      <c r="J210" s="4">
        <v>7.2999999999999995E-2</v>
      </c>
      <c r="K210" s="5">
        <v>0</v>
      </c>
      <c r="L210" s="5">
        <v>100</v>
      </c>
      <c r="M210" s="5">
        <v>100</v>
      </c>
      <c r="N210" s="5">
        <v>100</v>
      </c>
      <c r="O210" s="2">
        <v>0.75289718496571933</v>
      </c>
      <c r="P210" s="2">
        <v>0.46170482643104094</v>
      </c>
      <c r="Q210" s="2">
        <v>8.4469156626449965E-2</v>
      </c>
      <c r="R210" s="2">
        <v>7.5801713416281849E-2</v>
      </c>
    </row>
    <row r="211" spans="1:18" x14ac:dyDescent="0.3">
      <c r="A211" s="7">
        <v>635</v>
      </c>
      <c r="B211" s="7">
        <v>279</v>
      </c>
      <c r="C211" s="7">
        <v>0</v>
      </c>
      <c r="D211" s="7">
        <v>0</v>
      </c>
      <c r="E211" s="20" t="str">
        <f t="shared" si="3"/>
        <v>00</v>
      </c>
      <c r="F211" s="21">
        <v>0.36576981761816102</v>
      </c>
      <c r="G211" s="4">
        <v>0.61399999999999999</v>
      </c>
      <c r="H211" s="4">
        <v>0.43323442136498502</v>
      </c>
      <c r="I211" s="4">
        <v>4.7E-2</v>
      </c>
      <c r="J211" s="4">
        <v>4.2999999999999997E-2</v>
      </c>
      <c r="K211" s="5">
        <v>0</v>
      </c>
      <c r="L211" s="5">
        <v>100</v>
      </c>
      <c r="M211" s="5">
        <v>100</v>
      </c>
      <c r="N211" s="5">
        <v>100</v>
      </c>
      <c r="O211" s="2">
        <v>0.95191790951730615</v>
      </c>
      <c r="P211" s="2">
        <v>0.56780950230573157</v>
      </c>
      <c r="Q211" s="2">
        <v>4.8140375327934984E-2</v>
      </c>
      <c r="R211" s="2">
        <v>4.3951887529182831E-2</v>
      </c>
    </row>
    <row r="212" spans="1:18" x14ac:dyDescent="0.3">
      <c r="A212" s="7">
        <v>110</v>
      </c>
      <c r="B212" s="7">
        <v>244</v>
      </c>
      <c r="C212" s="7">
        <v>0</v>
      </c>
      <c r="D212" s="7">
        <v>0</v>
      </c>
      <c r="E212" s="20" t="str">
        <f t="shared" si="3"/>
        <v>00</v>
      </c>
      <c r="F212" s="21">
        <v>0.36671345438837699</v>
      </c>
      <c r="G212" s="4">
        <v>0.434</v>
      </c>
      <c r="H212" s="4">
        <v>0.40224719101123602</v>
      </c>
      <c r="I212" s="4">
        <v>7.5999999999999998E-2</v>
      </c>
      <c r="J212" s="4">
        <v>6.6000000000000003E-2</v>
      </c>
      <c r="K212" s="5">
        <v>100</v>
      </c>
      <c r="L212" s="5">
        <v>100</v>
      </c>
      <c r="M212" s="5">
        <v>100</v>
      </c>
      <c r="N212" s="5">
        <v>100</v>
      </c>
      <c r="O212" s="2">
        <v>0.56916120077895405</v>
      </c>
      <c r="P212" s="2">
        <v>0.51457797338454114</v>
      </c>
      <c r="Q212" s="2">
        <v>7.9043207340452851E-2</v>
      </c>
      <c r="R212" s="2">
        <v>6.827884075329449E-2</v>
      </c>
    </row>
    <row r="213" spans="1:18" x14ac:dyDescent="0.3">
      <c r="A213" s="7">
        <v>609</v>
      </c>
      <c r="B213" s="7">
        <v>260</v>
      </c>
      <c r="C213" s="7">
        <v>0</v>
      </c>
      <c r="D213" s="7">
        <v>0</v>
      </c>
      <c r="E213" s="20" t="str">
        <f t="shared" si="3"/>
        <v>00</v>
      </c>
      <c r="F213" s="21">
        <v>0.37010367053244603</v>
      </c>
      <c r="G213" s="4">
        <v>0.52</v>
      </c>
      <c r="H213" s="4">
        <v>0.38718662952646199</v>
      </c>
      <c r="I213" s="4">
        <v>7.4999999999999997E-2</v>
      </c>
      <c r="J213" s="4">
        <v>5.8999999999999997E-2</v>
      </c>
      <c r="K213" s="5">
        <v>0</v>
      </c>
      <c r="L213" s="5">
        <v>100</v>
      </c>
      <c r="M213" s="5">
        <v>100</v>
      </c>
      <c r="N213" s="5">
        <v>100</v>
      </c>
      <c r="O213" s="2">
        <v>0.73396917508020043</v>
      </c>
      <c r="P213" s="2">
        <v>0.48969484213591669</v>
      </c>
      <c r="Q213" s="2">
        <v>7.7961541469711806E-2</v>
      </c>
      <c r="R213" s="2">
        <v>6.0812139396757357E-2</v>
      </c>
    </row>
    <row r="214" spans="1:18" x14ac:dyDescent="0.3">
      <c r="A214" s="7">
        <v>120</v>
      </c>
      <c r="B214" s="7">
        <v>270</v>
      </c>
      <c r="C214" s="7">
        <v>0</v>
      </c>
      <c r="D214" s="7">
        <v>0</v>
      </c>
      <c r="E214" s="20" t="str">
        <f t="shared" si="3"/>
        <v>00</v>
      </c>
      <c r="F214" s="21">
        <v>0.37117399856767602</v>
      </c>
      <c r="G214" s="4">
        <v>0.52700000000000002</v>
      </c>
      <c r="H214" s="4">
        <v>0.46867749419953603</v>
      </c>
      <c r="I214" s="4">
        <v>0.93300000000000005</v>
      </c>
      <c r="J214" s="4">
        <v>0.92100000000000004</v>
      </c>
      <c r="K214" s="5">
        <v>0</v>
      </c>
      <c r="L214" s="5">
        <v>100</v>
      </c>
      <c r="M214" s="5">
        <v>0</v>
      </c>
      <c r="N214" s="5">
        <v>0</v>
      </c>
      <c r="O214" s="2">
        <v>0.74865989049020409</v>
      </c>
      <c r="P214" s="2">
        <v>0.63238608654950812</v>
      </c>
      <c r="Q214" s="2">
        <v>2.703062659591172</v>
      </c>
      <c r="R214" s="2">
        <v>2.5383074265151162</v>
      </c>
    </row>
    <row r="215" spans="1:18" x14ac:dyDescent="0.3">
      <c r="A215" s="7">
        <v>200</v>
      </c>
      <c r="B215" s="7">
        <v>245</v>
      </c>
      <c r="C215" s="7">
        <v>0</v>
      </c>
      <c r="D215" s="7">
        <v>0</v>
      </c>
      <c r="E215" s="20" t="str">
        <f t="shared" si="3"/>
        <v>00</v>
      </c>
      <c r="F215" s="21">
        <v>0.37283969372606102</v>
      </c>
      <c r="G215" s="4">
        <v>0.44900000000000001</v>
      </c>
      <c r="H215" s="4">
        <v>0.35280373831775702</v>
      </c>
      <c r="I215" s="4">
        <v>4.4999999999999998E-2</v>
      </c>
      <c r="J215" s="4">
        <v>5.1999999999999998E-2</v>
      </c>
      <c r="K215" s="5">
        <v>100</v>
      </c>
      <c r="L215" s="5">
        <v>100</v>
      </c>
      <c r="M215" s="5">
        <v>100</v>
      </c>
      <c r="N215" s="5">
        <v>100</v>
      </c>
      <c r="O215" s="2">
        <v>0.59602046982922263</v>
      </c>
      <c r="P215" s="2">
        <v>0.43510568939445832</v>
      </c>
      <c r="Q215" s="2">
        <v>4.6043938501406846E-2</v>
      </c>
      <c r="R215" s="2">
        <v>5.3400776727115296E-2</v>
      </c>
    </row>
    <row r="216" spans="1:18" x14ac:dyDescent="0.3">
      <c r="A216" s="7">
        <v>615</v>
      </c>
      <c r="B216" s="7">
        <v>266</v>
      </c>
      <c r="C216" s="7">
        <v>0</v>
      </c>
      <c r="D216" s="7">
        <v>0</v>
      </c>
      <c r="E216" s="20" t="str">
        <f t="shared" si="3"/>
        <v>00</v>
      </c>
      <c r="F216" s="21">
        <v>0.37692233774769202</v>
      </c>
      <c r="G216" s="4">
        <v>0.43099999999999999</v>
      </c>
      <c r="H216" s="4">
        <v>0.310173697270471</v>
      </c>
      <c r="I216" s="4">
        <v>0.23599999999999999</v>
      </c>
      <c r="J216" s="4">
        <v>0.22500000000000001</v>
      </c>
      <c r="K216" s="5">
        <v>100</v>
      </c>
      <c r="L216" s="5">
        <v>100</v>
      </c>
      <c r="M216" s="5">
        <v>100</v>
      </c>
      <c r="N216" s="5">
        <v>100</v>
      </c>
      <c r="O216" s="2">
        <v>0.56387484485580619</v>
      </c>
      <c r="P216" s="2">
        <v>0.37131544825604518</v>
      </c>
      <c r="Q216" s="2">
        <v>0.26918748981561652</v>
      </c>
      <c r="R216" s="2">
        <v>0.25489224962879004</v>
      </c>
    </row>
    <row r="217" spans="1:18" x14ac:dyDescent="0.3">
      <c r="A217" s="7">
        <v>277</v>
      </c>
      <c r="B217" s="7">
        <v>265</v>
      </c>
      <c r="C217" s="7">
        <v>0</v>
      </c>
      <c r="D217" s="7">
        <v>0</v>
      </c>
      <c r="E217" s="20" t="str">
        <f t="shared" si="3"/>
        <v>00</v>
      </c>
      <c r="F217" s="21">
        <v>0.377719939573054</v>
      </c>
      <c r="G217" s="4">
        <v>0.48099999999999998</v>
      </c>
      <c r="H217" s="4">
        <v>0.39229024943310697</v>
      </c>
      <c r="I217" s="4">
        <v>7.0000000000000007E-2</v>
      </c>
      <c r="J217" s="4">
        <v>6.3E-2</v>
      </c>
      <c r="K217" s="5">
        <v>100</v>
      </c>
      <c r="L217" s="5">
        <v>100</v>
      </c>
      <c r="M217" s="5">
        <v>100</v>
      </c>
      <c r="N217" s="5">
        <v>100</v>
      </c>
      <c r="O217" s="2">
        <v>0.65585139581624841</v>
      </c>
      <c r="P217" s="2">
        <v>0.49805789493598995</v>
      </c>
      <c r="Q217" s="2">
        <v>7.2570692834835498E-2</v>
      </c>
      <c r="R217" s="2">
        <v>6.5071996743714805E-2</v>
      </c>
    </row>
    <row r="218" spans="1:18" x14ac:dyDescent="0.3">
      <c r="A218" s="7">
        <v>671</v>
      </c>
      <c r="B218" s="7">
        <v>294</v>
      </c>
      <c r="C218" s="7">
        <v>0</v>
      </c>
      <c r="D218" s="7">
        <v>0</v>
      </c>
      <c r="E218" s="20" t="str">
        <f t="shared" si="3"/>
        <v>00</v>
      </c>
      <c r="F218" s="21">
        <v>0.37975946497130297</v>
      </c>
      <c r="G218" s="4">
        <v>0.372</v>
      </c>
      <c r="H218" s="4">
        <v>0.3125</v>
      </c>
      <c r="I218" s="4">
        <v>0.06</v>
      </c>
      <c r="J218" s="4">
        <v>5.5E-2</v>
      </c>
      <c r="K218" s="5">
        <v>100</v>
      </c>
      <c r="L218" s="5">
        <v>100</v>
      </c>
      <c r="M218" s="5">
        <v>100</v>
      </c>
      <c r="N218" s="5">
        <v>100</v>
      </c>
      <c r="O218" s="2">
        <v>0.46521511251393838</v>
      </c>
      <c r="P218" s="2">
        <v>0.3746934494414107</v>
      </c>
      <c r="Q218" s="2">
        <v>6.1875403718087529E-2</v>
      </c>
      <c r="R218" s="2">
        <v>5.6570351488394351E-2</v>
      </c>
    </row>
    <row r="219" spans="1:18" x14ac:dyDescent="0.3">
      <c r="A219" s="7">
        <v>246</v>
      </c>
      <c r="B219" s="7">
        <v>266</v>
      </c>
      <c r="C219" s="7">
        <v>0</v>
      </c>
      <c r="D219" s="7">
        <v>0</v>
      </c>
      <c r="E219" s="20" t="str">
        <f t="shared" si="3"/>
        <v>00</v>
      </c>
      <c r="F219" s="21">
        <v>0.37985632355951698</v>
      </c>
      <c r="G219" s="4">
        <v>0.51400000000000001</v>
      </c>
      <c r="H219" s="4">
        <v>0.38010204081632698</v>
      </c>
      <c r="I219" s="4">
        <v>3.1E-2</v>
      </c>
      <c r="J219" s="4">
        <v>5.2999999999999999E-2</v>
      </c>
      <c r="K219" s="5">
        <v>0</v>
      </c>
      <c r="L219" s="5">
        <v>100</v>
      </c>
      <c r="M219" s="5">
        <v>100</v>
      </c>
      <c r="N219" s="5">
        <v>100</v>
      </c>
      <c r="O219" s="2">
        <v>0.72154665508164328</v>
      </c>
      <c r="P219" s="2">
        <v>0.47820039644991474</v>
      </c>
      <c r="Q219" s="2">
        <v>3.1490667091370848E-2</v>
      </c>
      <c r="R219" s="2">
        <v>5.4456185796058855E-2</v>
      </c>
    </row>
    <row r="220" spans="1:18" x14ac:dyDescent="0.3">
      <c r="A220" s="7">
        <v>173</v>
      </c>
      <c r="B220" s="7">
        <v>283</v>
      </c>
      <c r="C220" s="7">
        <v>0</v>
      </c>
      <c r="D220" s="7">
        <v>0</v>
      </c>
      <c r="E220" s="20" t="str">
        <f t="shared" si="3"/>
        <v>00</v>
      </c>
      <c r="F220" s="21">
        <v>0.38043468446394801</v>
      </c>
      <c r="G220" s="4">
        <v>0.52</v>
      </c>
      <c r="H220" s="4">
        <v>0.39393939393939398</v>
      </c>
      <c r="I220" s="4">
        <v>0.53</v>
      </c>
      <c r="J220" s="4">
        <v>0.54600000000000004</v>
      </c>
      <c r="K220" s="5">
        <v>0</v>
      </c>
      <c r="L220" s="5">
        <v>100</v>
      </c>
      <c r="M220" s="5">
        <v>0</v>
      </c>
      <c r="N220" s="5">
        <v>0</v>
      </c>
      <c r="O220" s="2">
        <v>0.73396917508020043</v>
      </c>
      <c r="P220" s="2">
        <v>0.50077528791248938</v>
      </c>
      <c r="Q220" s="2">
        <v>0.75502258427803282</v>
      </c>
      <c r="R220" s="2">
        <v>0.78965808094078915</v>
      </c>
    </row>
    <row r="221" spans="1:18" x14ac:dyDescent="0.3">
      <c r="A221" s="7">
        <v>838</v>
      </c>
      <c r="B221" s="7">
        <v>266</v>
      </c>
      <c r="C221" s="7">
        <v>0</v>
      </c>
      <c r="D221" s="7">
        <v>0</v>
      </c>
      <c r="E221" s="20" t="str">
        <f t="shared" si="3"/>
        <v>00</v>
      </c>
      <c r="F221" s="21">
        <v>0.38144585837914902</v>
      </c>
      <c r="G221" s="4">
        <v>0.56699999999999995</v>
      </c>
      <c r="H221" s="4">
        <v>0.47429906542056099</v>
      </c>
      <c r="I221" s="4">
        <v>7.6999999999999999E-2</v>
      </c>
      <c r="J221" s="4">
        <v>5.6000000000000001E-2</v>
      </c>
      <c r="K221" s="5">
        <v>0</v>
      </c>
      <c r="L221" s="5">
        <v>100</v>
      </c>
      <c r="M221" s="5">
        <v>100</v>
      </c>
      <c r="N221" s="5">
        <v>100</v>
      </c>
      <c r="O221" s="2">
        <v>0.83701755097964714</v>
      </c>
      <c r="P221" s="2">
        <v>0.64302279337737711</v>
      </c>
      <c r="Q221" s="2">
        <v>8.0126044479284855E-2</v>
      </c>
      <c r="R221" s="2">
        <v>5.7629112836636416E-2</v>
      </c>
    </row>
    <row r="222" spans="1:18" x14ac:dyDescent="0.3">
      <c r="A222" s="7">
        <v>425</v>
      </c>
      <c r="B222" s="7">
        <v>274</v>
      </c>
      <c r="C222" s="7">
        <v>0</v>
      </c>
      <c r="D222" s="7">
        <v>0</v>
      </c>
      <c r="E222" s="20" t="str">
        <f t="shared" si="3"/>
        <v>00</v>
      </c>
      <c r="F222" s="21">
        <v>0.38171861912475602</v>
      </c>
      <c r="G222" s="4">
        <v>0.72799999999999998</v>
      </c>
      <c r="H222" s="4">
        <v>0.55882352941176505</v>
      </c>
      <c r="I222" s="4">
        <v>3.5999999999999997E-2</v>
      </c>
      <c r="J222" s="4">
        <v>5.1999999999999998E-2</v>
      </c>
      <c r="K222" s="5">
        <v>0</v>
      </c>
      <c r="L222" s="5">
        <v>0</v>
      </c>
      <c r="M222" s="5">
        <v>100</v>
      </c>
      <c r="N222" s="5">
        <v>100</v>
      </c>
      <c r="O222" s="2">
        <v>1.3019532126861397</v>
      </c>
      <c r="P222" s="2">
        <v>0.81831032351395205</v>
      </c>
      <c r="Q222" s="2">
        <v>3.666398437159147E-2</v>
      </c>
      <c r="R222" s="2">
        <v>5.3400776727115296E-2</v>
      </c>
    </row>
    <row r="223" spans="1:18" x14ac:dyDescent="0.3">
      <c r="A223" s="7">
        <v>411</v>
      </c>
      <c r="B223" s="7">
        <v>248</v>
      </c>
      <c r="C223" s="7">
        <v>0</v>
      </c>
      <c r="D223" s="7">
        <v>0</v>
      </c>
      <c r="E223" s="20" t="str">
        <f t="shared" si="3"/>
        <v>00</v>
      </c>
      <c r="F223" s="21">
        <v>0.39112953244145798</v>
      </c>
      <c r="G223" s="4">
        <v>0.39100000000000001</v>
      </c>
      <c r="H223" s="4">
        <v>0.31136363636363601</v>
      </c>
      <c r="I223" s="4">
        <v>0.20799999999999999</v>
      </c>
      <c r="J223" s="4">
        <v>0.18</v>
      </c>
      <c r="K223" s="5">
        <v>100</v>
      </c>
      <c r="L223" s="5">
        <v>100</v>
      </c>
      <c r="M223" s="5">
        <v>100</v>
      </c>
      <c r="N223" s="5">
        <v>100</v>
      </c>
      <c r="O223" s="2">
        <v>0.49593701127224005</v>
      </c>
      <c r="P223" s="2">
        <v>0.37304192140293729</v>
      </c>
      <c r="Q223" s="2">
        <v>0.23319388716771114</v>
      </c>
      <c r="R223" s="2">
        <v>0.19845093872383818</v>
      </c>
    </row>
    <row r="224" spans="1:18" x14ac:dyDescent="0.3">
      <c r="A224" s="7">
        <v>805</v>
      </c>
      <c r="B224" s="7">
        <v>226</v>
      </c>
      <c r="C224" s="7">
        <v>0</v>
      </c>
      <c r="D224" s="7">
        <v>0</v>
      </c>
      <c r="E224" s="20" t="str">
        <f t="shared" si="3"/>
        <v>00</v>
      </c>
      <c r="F224" s="21">
        <v>0.39145881917122</v>
      </c>
      <c r="G224" s="4">
        <v>0.54500000000000004</v>
      </c>
      <c r="H224" s="4">
        <v>0.41</v>
      </c>
      <c r="I224" s="4">
        <v>5.0999999999999997E-2</v>
      </c>
      <c r="J224" s="4">
        <v>8.4000000000000005E-2</v>
      </c>
      <c r="K224" s="5">
        <v>0</v>
      </c>
      <c r="L224" s="5">
        <v>100</v>
      </c>
      <c r="M224" s="5">
        <v>100</v>
      </c>
      <c r="N224" s="5">
        <v>100</v>
      </c>
      <c r="O224" s="2">
        <v>0.78745786003118667</v>
      </c>
      <c r="P224" s="2">
        <v>0.52763274208237176</v>
      </c>
      <c r="Q224" s="2">
        <v>5.2346480372209236E-2</v>
      </c>
      <c r="R224" s="2">
        <v>8.7738914308006746E-2</v>
      </c>
    </row>
    <row r="225" spans="1:18" x14ac:dyDescent="0.3">
      <c r="A225" s="7">
        <v>134</v>
      </c>
      <c r="B225" s="7">
        <v>247</v>
      </c>
      <c r="C225" s="7">
        <v>0</v>
      </c>
      <c r="D225" s="7">
        <v>0</v>
      </c>
      <c r="E225" s="20" t="str">
        <f t="shared" si="3"/>
        <v>00</v>
      </c>
      <c r="F225" s="21">
        <v>0.394561760444816</v>
      </c>
      <c r="G225" s="4">
        <v>0.60799999999999998</v>
      </c>
      <c r="H225" s="4">
        <v>0.44817927170868299</v>
      </c>
      <c r="I225" s="4">
        <v>4.4999999999999998E-2</v>
      </c>
      <c r="J225" s="4">
        <v>4.7E-2</v>
      </c>
      <c r="K225" s="5">
        <v>0</v>
      </c>
      <c r="L225" s="5">
        <v>100</v>
      </c>
      <c r="M225" s="5">
        <v>100</v>
      </c>
      <c r="N225" s="5">
        <v>100</v>
      </c>
      <c r="O225" s="2">
        <v>0.93649343919167449</v>
      </c>
      <c r="P225" s="2">
        <v>0.59453205304164969</v>
      </c>
      <c r="Q225" s="2">
        <v>4.6043938501406846E-2</v>
      </c>
      <c r="R225" s="2">
        <v>4.8140375327934984E-2</v>
      </c>
    </row>
    <row r="226" spans="1:18" x14ac:dyDescent="0.3">
      <c r="A226" s="7">
        <v>379</v>
      </c>
      <c r="B226" s="7">
        <v>254</v>
      </c>
      <c r="C226" s="7">
        <v>0</v>
      </c>
      <c r="D226" s="7">
        <v>0</v>
      </c>
      <c r="E226" s="20" t="str">
        <f t="shared" si="3"/>
        <v>00</v>
      </c>
      <c r="F226" s="21">
        <v>0.40249216405966498</v>
      </c>
      <c r="G226" s="4">
        <v>0.501</v>
      </c>
      <c r="H226" s="4">
        <v>0.40291262135922301</v>
      </c>
      <c r="I226" s="4">
        <v>9.7000000000000003E-2</v>
      </c>
      <c r="J226" s="4">
        <v>8.5999999999999993E-2</v>
      </c>
      <c r="K226" s="5">
        <v>0</v>
      </c>
      <c r="L226" s="5">
        <v>100</v>
      </c>
      <c r="M226" s="5">
        <v>100</v>
      </c>
      <c r="N226" s="5">
        <v>100</v>
      </c>
      <c r="O226" s="2">
        <v>0.69514918323061836</v>
      </c>
      <c r="P226" s="2">
        <v>0.51569181341716308</v>
      </c>
      <c r="Q226" s="2">
        <v>0.10203272556515161</v>
      </c>
      <c r="R226" s="2">
        <v>8.9924707527987008E-2</v>
      </c>
    </row>
    <row r="227" spans="1:18" x14ac:dyDescent="0.3">
      <c r="A227" s="7">
        <v>168</v>
      </c>
      <c r="B227" s="7">
        <v>224</v>
      </c>
      <c r="C227" s="7">
        <v>0</v>
      </c>
      <c r="D227" s="7">
        <v>0</v>
      </c>
      <c r="E227" s="20" t="str">
        <f t="shared" si="3"/>
        <v>00</v>
      </c>
      <c r="F227" s="21">
        <v>0.405674343146882</v>
      </c>
      <c r="G227" s="4">
        <v>0.44900000000000001</v>
      </c>
      <c r="H227" s="4">
        <v>0.33498759305210901</v>
      </c>
      <c r="I227" s="4">
        <v>0.158</v>
      </c>
      <c r="J227" s="4">
        <v>0.16300000000000001</v>
      </c>
      <c r="K227" s="5">
        <v>100</v>
      </c>
      <c r="L227" s="5">
        <v>100</v>
      </c>
      <c r="M227" s="5">
        <v>100</v>
      </c>
      <c r="N227" s="5">
        <v>100</v>
      </c>
      <c r="O227" s="2">
        <v>0.59602046982922263</v>
      </c>
      <c r="P227" s="2">
        <v>0.40794958143582605</v>
      </c>
      <c r="Q227" s="2">
        <v>0.17197526473981037</v>
      </c>
      <c r="R227" s="2">
        <v>0.17793120849266178</v>
      </c>
    </row>
    <row r="228" spans="1:18" x14ac:dyDescent="0.3">
      <c r="A228" s="7">
        <v>442</v>
      </c>
      <c r="B228" s="7">
        <v>233</v>
      </c>
      <c r="C228" s="7">
        <v>0</v>
      </c>
      <c r="D228" s="7">
        <v>0</v>
      </c>
      <c r="E228" s="20" t="str">
        <f t="shared" si="3"/>
        <v>00</v>
      </c>
      <c r="F228" s="21">
        <v>0.40775609003544599</v>
      </c>
      <c r="G228" s="4">
        <v>0.499</v>
      </c>
      <c r="H228" s="4">
        <v>0.37652811735941299</v>
      </c>
      <c r="I228" s="4">
        <v>6.9000000000000006E-2</v>
      </c>
      <c r="J228" s="4">
        <v>6.5000000000000002E-2</v>
      </c>
      <c r="K228" s="5">
        <v>100</v>
      </c>
      <c r="L228" s="5">
        <v>100</v>
      </c>
      <c r="M228" s="5">
        <v>100</v>
      </c>
      <c r="N228" s="5">
        <v>100</v>
      </c>
      <c r="O228" s="2">
        <v>0.69114917789727226</v>
      </c>
      <c r="P228" s="2">
        <v>0.47245161088437537</v>
      </c>
      <c r="Q228" s="2">
        <v>7.1496001705069923E-2</v>
      </c>
      <c r="R228" s="2">
        <v>6.720874969344999E-2</v>
      </c>
    </row>
    <row r="229" spans="1:18" x14ac:dyDescent="0.3">
      <c r="A229" s="7">
        <v>987</v>
      </c>
      <c r="B229" s="7">
        <v>235</v>
      </c>
      <c r="C229" s="7">
        <v>0</v>
      </c>
      <c r="D229" s="7">
        <v>0</v>
      </c>
      <c r="E229" s="20" t="str">
        <f t="shared" si="3"/>
        <v>00</v>
      </c>
      <c r="F229" s="21">
        <v>0.40816877376329502</v>
      </c>
      <c r="G229" s="4">
        <v>0.311</v>
      </c>
      <c r="H229" s="4">
        <v>0.22939866369710499</v>
      </c>
      <c r="I229" s="4">
        <v>7.2999999999999995E-2</v>
      </c>
      <c r="J229" s="4">
        <v>0.121</v>
      </c>
      <c r="K229" s="5">
        <v>100</v>
      </c>
      <c r="L229" s="5">
        <v>100</v>
      </c>
      <c r="M229" s="5">
        <v>100</v>
      </c>
      <c r="N229" s="5">
        <v>100</v>
      </c>
      <c r="O229" s="2">
        <v>0.37251400796847839</v>
      </c>
      <c r="P229" s="2">
        <v>0.26058411268453052</v>
      </c>
      <c r="Q229" s="2">
        <v>7.5801713416281849E-2</v>
      </c>
      <c r="R229" s="2">
        <v>0.12897038129696006</v>
      </c>
    </row>
    <row r="230" spans="1:18" x14ac:dyDescent="0.3">
      <c r="A230" s="7">
        <v>848</v>
      </c>
      <c r="B230" s="7">
        <v>259</v>
      </c>
      <c r="C230" s="7">
        <v>0</v>
      </c>
      <c r="D230" s="7">
        <v>0</v>
      </c>
      <c r="E230" s="20" t="str">
        <f t="shared" si="3"/>
        <v>00</v>
      </c>
      <c r="F230" s="21">
        <v>0.41157251587563598</v>
      </c>
      <c r="G230" s="4">
        <v>0.47699999999999998</v>
      </c>
      <c r="H230" s="4">
        <v>0.38915094339622602</v>
      </c>
      <c r="I230" s="4">
        <v>0.2</v>
      </c>
      <c r="J230" s="4">
        <v>0.14399999999999999</v>
      </c>
      <c r="K230" s="5">
        <v>100</v>
      </c>
      <c r="L230" s="5">
        <v>100</v>
      </c>
      <c r="M230" s="5">
        <v>100</v>
      </c>
      <c r="N230" s="5">
        <v>100</v>
      </c>
      <c r="O230" s="2">
        <v>0.64817381491721415</v>
      </c>
      <c r="P230" s="2">
        <v>0.49290539353241936</v>
      </c>
      <c r="Q230" s="2">
        <v>0.22314355131420971</v>
      </c>
      <c r="R230" s="2">
        <v>0.15548490284039498</v>
      </c>
    </row>
    <row r="231" spans="1:18" x14ac:dyDescent="0.3">
      <c r="A231" s="7">
        <v>790</v>
      </c>
      <c r="B231" s="7">
        <v>253</v>
      </c>
      <c r="C231" s="7">
        <v>0</v>
      </c>
      <c r="D231" s="7">
        <v>0</v>
      </c>
      <c r="E231" s="20" t="str">
        <f t="shared" si="3"/>
        <v>00</v>
      </c>
      <c r="F231" s="21">
        <v>0.41292615845424002</v>
      </c>
      <c r="G231" s="4">
        <v>0.51</v>
      </c>
      <c r="H231" s="4">
        <v>0.37406483790523698</v>
      </c>
      <c r="I231" s="4">
        <v>5.8999999999999997E-2</v>
      </c>
      <c r="J231" s="4">
        <v>7.0000000000000007E-2</v>
      </c>
      <c r="K231" s="5">
        <v>0</v>
      </c>
      <c r="L231" s="5">
        <v>100</v>
      </c>
      <c r="M231" s="5">
        <v>100</v>
      </c>
      <c r="N231" s="5">
        <v>100</v>
      </c>
      <c r="O231" s="2">
        <v>0.71334988787746478</v>
      </c>
      <c r="P231" s="2">
        <v>0.46850848817478535</v>
      </c>
      <c r="Q231" s="2">
        <v>6.0812139396757357E-2</v>
      </c>
      <c r="R231" s="2">
        <v>7.2570692834835498E-2</v>
      </c>
    </row>
    <row r="232" spans="1:18" x14ac:dyDescent="0.3">
      <c r="A232" s="7">
        <v>975</v>
      </c>
      <c r="B232" s="7">
        <v>254</v>
      </c>
      <c r="C232" s="7">
        <v>0</v>
      </c>
      <c r="D232" s="7">
        <v>0</v>
      </c>
      <c r="E232" s="20" t="str">
        <f t="shared" si="3"/>
        <v>00</v>
      </c>
      <c r="F232" s="21">
        <v>0.41617365700320302</v>
      </c>
      <c r="G232" s="4">
        <v>0.47699999999999998</v>
      </c>
      <c r="H232" s="4">
        <v>0.36214953271028</v>
      </c>
      <c r="I232" s="4">
        <v>0.624</v>
      </c>
      <c r="J232" s="4">
        <v>0.58599999999999997</v>
      </c>
      <c r="K232" s="5">
        <v>100</v>
      </c>
      <c r="L232" s="5">
        <v>100</v>
      </c>
      <c r="M232" s="5">
        <v>0</v>
      </c>
      <c r="N232" s="5">
        <v>0</v>
      </c>
      <c r="O232" s="2">
        <v>0.64817381491721415</v>
      </c>
      <c r="P232" s="2">
        <v>0.44965140039683638</v>
      </c>
      <c r="Q232" s="2">
        <v>0.97816613559224252</v>
      </c>
      <c r="R232" s="2">
        <v>0.88188930515682262</v>
      </c>
    </row>
    <row r="233" spans="1:18" x14ac:dyDescent="0.3">
      <c r="A233" s="7">
        <v>539</v>
      </c>
      <c r="B233" s="7">
        <v>246</v>
      </c>
      <c r="C233" s="7">
        <v>0</v>
      </c>
      <c r="D233" s="7">
        <v>0</v>
      </c>
      <c r="E233" s="20" t="str">
        <f t="shared" si="3"/>
        <v>00</v>
      </c>
      <c r="F233" s="21">
        <v>0.418565006697668</v>
      </c>
      <c r="G233" s="4">
        <v>0.44700000000000001</v>
      </c>
      <c r="H233" s="4">
        <v>0.36854460093896702</v>
      </c>
      <c r="I233" s="4">
        <v>5.7000000000000002E-2</v>
      </c>
      <c r="J233" s="4">
        <v>6.6000000000000003E-2</v>
      </c>
      <c r="K233" s="5">
        <v>100</v>
      </c>
      <c r="L233" s="5">
        <v>100</v>
      </c>
      <c r="M233" s="5">
        <v>100</v>
      </c>
      <c r="N233" s="5">
        <v>100</v>
      </c>
      <c r="O233" s="2">
        <v>0.59239727745980242</v>
      </c>
      <c r="P233" s="2">
        <v>0.45972796666753113</v>
      </c>
      <c r="Q233" s="2">
        <v>5.8688996348679613E-2</v>
      </c>
      <c r="R233" s="2">
        <v>6.827884075329449E-2</v>
      </c>
    </row>
    <row r="234" spans="1:18" x14ac:dyDescent="0.3">
      <c r="A234" s="7">
        <v>331</v>
      </c>
      <c r="B234" s="7">
        <v>215</v>
      </c>
      <c r="C234" s="7">
        <v>0</v>
      </c>
      <c r="D234" s="7">
        <v>0</v>
      </c>
      <c r="E234" s="20" t="str">
        <f t="shared" si="3"/>
        <v>00</v>
      </c>
      <c r="F234" s="21">
        <v>0.42009397529769799</v>
      </c>
      <c r="G234" s="4">
        <v>0.48199999999999998</v>
      </c>
      <c r="H234" s="4">
        <v>0.37965260545905699</v>
      </c>
      <c r="I234" s="4">
        <v>6.7000000000000004E-2</v>
      </c>
      <c r="J234" s="4">
        <v>5.2999999999999999E-2</v>
      </c>
      <c r="K234" s="5">
        <v>100</v>
      </c>
      <c r="L234" s="5">
        <v>100</v>
      </c>
      <c r="M234" s="5">
        <v>100</v>
      </c>
      <c r="N234" s="5">
        <v>100</v>
      </c>
      <c r="O234" s="2">
        <v>0.65778003672265395</v>
      </c>
      <c r="P234" s="2">
        <v>0.47747564408443643</v>
      </c>
      <c r="Q234" s="2">
        <v>6.9350078134793172E-2</v>
      </c>
      <c r="R234" s="2">
        <v>5.4456185796058855E-2</v>
      </c>
    </row>
    <row r="235" spans="1:18" x14ac:dyDescent="0.3">
      <c r="A235" s="7">
        <v>754</v>
      </c>
      <c r="B235" s="7">
        <v>252</v>
      </c>
      <c r="C235" s="7">
        <v>0</v>
      </c>
      <c r="D235" s="7">
        <v>0</v>
      </c>
      <c r="E235" s="20" t="str">
        <f t="shared" si="3"/>
        <v>00</v>
      </c>
      <c r="F235" s="21">
        <v>0.42111237395640599</v>
      </c>
      <c r="G235" s="4">
        <v>0.66400000000000003</v>
      </c>
      <c r="H235" s="4">
        <v>0.49696969696969701</v>
      </c>
      <c r="I235" s="4">
        <v>7.5999999999999998E-2</v>
      </c>
      <c r="J235" s="4">
        <v>6.5000000000000002E-2</v>
      </c>
      <c r="K235" s="5">
        <v>0</v>
      </c>
      <c r="L235" s="5">
        <v>100</v>
      </c>
      <c r="M235" s="5">
        <v>100</v>
      </c>
      <c r="N235" s="5">
        <v>100</v>
      </c>
      <c r="O235" s="2">
        <v>1.0906441190189329</v>
      </c>
      <c r="P235" s="2">
        <v>0.68710486610398291</v>
      </c>
      <c r="Q235" s="2">
        <v>7.9043207340452851E-2</v>
      </c>
      <c r="R235" s="2">
        <v>6.720874969344999E-2</v>
      </c>
    </row>
    <row r="236" spans="1:18" x14ac:dyDescent="0.3">
      <c r="A236" s="7">
        <v>666</v>
      </c>
      <c r="B236" s="7">
        <v>245</v>
      </c>
      <c r="C236" s="7">
        <v>0</v>
      </c>
      <c r="D236" s="7">
        <v>0</v>
      </c>
      <c r="E236" s="20" t="str">
        <f t="shared" si="3"/>
        <v>00</v>
      </c>
      <c r="F236" s="21">
        <v>0.43769242405081199</v>
      </c>
      <c r="G236" s="4">
        <v>0.46899999999999997</v>
      </c>
      <c r="H236" s="4">
        <v>0.327146171693735</v>
      </c>
      <c r="I236" s="4">
        <v>6.4000000000000001E-2</v>
      </c>
      <c r="J236" s="4">
        <v>5.8999999999999997E-2</v>
      </c>
      <c r="K236" s="5">
        <v>100</v>
      </c>
      <c r="L236" s="5">
        <v>100</v>
      </c>
      <c r="M236" s="5">
        <v>100</v>
      </c>
      <c r="N236" s="5">
        <v>100</v>
      </c>
      <c r="O236" s="2">
        <v>0.63299325774019821</v>
      </c>
      <c r="P236" s="2">
        <v>0.39622716712322725</v>
      </c>
      <c r="Q236" s="2">
        <v>6.613980250454507E-2</v>
      </c>
      <c r="R236" s="2">
        <v>6.0812139396757357E-2</v>
      </c>
    </row>
    <row r="237" spans="1:18" x14ac:dyDescent="0.3">
      <c r="A237" s="7">
        <v>432</v>
      </c>
      <c r="B237" s="7">
        <v>225</v>
      </c>
      <c r="C237" s="7">
        <v>0</v>
      </c>
      <c r="D237" s="7">
        <v>0</v>
      </c>
      <c r="E237" s="20" t="str">
        <f t="shared" si="3"/>
        <v>00</v>
      </c>
      <c r="F237" s="21">
        <v>0.43902867014478703</v>
      </c>
      <c r="G237" s="4">
        <v>0.55200000000000005</v>
      </c>
      <c r="H237" s="4">
        <v>0.43137254901960798</v>
      </c>
      <c r="I237" s="4">
        <v>0.11</v>
      </c>
      <c r="J237" s="4">
        <v>8.3000000000000004E-2</v>
      </c>
      <c r="K237" s="5">
        <v>0</v>
      </c>
      <c r="L237" s="5">
        <v>100</v>
      </c>
      <c r="M237" s="5">
        <v>100</v>
      </c>
      <c r="N237" s="5">
        <v>100</v>
      </c>
      <c r="O237" s="2">
        <v>0.80296204656715198</v>
      </c>
      <c r="P237" s="2">
        <v>0.56452980273785203</v>
      </c>
      <c r="Q237" s="2">
        <v>0.11653381625595151</v>
      </c>
      <c r="R237" s="2">
        <v>8.6647806725672169E-2</v>
      </c>
    </row>
    <row r="238" spans="1:18" x14ac:dyDescent="0.3">
      <c r="A238" s="7">
        <v>311</v>
      </c>
      <c r="B238" s="7">
        <v>246</v>
      </c>
      <c r="C238" s="7">
        <v>0</v>
      </c>
      <c r="D238" s="7">
        <v>0</v>
      </c>
      <c r="E238" s="20" t="str">
        <f t="shared" si="3"/>
        <v>00</v>
      </c>
      <c r="F238" s="21">
        <v>0.44159318939244402</v>
      </c>
      <c r="G238" s="4">
        <v>0.54</v>
      </c>
      <c r="H238" s="4">
        <v>0.41794871794871802</v>
      </c>
      <c r="I238" s="4">
        <v>0.17899999999999999</v>
      </c>
      <c r="J238" s="4">
        <v>0.21099999999999999</v>
      </c>
      <c r="K238" s="5">
        <v>0</v>
      </c>
      <c r="L238" s="5">
        <v>100</v>
      </c>
      <c r="M238" s="5">
        <v>100</v>
      </c>
      <c r="N238" s="5">
        <v>100</v>
      </c>
      <c r="O238" s="2">
        <v>0.7765287894989964</v>
      </c>
      <c r="P238" s="2">
        <v>0.5411967216422896</v>
      </c>
      <c r="Q238" s="2">
        <v>0.1972321695297089</v>
      </c>
      <c r="R238" s="2">
        <v>0.23698895813626278</v>
      </c>
    </row>
    <row r="239" spans="1:18" x14ac:dyDescent="0.3">
      <c r="A239" s="7">
        <v>310</v>
      </c>
      <c r="B239" s="7">
        <v>235</v>
      </c>
      <c r="C239" s="7">
        <v>0</v>
      </c>
      <c r="D239" s="7">
        <v>0</v>
      </c>
      <c r="E239" s="20" t="str">
        <f t="shared" si="3"/>
        <v>00</v>
      </c>
      <c r="F239" s="21">
        <v>0.44386614157344301</v>
      </c>
      <c r="G239" s="4">
        <v>0.66700000000000004</v>
      </c>
      <c r="H239" s="4">
        <v>0.48297213622291002</v>
      </c>
      <c r="I239" s="4">
        <v>5.3999999999999999E-2</v>
      </c>
      <c r="J239" s="4">
        <v>7.5999999999999998E-2</v>
      </c>
      <c r="K239" s="5">
        <v>0</v>
      </c>
      <c r="L239" s="5">
        <v>100</v>
      </c>
      <c r="M239" s="5">
        <v>100</v>
      </c>
      <c r="N239" s="5">
        <v>100</v>
      </c>
      <c r="O239" s="2">
        <v>1.0996127890016933</v>
      </c>
      <c r="P239" s="2">
        <v>0.6596585108059011</v>
      </c>
      <c r="Q239" s="2">
        <v>5.5512709930258829E-2</v>
      </c>
      <c r="R239" s="2">
        <v>7.9043207340452851E-2</v>
      </c>
    </row>
    <row r="240" spans="1:18" x14ac:dyDescent="0.3">
      <c r="A240" s="7">
        <v>161</v>
      </c>
      <c r="B240" s="7">
        <v>365</v>
      </c>
      <c r="C240" s="7">
        <v>0</v>
      </c>
      <c r="D240" s="7">
        <v>0</v>
      </c>
      <c r="E240" s="20" t="str">
        <f t="shared" si="3"/>
        <v>00</v>
      </c>
      <c r="F240" s="21">
        <v>0.44394106487792301</v>
      </c>
      <c r="G240" s="4">
        <v>0.55700000000000005</v>
      </c>
      <c r="H240" s="4">
        <v>0.46210268948655298</v>
      </c>
      <c r="I240" s="4">
        <v>7.0999999999999994E-2</v>
      </c>
      <c r="J240" s="4">
        <v>7.3999999999999996E-2</v>
      </c>
      <c r="K240" s="5">
        <v>0</v>
      </c>
      <c r="L240" s="5">
        <v>100</v>
      </c>
      <c r="M240" s="5">
        <v>100</v>
      </c>
      <c r="N240" s="5">
        <v>100</v>
      </c>
      <c r="O240" s="2">
        <v>0.81418550893700148</v>
      </c>
      <c r="P240" s="2">
        <v>0.62008760969044097</v>
      </c>
      <c r="Q240" s="2">
        <v>7.3646540168298483E-2</v>
      </c>
      <c r="R240" s="2">
        <v>7.6881044335957618E-2</v>
      </c>
    </row>
    <row r="241" spans="1:18" x14ac:dyDescent="0.3">
      <c r="A241" s="7">
        <v>64</v>
      </c>
      <c r="B241" s="7">
        <v>234</v>
      </c>
      <c r="C241" s="7">
        <v>0</v>
      </c>
      <c r="D241" s="7">
        <v>0</v>
      </c>
      <c r="E241" s="20" t="str">
        <f t="shared" si="3"/>
        <v>00</v>
      </c>
      <c r="F241" s="21">
        <v>0.444005229053756</v>
      </c>
      <c r="G241" s="4">
        <v>0.59899999999999998</v>
      </c>
      <c r="H241" s="4">
        <v>0.43869209809264298</v>
      </c>
      <c r="I241" s="4">
        <v>7.9000000000000001E-2</v>
      </c>
      <c r="J241" s="4">
        <v>0.109</v>
      </c>
      <c r="K241" s="5">
        <v>0</v>
      </c>
      <c r="L241" s="5">
        <v>100</v>
      </c>
      <c r="M241" s="5">
        <v>100</v>
      </c>
      <c r="N241" s="5">
        <v>100</v>
      </c>
      <c r="O241" s="2">
        <v>0.91379385167556781</v>
      </c>
      <c r="P241" s="2">
        <v>0.57748567926498906</v>
      </c>
      <c r="Q241" s="2">
        <v>8.2295242726830156E-2</v>
      </c>
      <c r="R241" s="2">
        <v>0.11541085151132773</v>
      </c>
    </row>
    <row r="242" spans="1:18" x14ac:dyDescent="0.3">
      <c r="A242" s="7">
        <v>722</v>
      </c>
      <c r="B242" s="7">
        <v>230</v>
      </c>
      <c r="C242" s="7">
        <v>0</v>
      </c>
      <c r="D242" s="7">
        <v>0</v>
      </c>
      <c r="E242" s="20" t="str">
        <f t="shared" si="3"/>
        <v>00</v>
      </c>
      <c r="F242" s="21">
        <v>0.46543472079647602</v>
      </c>
      <c r="G242" s="4">
        <v>0.502</v>
      </c>
      <c r="H242" s="4">
        <v>0.40140845070422498</v>
      </c>
      <c r="I242" s="4">
        <v>0.75900000000000001</v>
      </c>
      <c r="J242" s="4">
        <v>0.72199999999999998</v>
      </c>
      <c r="K242" s="5">
        <v>0</v>
      </c>
      <c r="L242" s="5">
        <v>100</v>
      </c>
      <c r="M242" s="5">
        <v>0</v>
      </c>
      <c r="N242" s="5">
        <v>0</v>
      </c>
      <c r="O242" s="2">
        <v>0.69715520195748415</v>
      </c>
      <c r="P242" s="2">
        <v>0.51317580111094374</v>
      </c>
      <c r="Q242" s="2">
        <v>1.422958345491482</v>
      </c>
      <c r="R242" s="2">
        <v>1.2801341652914999</v>
      </c>
    </row>
    <row r="243" spans="1:18" x14ac:dyDescent="0.3">
      <c r="A243" s="7">
        <v>836</v>
      </c>
      <c r="B243" s="7">
        <v>196</v>
      </c>
      <c r="C243" s="7">
        <v>0</v>
      </c>
      <c r="D243" s="7">
        <v>0</v>
      </c>
      <c r="E243" s="20" t="str">
        <f t="shared" si="3"/>
        <v>00</v>
      </c>
      <c r="F243" s="21">
        <v>0.47214417967769901</v>
      </c>
      <c r="G243" s="4">
        <v>0.58899999999999997</v>
      </c>
      <c r="H243" s="4">
        <v>0.45012787723785203</v>
      </c>
      <c r="I243" s="4">
        <v>5.0999999999999997E-2</v>
      </c>
      <c r="J243" s="4">
        <v>8.1000000000000003E-2</v>
      </c>
      <c r="K243" s="5">
        <v>0</v>
      </c>
      <c r="L243" s="5">
        <v>100</v>
      </c>
      <c r="M243" s="5">
        <v>100</v>
      </c>
      <c r="N243" s="5">
        <v>100</v>
      </c>
      <c r="O243" s="2">
        <v>0.8891620644859024</v>
      </c>
      <c r="P243" s="2">
        <v>0.59806953185770373</v>
      </c>
      <c r="Q243" s="2">
        <v>5.2346480372209236E-2</v>
      </c>
      <c r="R243" s="2">
        <v>8.4469156626449965E-2</v>
      </c>
    </row>
    <row r="244" spans="1:18" x14ac:dyDescent="0.3">
      <c r="A244" s="7">
        <v>784</v>
      </c>
      <c r="B244" s="7">
        <v>203</v>
      </c>
      <c r="C244" s="7">
        <v>0</v>
      </c>
      <c r="D244" s="7">
        <v>0</v>
      </c>
      <c r="E244" s="20" t="str">
        <f t="shared" si="3"/>
        <v>00</v>
      </c>
      <c r="F244" s="21">
        <v>0.47396556100890302</v>
      </c>
      <c r="G244" s="4">
        <v>0.67100000000000004</v>
      </c>
      <c r="H244" s="4">
        <v>0.53038674033149202</v>
      </c>
      <c r="I244" s="4">
        <v>8.2000000000000003E-2</v>
      </c>
      <c r="J244" s="4">
        <v>0.10100000000000001</v>
      </c>
      <c r="K244" s="5">
        <v>0</v>
      </c>
      <c r="L244" s="5">
        <v>0</v>
      </c>
      <c r="M244" s="5">
        <v>100</v>
      </c>
      <c r="N244" s="5">
        <v>100</v>
      </c>
      <c r="O244" s="2">
        <v>1.1116975282167654</v>
      </c>
      <c r="P244" s="2">
        <v>0.75584577477550996</v>
      </c>
      <c r="Q244" s="2">
        <v>8.5557888361646545E-2</v>
      </c>
      <c r="R244" s="2">
        <v>0.10647224451051676</v>
      </c>
    </row>
    <row r="245" spans="1:18" x14ac:dyDescent="0.3">
      <c r="A245" s="7">
        <v>550</v>
      </c>
      <c r="B245" s="7">
        <v>221</v>
      </c>
      <c r="C245" s="7">
        <v>0</v>
      </c>
      <c r="D245" s="7">
        <v>0</v>
      </c>
      <c r="E245" s="20" t="str">
        <f t="shared" si="3"/>
        <v>00</v>
      </c>
      <c r="F245" s="21">
        <v>0.47831422409480201</v>
      </c>
      <c r="G245" s="4">
        <v>0.55300000000000005</v>
      </c>
      <c r="H245" s="4">
        <v>0.48184019370460002</v>
      </c>
      <c r="I245" s="4">
        <v>7.2999999999999995E-2</v>
      </c>
      <c r="J245" s="4">
        <v>9.2999999999999999E-2</v>
      </c>
      <c r="K245" s="5">
        <v>0</v>
      </c>
      <c r="L245" s="5">
        <v>100</v>
      </c>
      <c r="M245" s="5">
        <v>100</v>
      </c>
      <c r="N245" s="5">
        <v>100</v>
      </c>
      <c r="O245" s="2">
        <v>0.80519668436856828</v>
      </c>
      <c r="P245" s="2">
        <v>0.65747157793918032</v>
      </c>
      <c r="Q245" s="2">
        <v>7.5801713416281849E-2</v>
      </c>
      <c r="R245" s="2">
        <v>9.7612828867000415E-2</v>
      </c>
    </row>
    <row r="246" spans="1:18" x14ac:dyDescent="0.3">
      <c r="A246" s="7">
        <v>226</v>
      </c>
      <c r="B246" s="7">
        <v>231</v>
      </c>
      <c r="C246" s="7">
        <v>0</v>
      </c>
      <c r="D246" s="7">
        <v>0</v>
      </c>
      <c r="E246" s="20" t="str">
        <f t="shared" si="3"/>
        <v>00</v>
      </c>
      <c r="F246" s="21">
        <v>0.48212902255906398</v>
      </c>
      <c r="G246" s="4">
        <v>0.48099999999999998</v>
      </c>
      <c r="H246" s="4">
        <v>0.42572062084257201</v>
      </c>
      <c r="I246" s="4">
        <v>8.6999999999999994E-2</v>
      </c>
      <c r="J246" s="4">
        <v>6.8000000000000005E-2</v>
      </c>
      <c r="K246" s="5">
        <v>100</v>
      </c>
      <c r="L246" s="5">
        <v>100</v>
      </c>
      <c r="M246" s="5">
        <v>100</v>
      </c>
      <c r="N246" s="5">
        <v>100</v>
      </c>
      <c r="O246" s="2">
        <v>0.65585139581624841</v>
      </c>
      <c r="P246" s="2">
        <v>0.55463927780314048</v>
      </c>
      <c r="Q246" s="2">
        <v>9.1019398387168549E-2</v>
      </c>
      <c r="R246" s="2">
        <v>7.0422464296545931E-2</v>
      </c>
    </row>
    <row r="247" spans="1:18" x14ac:dyDescent="0.3">
      <c r="A247" s="7">
        <v>155</v>
      </c>
      <c r="B247" s="7">
        <v>231</v>
      </c>
      <c r="C247" s="7">
        <v>0</v>
      </c>
      <c r="D247" s="7">
        <v>0</v>
      </c>
      <c r="E247" s="20" t="str">
        <f t="shared" si="3"/>
        <v>00</v>
      </c>
      <c r="F247" s="21">
        <v>0.48471063745431298</v>
      </c>
      <c r="G247" s="4">
        <v>0.52500000000000002</v>
      </c>
      <c r="H247" s="4">
        <v>0.41514360313315901</v>
      </c>
      <c r="I247" s="4">
        <v>9.0999999999999998E-2</v>
      </c>
      <c r="J247" s="4">
        <v>0.08</v>
      </c>
      <c r="K247" s="5">
        <v>0</v>
      </c>
      <c r="L247" s="5">
        <v>100</v>
      </c>
      <c r="M247" s="5">
        <v>100</v>
      </c>
      <c r="N247" s="5">
        <v>100</v>
      </c>
      <c r="O247" s="2">
        <v>0.74444047494749588</v>
      </c>
      <c r="P247" s="2">
        <v>0.53638893732560566</v>
      </c>
      <c r="Q247" s="2">
        <v>9.5410184804658182E-2</v>
      </c>
      <c r="R247" s="2">
        <v>8.3381608939051013E-2</v>
      </c>
    </row>
    <row r="248" spans="1:18" x14ac:dyDescent="0.3">
      <c r="A248" s="7">
        <v>758</v>
      </c>
      <c r="B248" s="7">
        <v>227</v>
      </c>
      <c r="C248" s="7">
        <v>0</v>
      </c>
      <c r="D248" s="7">
        <v>0</v>
      </c>
      <c r="E248" s="20" t="str">
        <f t="shared" si="3"/>
        <v>00</v>
      </c>
      <c r="F248" s="21">
        <v>0.48509721085948299</v>
      </c>
      <c r="G248" s="4">
        <v>0.51900000000000002</v>
      </c>
      <c r="H248" s="4">
        <v>0.44419134396355398</v>
      </c>
      <c r="I248" s="4">
        <v>8.3000000000000004E-2</v>
      </c>
      <c r="J248" s="4">
        <v>6.4000000000000001E-2</v>
      </c>
      <c r="K248" s="5">
        <v>0</v>
      </c>
      <c r="L248" s="5">
        <v>100</v>
      </c>
      <c r="M248" s="5">
        <v>100</v>
      </c>
      <c r="N248" s="5">
        <v>100</v>
      </c>
      <c r="O248" s="2">
        <v>0.73188800887637595</v>
      </c>
      <c r="P248" s="2">
        <v>0.58733118778197024</v>
      </c>
      <c r="Q248" s="2">
        <v>8.6647806725672169E-2</v>
      </c>
      <c r="R248" s="2">
        <v>6.613980250454507E-2</v>
      </c>
    </row>
    <row r="249" spans="1:18" x14ac:dyDescent="0.3">
      <c r="A249" s="7">
        <v>845</v>
      </c>
      <c r="B249" s="7">
        <v>200</v>
      </c>
      <c r="C249" s="7">
        <v>0</v>
      </c>
      <c r="D249" s="7">
        <v>0</v>
      </c>
      <c r="E249" s="20" t="str">
        <f t="shared" si="3"/>
        <v>00</v>
      </c>
      <c r="F249" s="21">
        <v>0.492494004574208</v>
      </c>
      <c r="G249" s="4">
        <v>0.59199999999999997</v>
      </c>
      <c r="H249" s="4">
        <v>0.48571428571428599</v>
      </c>
      <c r="I249" s="4">
        <v>8.4000000000000005E-2</v>
      </c>
      <c r="J249" s="4">
        <v>7.0000000000000007E-2</v>
      </c>
      <c r="K249" s="5">
        <v>0</v>
      </c>
      <c r="L249" s="5">
        <v>100</v>
      </c>
      <c r="M249" s="5">
        <v>100</v>
      </c>
      <c r="N249" s="5">
        <v>100</v>
      </c>
      <c r="O249" s="2">
        <v>0.89648810457797523</v>
      </c>
      <c r="P249" s="2">
        <v>0.66497630359324955</v>
      </c>
      <c r="Q249" s="2">
        <v>8.7738914308006746E-2</v>
      </c>
      <c r="R249" s="2">
        <v>7.2570692834835498E-2</v>
      </c>
    </row>
    <row r="250" spans="1:18" x14ac:dyDescent="0.3">
      <c r="A250" s="7">
        <v>401</v>
      </c>
      <c r="B250" s="7">
        <v>204</v>
      </c>
      <c r="C250" s="7">
        <v>0</v>
      </c>
      <c r="D250" s="7">
        <v>0</v>
      </c>
      <c r="E250" s="20" t="str">
        <f t="shared" si="3"/>
        <v>00</v>
      </c>
      <c r="F250" s="21">
        <v>0.49600930876729499</v>
      </c>
      <c r="G250" s="4">
        <v>0.54800000000000004</v>
      </c>
      <c r="H250" s="4">
        <v>0.33819241982507298</v>
      </c>
      <c r="I250" s="4">
        <v>6.3E-2</v>
      </c>
      <c r="J250" s="4">
        <v>6.4000000000000001E-2</v>
      </c>
      <c r="K250" s="5">
        <v>0</v>
      </c>
      <c r="L250" s="5">
        <v>100</v>
      </c>
      <c r="M250" s="5">
        <v>100</v>
      </c>
      <c r="N250" s="5">
        <v>100</v>
      </c>
      <c r="O250" s="2">
        <v>0.79407309914990598</v>
      </c>
      <c r="P250" s="2">
        <v>0.41278042968453738</v>
      </c>
      <c r="Q250" s="2">
        <v>6.5071996743714805E-2</v>
      </c>
      <c r="R250" s="2">
        <v>6.613980250454507E-2</v>
      </c>
    </row>
    <row r="251" spans="1:18" x14ac:dyDescent="0.3">
      <c r="A251" s="7">
        <v>82</v>
      </c>
      <c r="B251" s="7">
        <v>214</v>
      </c>
      <c r="C251" s="7">
        <v>0</v>
      </c>
      <c r="D251" s="7">
        <v>0</v>
      </c>
      <c r="E251" s="20" t="str">
        <f t="shared" si="3"/>
        <v>00</v>
      </c>
      <c r="F251" s="21">
        <v>0.49809650553215601</v>
      </c>
      <c r="G251" s="4">
        <v>0.55800000000000005</v>
      </c>
      <c r="H251" s="4">
        <v>0.45409429280397001</v>
      </c>
      <c r="I251" s="4">
        <v>7.1999999999999995E-2</v>
      </c>
      <c r="J251" s="4">
        <v>8.8999999999999996E-2</v>
      </c>
      <c r="K251" s="5">
        <v>0</v>
      </c>
      <c r="L251" s="5">
        <v>100</v>
      </c>
      <c r="M251" s="5">
        <v>100</v>
      </c>
      <c r="N251" s="5">
        <v>100</v>
      </c>
      <c r="O251" s="2">
        <v>0.81644539690443907</v>
      </c>
      <c r="P251" s="2">
        <v>0.60530901559432093</v>
      </c>
      <c r="Q251" s="2">
        <v>7.4723546195936422E-2</v>
      </c>
      <c r="R251" s="2">
        <v>9.3212381722178703E-2</v>
      </c>
    </row>
    <row r="252" spans="1:18" x14ac:dyDescent="0.3">
      <c r="A252" s="7">
        <v>308</v>
      </c>
      <c r="B252" s="7">
        <v>200</v>
      </c>
      <c r="C252" s="7">
        <v>0</v>
      </c>
      <c r="D252" s="7">
        <v>0</v>
      </c>
      <c r="E252" s="20" t="str">
        <f t="shared" si="3"/>
        <v>00</v>
      </c>
      <c r="F252" s="21">
        <v>0.498578611455538</v>
      </c>
      <c r="G252" s="4">
        <v>0.43099999999999999</v>
      </c>
      <c r="H252" s="4">
        <v>0.34449760765550203</v>
      </c>
      <c r="I252" s="4">
        <v>8.5000000000000006E-2</v>
      </c>
      <c r="J252" s="4">
        <v>7.8E-2</v>
      </c>
      <c r="K252" s="5">
        <v>100</v>
      </c>
      <c r="L252" s="5">
        <v>100</v>
      </c>
      <c r="M252" s="5">
        <v>100</v>
      </c>
      <c r="N252" s="5">
        <v>100</v>
      </c>
      <c r="O252" s="2">
        <v>0.56387484485580619</v>
      </c>
      <c r="P252" s="2">
        <v>0.42235332613668547</v>
      </c>
      <c r="Q252" s="2">
        <v>8.8831213706615703E-2</v>
      </c>
      <c r="R252" s="2">
        <v>8.1210055425543173E-2</v>
      </c>
    </row>
    <row r="253" spans="1:18" x14ac:dyDescent="0.3">
      <c r="A253" s="7">
        <v>497</v>
      </c>
      <c r="B253" s="7">
        <v>198</v>
      </c>
      <c r="C253" s="7">
        <v>0</v>
      </c>
      <c r="D253" s="7">
        <v>0</v>
      </c>
      <c r="E253" s="20" t="str">
        <f t="shared" si="3"/>
        <v>00</v>
      </c>
      <c r="F253" s="21">
        <v>0.50532164087429399</v>
      </c>
      <c r="G253" s="4">
        <v>0.48</v>
      </c>
      <c r="H253" s="4">
        <v>0.35294117647058798</v>
      </c>
      <c r="I253" s="4">
        <v>8.1000000000000003E-2</v>
      </c>
      <c r="J253" s="4">
        <v>8.4000000000000005E-2</v>
      </c>
      <c r="K253" s="5">
        <v>100</v>
      </c>
      <c r="L253" s="5">
        <v>100</v>
      </c>
      <c r="M253" s="5">
        <v>100</v>
      </c>
      <c r="N253" s="5">
        <v>100</v>
      </c>
      <c r="O253" s="2">
        <v>0.65392646740666394</v>
      </c>
      <c r="P253" s="2">
        <v>0.43531807125784516</v>
      </c>
      <c r="Q253" s="2">
        <v>8.4469156626449965E-2</v>
      </c>
      <c r="R253" s="2">
        <v>8.7738914308006746E-2</v>
      </c>
    </row>
    <row r="254" spans="1:18" x14ac:dyDescent="0.3">
      <c r="A254" s="7">
        <v>526</v>
      </c>
      <c r="B254" s="7">
        <v>217</v>
      </c>
      <c r="C254" s="7">
        <v>0</v>
      </c>
      <c r="D254" s="7">
        <v>0</v>
      </c>
      <c r="E254" s="20" t="str">
        <f t="shared" si="3"/>
        <v>00</v>
      </c>
      <c r="F254" s="21">
        <v>0.50923675406043301</v>
      </c>
      <c r="G254" s="4">
        <v>0.69299999999999995</v>
      </c>
      <c r="H254" s="4">
        <v>0.57967032967033005</v>
      </c>
      <c r="I254" s="4">
        <v>8.5000000000000006E-2</v>
      </c>
      <c r="J254" s="4">
        <v>6.6000000000000003E-2</v>
      </c>
      <c r="K254" s="5">
        <v>0</v>
      </c>
      <c r="L254" s="5">
        <v>0</v>
      </c>
      <c r="M254" s="5">
        <v>100</v>
      </c>
      <c r="N254" s="5">
        <v>100</v>
      </c>
      <c r="O254" s="2">
        <v>1.1809075313949398</v>
      </c>
      <c r="P254" s="2">
        <v>0.86671594624430615</v>
      </c>
      <c r="Q254" s="2">
        <v>8.8831213706615703E-2</v>
      </c>
      <c r="R254" s="2">
        <v>6.827884075329449E-2</v>
      </c>
    </row>
    <row r="255" spans="1:18" x14ac:dyDescent="0.3">
      <c r="A255" s="7">
        <v>698</v>
      </c>
      <c r="B255" s="7">
        <v>222</v>
      </c>
      <c r="C255" s="7">
        <v>0</v>
      </c>
      <c r="D255" s="7">
        <v>0</v>
      </c>
      <c r="E255" s="20" t="str">
        <f t="shared" si="3"/>
        <v>00</v>
      </c>
      <c r="F255" s="21">
        <v>0.51044236399564602</v>
      </c>
      <c r="G255" s="4">
        <v>0.69699999999999995</v>
      </c>
      <c r="H255" s="4">
        <v>0.51829268292682895</v>
      </c>
      <c r="I255" s="4">
        <v>0.03</v>
      </c>
      <c r="J255" s="4">
        <v>6.5000000000000002E-2</v>
      </c>
      <c r="K255" s="5">
        <v>0</v>
      </c>
      <c r="L255" s="5">
        <v>0</v>
      </c>
      <c r="M255" s="5">
        <v>100</v>
      </c>
      <c r="N255" s="5">
        <v>100</v>
      </c>
      <c r="O255" s="2">
        <v>1.1940224734727678</v>
      </c>
      <c r="P255" s="2">
        <v>0.73041857535717625</v>
      </c>
      <c r="Q255" s="2">
        <v>3.0459207484708574E-2</v>
      </c>
      <c r="R255" s="2">
        <v>6.720874969344999E-2</v>
      </c>
    </row>
    <row r="256" spans="1:18" x14ac:dyDescent="0.3">
      <c r="A256" s="7">
        <v>630</v>
      </c>
      <c r="B256" s="7">
        <v>217</v>
      </c>
      <c r="C256" s="7">
        <v>0</v>
      </c>
      <c r="D256" s="7">
        <v>0</v>
      </c>
      <c r="E256" s="20" t="str">
        <f t="shared" si="3"/>
        <v>00</v>
      </c>
      <c r="F256" s="21">
        <v>0.51077064729759603</v>
      </c>
      <c r="G256" s="4">
        <v>0.57499999999999996</v>
      </c>
      <c r="H256" s="4">
        <v>0.38858695652173902</v>
      </c>
      <c r="I256" s="4">
        <v>0.107</v>
      </c>
      <c r="J256" s="4">
        <v>0.10199999999999999</v>
      </c>
      <c r="K256" s="5">
        <v>0</v>
      </c>
      <c r="L256" s="5">
        <v>100</v>
      </c>
      <c r="M256" s="5">
        <v>100</v>
      </c>
      <c r="N256" s="5">
        <v>100</v>
      </c>
      <c r="O256" s="2">
        <v>0.85566611005772009</v>
      </c>
      <c r="P256" s="2">
        <v>0.49198253596451064</v>
      </c>
      <c r="Q256" s="2">
        <v>0.11316869810563798</v>
      </c>
      <c r="R256" s="2">
        <v>0.10758521067993743</v>
      </c>
    </row>
    <row r="257" spans="1:18" x14ac:dyDescent="0.3">
      <c r="A257" s="7">
        <v>613</v>
      </c>
      <c r="B257" s="7">
        <v>198</v>
      </c>
      <c r="C257" s="7">
        <v>0</v>
      </c>
      <c r="D257" s="7">
        <v>0</v>
      </c>
      <c r="E257" s="20" t="str">
        <f t="shared" si="3"/>
        <v>00</v>
      </c>
      <c r="F257" s="21">
        <v>0.51112211204771596</v>
      </c>
      <c r="G257" s="4">
        <v>0.65</v>
      </c>
      <c r="H257" s="4">
        <v>0.49397590361445798</v>
      </c>
      <c r="I257" s="4">
        <v>9.8000000000000004E-2</v>
      </c>
      <c r="J257" s="4">
        <v>6.8000000000000005E-2</v>
      </c>
      <c r="K257" s="5">
        <v>0</v>
      </c>
      <c r="L257" s="5">
        <v>100</v>
      </c>
      <c r="M257" s="5">
        <v>100</v>
      </c>
      <c r="N257" s="5">
        <v>100</v>
      </c>
      <c r="O257" s="2">
        <v>1.0498221244986778</v>
      </c>
      <c r="P257" s="2">
        <v>0.68117098951322996</v>
      </c>
      <c r="Q257" s="2">
        <v>0.10314075891951337</v>
      </c>
      <c r="R257" s="2">
        <v>7.0422464296545931E-2</v>
      </c>
    </row>
    <row r="258" spans="1:18" x14ac:dyDescent="0.3">
      <c r="A258" s="7">
        <v>382</v>
      </c>
      <c r="B258" s="7">
        <v>184</v>
      </c>
      <c r="C258" s="7">
        <v>0</v>
      </c>
      <c r="D258" s="7">
        <v>0</v>
      </c>
      <c r="E258" s="20" t="str">
        <f t="shared" ref="E258:E321" si="4">_xlfn.CONCAT(C258,D258)</f>
        <v>00</v>
      </c>
      <c r="F258" s="21">
        <v>0.51204028791844403</v>
      </c>
      <c r="G258" s="4">
        <v>0.60299999999999998</v>
      </c>
      <c r="H258" s="4">
        <v>0.492307692307692</v>
      </c>
      <c r="I258" s="4">
        <v>0.11</v>
      </c>
      <c r="J258" s="4">
        <v>9.9000000000000005E-2</v>
      </c>
      <c r="K258" s="5">
        <v>0</v>
      </c>
      <c r="L258" s="5">
        <v>100</v>
      </c>
      <c r="M258" s="5">
        <v>100</v>
      </c>
      <c r="N258" s="5">
        <v>100</v>
      </c>
      <c r="O258" s="2">
        <v>0.92381899829494663</v>
      </c>
      <c r="P258" s="2">
        <v>0.67787970842915624</v>
      </c>
      <c r="Q258" s="2">
        <v>0.11653381625595151</v>
      </c>
      <c r="R258" s="2">
        <v>0.10425002137379911</v>
      </c>
    </row>
    <row r="259" spans="1:18" x14ac:dyDescent="0.3">
      <c r="A259" s="7">
        <v>969</v>
      </c>
      <c r="B259" s="7">
        <v>227</v>
      </c>
      <c r="C259" s="7">
        <v>0</v>
      </c>
      <c r="D259" s="7">
        <v>0</v>
      </c>
      <c r="E259" s="20" t="str">
        <f t="shared" si="4"/>
        <v>00</v>
      </c>
      <c r="F259" s="21">
        <v>0.51441082113210701</v>
      </c>
      <c r="G259" s="4">
        <v>0.52700000000000002</v>
      </c>
      <c r="H259" s="4">
        <v>0.44418604651162802</v>
      </c>
      <c r="I259" s="4">
        <v>0.92900000000000005</v>
      </c>
      <c r="J259" s="4">
        <v>0.91200000000000003</v>
      </c>
      <c r="K259" s="5">
        <v>0</v>
      </c>
      <c r="L259" s="5">
        <v>100</v>
      </c>
      <c r="M259" s="5">
        <v>0</v>
      </c>
      <c r="N259" s="5">
        <v>0</v>
      </c>
      <c r="O259" s="2">
        <v>0.74865989049020409</v>
      </c>
      <c r="P259" s="2">
        <v>0.58732165675609771</v>
      </c>
      <c r="Q259" s="2">
        <v>2.6450754019408222</v>
      </c>
      <c r="R259" s="2">
        <v>2.4304184645039308</v>
      </c>
    </row>
    <row r="260" spans="1:18" x14ac:dyDescent="0.3">
      <c r="A260" s="7">
        <v>182</v>
      </c>
      <c r="B260" s="7">
        <v>214</v>
      </c>
      <c r="C260" s="7">
        <v>0</v>
      </c>
      <c r="D260" s="7">
        <v>0</v>
      </c>
      <c r="E260" s="20" t="str">
        <f t="shared" si="4"/>
        <v>00</v>
      </c>
      <c r="F260" s="21">
        <v>0.51628366539053805</v>
      </c>
      <c r="G260" s="4">
        <v>0.53300000000000003</v>
      </c>
      <c r="H260" s="4">
        <v>0.391891891891892</v>
      </c>
      <c r="I260" s="4">
        <v>7.4999999999999997E-2</v>
      </c>
      <c r="J260" s="4">
        <v>6.3E-2</v>
      </c>
      <c r="K260" s="5">
        <v>0</v>
      </c>
      <c r="L260" s="5">
        <v>100</v>
      </c>
      <c r="M260" s="5">
        <v>100</v>
      </c>
      <c r="N260" s="5">
        <v>100</v>
      </c>
      <c r="O260" s="2">
        <v>0.76142602131323978</v>
      </c>
      <c r="P260" s="2">
        <v>0.49740260343385018</v>
      </c>
      <c r="Q260" s="2">
        <v>7.7961541469711806E-2</v>
      </c>
      <c r="R260" s="2">
        <v>6.5071996743714805E-2</v>
      </c>
    </row>
    <row r="261" spans="1:18" x14ac:dyDescent="0.3">
      <c r="A261" s="7">
        <v>203</v>
      </c>
      <c r="B261" s="7">
        <v>294</v>
      </c>
      <c r="C261" s="7">
        <v>0</v>
      </c>
      <c r="D261" s="7">
        <v>0</v>
      </c>
      <c r="E261" s="20" t="str">
        <f t="shared" si="4"/>
        <v>00</v>
      </c>
      <c r="F261" s="21">
        <v>0.523712634098639</v>
      </c>
      <c r="G261" s="4">
        <v>0.58199999999999996</v>
      </c>
      <c r="H261" s="4">
        <v>0.42307692307692302</v>
      </c>
      <c r="I261" s="4">
        <v>0.95599999999999996</v>
      </c>
      <c r="J261" s="4">
        <v>0.9</v>
      </c>
      <c r="K261" s="5">
        <v>0</v>
      </c>
      <c r="L261" s="5">
        <v>100</v>
      </c>
      <c r="M261" s="5">
        <v>0</v>
      </c>
      <c r="N261" s="5">
        <v>0</v>
      </c>
      <c r="O261" s="2">
        <v>0.8722738464573806</v>
      </c>
      <c r="P261" s="2">
        <v>0.55004633691927185</v>
      </c>
      <c r="Q261" s="2">
        <v>3.1235656450638749</v>
      </c>
      <c r="R261" s="2">
        <v>2.3025850929940459</v>
      </c>
    </row>
    <row r="262" spans="1:18" x14ac:dyDescent="0.3">
      <c r="A262" s="7">
        <v>74</v>
      </c>
      <c r="B262" s="7">
        <v>205</v>
      </c>
      <c r="C262" s="7">
        <v>0</v>
      </c>
      <c r="D262" s="7">
        <v>0</v>
      </c>
      <c r="E262" s="20" t="str">
        <f t="shared" si="4"/>
        <v>00</v>
      </c>
      <c r="F262" s="21">
        <v>0.52692312798923602</v>
      </c>
      <c r="G262" s="4">
        <v>0.46600000000000003</v>
      </c>
      <c r="H262" s="4">
        <v>0.32085561497326198</v>
      </c>
      <c r="I262" s="4">
        <v>7.8E-2</v>
      </c>
      <c r="J262" s="4">
        <v>0.09</v>
      </c>
      <c r="K262" s="5">
        <v>100</v>
      </c>
      <c r="L262" s="5">
        <v>100</v>
      </c>
      <c r="M262" s="5">
        <v>100</v>
      </c>
      <c r="N262" s="5">
        <v>100</v>
      </c>
      <c r="O262" s="2">
        <v>0.62735944002194211</v>
      </c>
      <c r="P262" s="2">
        <v>0.38692153039599525</v>
      </c>
      <c r="Q262" s="2">
        <v>8.1210055425543173E-2</v>
      </c>
      <c r="R262" s="2">
        <v>9.431067947124129E-2</v>
      </c>
    </row>
    <row r="263" spans="1:18" x14ac:dyDescent="0.3">
      <c r="A263" s="7">
        <v>25</v>
      </c>
      <c r="B263" s="7">
        <v>197</v>
      </c>
      <c r="C263" s="7">
        <v>0</v>
      </c>
      <c r="D263" s="7">
        <v>0</v>
      </c>
      <c r="E263" s="20" t="str">
        <f t="shared" si="4"/>
        <v>00</v>
      </c>
      <c r="F263" s="21">
        <v>0.53528037745997803</v>
      </c>
      <c r="G263" s="4">
        <v>0.48799999999999999</v>
      </c>
      <c r="H263" s="4">
        <v>0.40942928039702198</v>
      </c>
      <c r="I263" s="4">
        <v>0.92500000000000004</v>
      </c>
      <c r="J263" s="4">
        <v>0.877</v>
      </c>
      <c r="K263" s="5">
        <v>100</v>
      </c>
      <c r="L263" s="5">
        <v>100</v>
      </c>
      <c r="M263" s="5">
        <v>0</v>
      </c>
      <c r="N263" s="5">
        <v>0</v>
      </c>
      <c r="O263" s="2">
        <v>0.66943065394262924</v>
      </c>
      <c r="P263" s="2">
        <v>0.52666588827520766</v>
      </c>
      <c r="Q263" s="2">
        <v>2.5902671654458271</v>
      </c>
      <c r="R263" s="2">
        <v>2.0955709236097197</v>
      </c>
    </row>
    <row r="264" spans="1:18" x14ac:dyDescent="0.3">
      <c r="A264" s="7">
        <v>663</v>
      </c>
      <c r="B264" s="7">
        <v>206</v>
      </c>
      <c r="C264" s="7">
        <v>0</v>
      </c>
      <c r="D264" s="7">
        <v>0</v>
      </c>
      <c r="E264" s="20" t="str">
        <f t="shared" si="4"/>
        <v>00</v>
      </c>
      <c r="F264" s="21">
        <v>0.54218229600884305</v>
      </c>
      <c r="G264" s="4">
        <v>0.43099999999999999</v>
      </c>
      <c r="H264" s="4">
        <v>0.355855855855856</v>
      </c>
      <c r="I264" s="4">
        <v>0.90600000000000003</v>
      </c>
      <c r="J264" s="4">
        <v>0.88900000000000001</v>
      </c>
      <c r="K264" s="5">
        <v>100</v>
      </c>
      <c r="L264" s="5">
        <v>100</v>
      </c>
      <c r="M264" s="5">
        <v>0</v>
      </c>
      <c r="N264" s="5">
        <v>0</v>
      </c>
      <c r="O264" s="2">
        <v>0.56387484485580619</v>
      </c>
      <c r="P264" s="2">
        <v>0.4398327516123724</v>
      </c>
      <c r="Q264" s="2">
        <v>2.3644604967121334</v>
      </c>
      <c r="R264" s="2">
        <v>2.1982250776698029</v>
      </c>
    </row>
    <row r="265" spans="1:18" x14ac:dyDescent="0.3">
      <c r="A265" s="7">
        <v>327</v>
      </c>
      <c r="B265" s="7">
        <v>205</v>
      </c>
      <c r="C265" s="7">
        <v>0</v>
      </c>
      <c r="D265" s="7">
        <v>0</v>
      </c>
      <c r="E265" s="20" t="str">
        <f t="shared" si="4"/>
        <v>00</v>
      </c>
      <c r="F265" s="21">
        <v>0.54514357128369495</v>
      </c>
      <c r="G265" s="4">
        <v>0.47799999999999998</v>
      </c>
      <c r="H265" s="4">
        <v>0.38186157517899799</v>
      </c>
      <c r="I265" s="4">
        <v>0.10100000000000001</v>
      </c>
      <c r="J265" s="4">
        <v>0.111</v>
      </c>
      <c r="K265" s="5">
        <v>100</v>
      </c>
      <c r="L265" s="5">
        <v>100</v>
      </c>
      <c r="M265" s="5">
        <v>100</v>
      </c>
      <c r="N265" s="5">
        <v>100</v>
      </c>
      <c r="O265" s="2">
        <v>0.65008769109949827</v>
      </c>
      <c r="P265" s="2">
        <v>0.48104285822260057</v>
      </c>
      <c r="Q265" s="2">
        <v>0.10647224451051676</v>
      </c>
      <c r="R265" s="2">
        <v>0.11765804346823246</v>
      </c>
    </row>
    <row r="266" spans="1:18" x14ac:dyDescent="0.3">
      <c r="A266" s="7">
        <v>456</v>
      </c>
      <c r="B266" s="7">
        <v>198</v>
      </c>
      <c r="C266" s="7">
        <v>0</v>
      </c>
      <c r="D266" s="7">
        <v>0</v>
      </c>
      <c r="E266" s="20" t="str">
        <f t="shared" si="4"/>
        <v>00</v>
      </c>
      <c r="F266" s="21">
        <v>0.54604468734438905</v>
      </c>
      <c r="G266" s="4">
        <v>0.52800000000000002</v>
      </c>
      <c r="H266" s="4">
        <v>0.38659793814433002</v>
      </c>
      <c r="I266" s="4">
        <v>0.08</v>
      </c>
      <c r="J266" s="4">
        <v>0.10199999999999999</v>
      </c>
      <c r="K266" s="5">
        <v>0</v>
      </c>
      <c r="L266" s="5">
        <v>100</v>
      </c>
      <c r="M266" s="5">
        <v>100</v>
      </c>
      <c r="N266" s="5">
        <v>100</v>
      </c>
      <c r="O266" s="2">
        <v>0.7507762933965817</v>
      </c>
      <c r="P266" s="2">
        <v>0.48873466595179904</v>
      </c>
      <c r="Q266" s="2">
        <v>8.3381608939051013E-2</v>
      </c>
      <c r="R266" s="2">
        <v>0.10758521067993743</v>
      </c>
    </row>
    <row r="267" spans="1:18" x14ac:dyDescent="0.3">
      <c r="A267" s="7">
        <v>770</v>
      </c>
      <c r="B267" s="7">
        <v>198</v>
      </c>
      <c r="C267" s="7">
        <v>0</v>
      </c>
      <c r="D267" s="7">
        <v>0</v>
      </c>
      <c r="E267" s="20" t="str">
        <f t="shared" si="4"/>
        <v>00</v>
      </c>
      <c r="F267" s="21">
        <v>0.54701440414456703</v>
      </c>
      <c r="G267" s="4">
        <v>0.64200000000000002</v>
      </c>
      <c r="H267" s="4">
        <v>0.52480417754569197</v>
      </c>
      <c r="I267" s="4">
        <v>7.4999999999999997E-2</v>
      </c>
      <c r="J267" s="4">
        <v>0.12</v>
      </c>
      <c r="K267" s="5">
        <v>0</v>
      </c>
      <c r="L267" s="5">
        <v>0</v>
      </c>
      <c r="M267" s="5">
        <v>100</v>
      </c>
      <c r="N267" s="5">
        <v>100</v>
      </c>
      <c r="O267" s="2">
        <v>1.0272222925814367</v>
      </c>
      <c r="P267" s="2">
        <v>0.74402830210385074</v>
      </c>
      <c r="Q267" s="2">
        <v>7.7961541469711806E-2</v>
      </c>
      <c r="R267" s="2">
        <v>0.12783337150988489</v>
      </c>
    </row>
    <row r="268" spans="1:18" x14ac:dyDescent="0.3">
      <c r="A268" s="7">
        <v>319</v>
      </c>
      <c r="B268" s="7">
        <v>184</v>
      </c>
      <c r="C268" s="7">
        <v>0</v>
      </c>
      <c r="D268" s="7">
        <v>0</v>
      </c>
      <c r="E268" s="20" t="str">
        <f t="shared" si="4"/>
        <v>00</v>
      </c>
      <c r="F268" s="21">
        <v>0.54769271625557203</v>
      </c>
      <c r="G268" s="4">
        <v>0.48499999999999999</v>
      </c>
      <c r="H268" s="4">
        <v>0.387173396674584</v>
      </c>
      <c r="I268" s="4">
        <v>0.93500000000000005</v>
      </c>
      <c r="J268" s="4">
        <v>0.91200000000000003</v>
      </c>
      <c r="K268" s="5">
        <v>100</v>
      </c>
      <c r="L268" s="5">
        <v>100</v>
      </c>
      <c r="M268" s="5">
        <v>0</v>
      </c>
      <c r="N268" s="5">
        <v>0</v>
      </c>
      <c r="O268" s="2">
        <v>0.6635883783184009</v>
      </c>
      <c r="P268" s="2">
        <v>0.48967324876076357</v>
      </c>
      <c r="Q268" s="2">
        <v>2.7333680090865009</v>
      </c>
      <c r="R268" s="2">
        <v>2.4304184645039308</v>
      </c>
    </row>
    <row r="269" spans="1:18" x14ac:dyDescent="0.3">
      <c r="A269" s="7">
        <v>541</v>
      </c>
      <c r="B269" s="7">
        <v>182</v>
      </c>
      <c r="C269" s="7">
        <v>0</v>
      </c>
      <c r="D269" s="7">
        <v>0</v>
      </c>
      <c r="E269" s="20" t="str">
        <f t="shared" si="4"/>
        <v>00</v>
      </c>
      <c r="F269" s="21">
        <v>0.56786311797473898</v>
      </c>
      <c r="G269" s="4">
        <v>0.61399999999999999</v>
      </c>
      <c r="H269" s="4">
        <v>0.51653944020356202</v>
      </c>
      <c r="I269" s="4">
        <v>8.6999999999999994E-2</v>
      </c>
      <c r="J269" s="4">
        <v>9.8000000000000004E-2</v>
      </c>
      <c r="K269" s="5">
        <v>0</v>
      </c>
      <c r="L269" s="5">
        <v>0</v>
      </c>
      <c r="M269" s="5">
        <v>100</v>
      </c>
      <c r="N269" s="5">
        <v>100</v>
      </c>
      <c r="O269" s="2">
        <v>0.95191790951730615</v>
      </c>
      <c r="P269" s="2">
        <v>0.72678553970877446</v>
      </c>
      <c r="Q269" s="2">
        <v>9.1019398387168549E-2</v>
      </c>
      <c r="R269" s="2">
        <v>0.10314075891951337</v>
      </c>
    </row>
    <row r="270" spans="1:18" x14ac:dyDescent="0.3">
      <c r="A270" s="7">
        <v>727</v>
      </c>
      <c r="B270" s="7">
        <v>200</v>
      </c>
      <c r="C270" s="7">
        <v>0</v>
      </c>
      <c r="D270" s="7">
        <v>0</v>
      </c>
      <c r="E270" s="20" t="str">
        <f t="shared" si="4"/>
        <v>00</v>
      </c>
      <c r="F270" s="21">
        <v>0.56804569444061603</v>
      </c>
      <c r="G270" s="4">
        <v>0.67</v>
      </c>
      <c r="H270" s="4">
        <v>0.51830985915493</v>
      </c>
      <c r="I270" s="4">
        <v>5.7000000000000002E-2</v>
      </c>
      <c r="J270" s="4">
        <v>8.2000000000000003E-2</v>
      </c>
      <c r="K270" s="5">
        <v>0</v>
      </c>
      <c r="L270" s="5">
        <v>0</v>
      </c>
      <c r="M270" s="5">
        <v>100</v>
      </c>
      <c r="N270" s="5">
        <v>100</v>
      </c>
      <c r="O270" s="2">
        <v>1.1086626245216114</v>
      </c>
      <c r="P270" s="2">
        <v>0.7304542329727568</v>
      </c>
      <c r="Q270" s="2">
        <v>5.8688996348679613E-2</v>
      </c>
      <c r="R270" s="2">
        <v>8.5557888361646545E-2</v>
      </c>
    </row>
    <row r="271" spans="1:18" x14ac:dyDescent="0.3">
      <c r="A271" s="7">
        <v>330</v>
      </c>
      <c r="B271" s="7">
        <v>180</v>
      </c>
      <c r="C271" s="7">
        <v>0</v>
      </c>
      <c r="D271" s="7">
        <v>0</v>
      </c>
      <c r="E271" s="20" t="str">
        <f t="shared" si="4"/>
        <v>00</v>
      </c>
      <c r="F271" s="21">
        <v>0.58212751003570196</v>
      </c>
      <c r="G271" s="4">
        <v>0.627</v>
      </c>
      <c r="H271" s="4">
        <v>0.48158640226628902</v>
      </c>
      <c r="I271" s="4">
        <v>0.10299999999999999</v>
      </c>
      <c r="J271" s="4">
        <v>0.115</v>
      </c>
      <c r="K271" s="5">
        <v>0</v>
      </c>
      <c r="L271" s="5">
        <v>100</v>
      </c>
      <c r="M271" s="5">
        <v>100</v>
      </c>
      <c r="N271" s="5">
        <v>100</v>
      </c>
      <c r="O271" s="2">
        <v>0.98617685933832155</v>
      </c>
      <c r="P271" s="2">
        <v>0.65698190409187596</v>
      </c>
      <c r="Q271" s="2">
        <v>0.10869941692334091</v>
      </c>
      <c r="R271" s="2">
        <v>0.12216763397420753</v>
      </c>
    </row>
    <row r="272" spans="1:18" x14ac:dyDescent="0.3">
      <c r="A272" s="7">
        <v>707</v>
      </c>
      <c r="B272" s="7">
        <v>175</v>
      </c>
      <c r="C272" s="7">
        <v>0</v>
      </c>
      <c r="D272" s="7">
        <v>0</v>
      </c>
      <c r="E272" s="20" t="str">
        <f t="shared" si="4"/>
        <v>00</v>
      </c>
      <c r="F272" s="21">
        <v>0.58689151980198195</v>
      </c>
      <c r="G272" s="4">
        <v>0.39</v>
      </c>
      <c r="H272" s="4">
        <v>0.35412026726057899</v>
      </c>
      <c r="I272" s="4">
        <v>7.4999999999999997E-2</v>
      </c>
      <c r="J272" s="4">
        <v>6.8000000000000005E-2</v>
      </c>
      <c r="K272" s="5">
        <v>100</v>
      </c>
      <c r="L272" s="5">
        <v>100</v>
      </c>
      <c r="M272" s="5">
        <v>100</v>
      </c>
      <c r="N272" s="5">
        <v>100</v>
      </c>
      <c r="O272" s="2">
        <v>0.49429632181478012</v>
      </c>
      <c r="P272" s="2">
        <v>0.43714196476173445</v>
      </c>
      <c r="Q272" s="2">
        <v>7.7961541469711806E-2</v>
      </c>
      <c r="R272" s="2">
        <v>7.0422464296545931E-2</v>
      </c>
    </row>
    <row r="273" spans="1:18" x14ac:dyDescent="0.3">
      <c r="A273" s="7">
        <v>999</v>
      </c>
      <c r="B273" s="7">
        <v>187</v>
      </c>
      <c r="C273" s="7">
        <v>0</v>
      </c>
      <c r="D273" s="7">
        <v>0</v>
      </c>
      <c r="E273" s="20" t="str">
        <f t="shared" si="4"/>
        <v>00</v>
      </c>
      <c r="F273" s="21">
        <v>0.59061129446831595</v>
      </c>
      <c r="G273" s="4">
        <v>0.54500000000000004</v>
      </c>
      <c r="H273" s="4">
        <v>0.44191919191919199</v>
      </c>
      <c r="I273" s="4">
        <v>0.1</v>
      </c>
      <c r="J273" s="4">
        <v>0.11</v>
      </c>
      <c r="K273" s="5">
        <v>0</v>
      </c>
      <c r="L273" s="5">
        <v>100</v>
      </c>
      <c r="M273" s="5">
        <v>100</v>
      </c>
      <c r="N273" s="5">
        <v>100</v>
      </c>
      <c r="O273" s="2">
        <v>0.78745786003118667</v>
      </c>
      <c r="P273" s="2">
        <v>0.5832515097367279</v>
      </c>
      <c r="Q273" s="2">
        <v>0.10536051565782628</v>
      </c>
      <c r="R273" s="2">
        <v>0.11653381625595151</v>
      </c>
    </row>
    <row r="274" spans="1:18" x14ac:dyDescent="0.3">
      <c r="A274" s="7">
        <v>871</v>
      </c>
      <c r="B274" s="7">
        <v>191</v>
      </c>
      <c r="C274" s="7">
        <v>0</v>
      </c>
      <c r="D274" s="7">
        <v>0</v>
      </c>
      <c r="E274" s="20" t="str">
        <f t="shared" si="4"/>
        <v>00</v>
      </c>
      <c r="F274" s="21">
        <v>0.59506155945078698</v>
      </c>
      <c r="G274" s="4">
        <v>0.627</v>
      </c>
      <c r="H274" s="4">
        <v>0.53865336658354102</v>
      </c>
      <c r="I274" s="4">
        <v>0.66100000000000003</v>
      </c>
      <c r="J274" s="4">
        <v>0.60799999999999998</v>
      </c>
      <c r="K274" s="5">
        <v>0</v>
      </c>
      <c r="L274" s="5">
        <v>0</v>
      </c>
      <c r="M274" s="5">
        <v>0</v>
      </c>
      <c r="N274" s="5">
        <v>0</v>
      </c>
      <c r="O274" s="2">
        <v>0.98617685933832155</v>
      </c>
      <c r="P274" s="2">
        <v>0.77360560222824404</v>
      </c>
      <c r="Q274" s="2">
        <v>1.0817551716016869</v>
      </c>
      <c r="R274" s="2">
        <v>0.93649343919167449</v>
      </c>
    </row>
    <row r="275" spans="1:18" x14ac:dyDescent="0.3">
      <c r="A275" s="7">
        <v>797</v>
      </c>
      <c r="B275" s="7">
        <v>197</v>
      </c>
      <c r="C275" s="7">
        <v>0</v>
      </c>
      <c r="D275" s="7">
        <v>0</v>
      </c>
      <c r="E275" s="20" t="str">
        <f t="shared" si="4"/>
        <v>00</v>
      </c>
      <c r="F275" s="21">
        <v>0.595274831311147</v>
      </c>
      <c r="G275" s="4">
        <v>0.45800000000000002</v>
      </c>
      <c r="H275" s="4">
        <v>0.40174672489083002</v>
      </c>
      <c r="I275" s="4">
        <v>0.1</v>
      </c>
      <c r="J275" s="4">
        <v>8.2000000000000003E-2</v>
      </c>
      <c r="K275" s="5">
        <v>100</v>
      </c>
      <c r="L275" s="5">
        <v>100</v>
      </c>
      <c r="M275" s="5">
        <v>100</v>
      </c>
      <c r="N275" s="5">
        <v>100</v>
      </c>
      <c r="O275" s="2">
        <v>0.61248927754249083</v>
      </c>
      <c r="P275" s="2">
        <v>0.51374107772611521</v>
      </c>
      <c r="Q275" s="2">
        <v>0.10536051565782628</v>
      </c>
      <c r="R275" s="2">
        <v>8.5557888361646545E-2</v>
      </c>
    </row>
    <row r="276" spans="1:18" x14ac:dyDescent="0.3">
      <c r="A276" s="7">
        <v>637</v>
      </c>
      <c r="B276" s="7">
        <v>179</v>
      </c>
      <c r="C276" s="7">
        <v>0</v>
      </c>
      <c r="D276" s="7">
        <v>0</v>
      </c>
      <c r="E276" s="20" t="str">
        <f t="shared" si="4"/>
        <v>00</v>
      </c>
      <c r="F276" s="21">
        <v>0.60088740406079799</v>
      </c>
      <c r="G276" s="4">
        <v>0.44900000000000001</v>
      </c>
      <c r="H276" s="4">
        <v>0.36363636363636398</v>
      </c>
      <c r="I276" s="4">
        <v>0.08</v>
      </c>
      <c r="J276" s="4">
        <v>7.9000000000000001E-2</v>
      </c>
      <c r="K276" s="5">
        <v>100</v>
      </c>
      <c r="L276" s="5">
        <v>100</v>
      </c>
      <c r="M276" s="5">
        <v>100</v>
      </c>
      <c r="N276" s="5">
        <v>100</v>
      </c>
      <c r="O276" s="2">
        <v>0.59602046982922263</v>
      </c>
      <c r="P276" s="2">
        <v>0.45198512374305777</v>
      </c>
      <c r="Q276" s="2">
        <v>8.3381608939051013E-2</v>
      </c>
      <c r="R276" s="2">
        <v>8.2295242726830156E-2</v>
      </c>
    </row>
    <row r="277" spans="1:18" x14ac:dyDescent="0.3">
      <c r="A277" s="7">
        <v>724</v>
      </c>
      <c r="B277" s="7">
        <v>176</v>
      </c>
      <c r="C277" s="7">
        <v>0</v>
      </c>
      <c r="D277" s="7">
        <v>0</v>
      </c>
      <c r="E277" s="20" t="str">
        <f t="shared" si="4"/>
        <v>00</v>
      </c>
      <c r="F277" s="21">
        <v>0.60228676571378903</v>
      </c>
      <c r="G277" s="4">
        <v>0.44600000000000001</v>
      </c>
      <c r="H277" s="4">
        <v>0.32754342431761801</v>
      </c>
      <c r="I277" s="4">
        <v>7.2999999999999995E-2</v>
      </c>
      <c r="J277" s="4">
        <v>9.0999999999999998E-2</v>
      </c>
      <c r="K277" s="5">
        <v>100</v>
      </c>
      <c r="L277" s="5">
        <v>100</v>
      </c>
      <c r="M277" s="5">
        <v>100</v>
      </c>
      <c r="N277" s="5">
        <v>100</v>
      </c>
      <c r="O277" s="2">
        <v>0.59059059223485311</v>
      </c>
      <c r="P277" s="2">
        <v>0.39681774106698237</v>
      </c>
      <c r="Q277" s="2">
        <v>7.5801713416281849E-2</v>
      </c>
      <c r="R277" s="2">
        <v>9.5410184804658182E-2</v>
      </c>
    </row>
    <row r="278" spans="1:18" x14ac:dyDescent="0.3">
      <c r="A278" s="7">
        <v>564</v>
      </c>
      <c r="B278" s="7">
        <v>166</v>
      </c>
      <c r="C278" s="7">
        <v>0</v>
      </c>
      <c r="D278" s="7">
        <v>0</v>
      </c>
      <c r="E278" s="20" t="str">
        <f t="shared" si="4"/>
        <v>00</v>
      </c>
      <c r="F278" s="21">
        <v>0.60399966899125801</v>
      </c>
      <c r="G278" s="4">
        <v>0.55300000000000005</v>
      </c>
      <c r="H278" s="4">
        <v>0.42602040816326497</v>
      </c>
      <c r="I278" s="4">
        <v>0.90600000000000003</v>
      </c>
      <c r="J278" s="4">
        <v>0.83599999999999997</v>
      </c>
      <c r="K278" s="5">
        <v>0</v>
      </c>
      <c r="L278" s="5">
        <v>100</v>
      </c>
      <c r="M278" s="5">
        <v>0</v>
      </c>
      <c r="N278" s="5">
        <v>0</v>
      </c>
      <c r="O278" s="2">
        <v>0.80519668436856828</v>
      </c>
      <c r="P278" s="2">
        <v>0.55516143758604197</v>
      </c>
      <c r="Q278" s="2">
        <v>2.3644604967121334</v>
      </c>
      <c r="R278" s="2">
        <v>1.8078888511579385</v>
      </c>
    </row>
    <row r="279" spans="1:18" x14ac:dyDescent="0.3">
      <c r="A279" s="7">
        <v>855</v>
      </c>
      <c r="B279" s="7">
        <v>157</v>
      </c>
      <c r="C279" s="7">
        <v>0</v>
      </c>
      <c r="D279" s="7">
        <v>0</v>
      </c>
      <c r="E279" s="20" t="str">
        <f t="shared" si="4"/>
        <v>00</v>
      </c>
      <c r="F279" s="21">
        <v>0.60512062380904397</v>
      </c>
      <c r="G279" s="4">
        <v>0.51400000000000001</v>
      </c>
      <c r="H279" s="4">
        <v>0.368956743002545</v>
      </c>
      <c r="I279" s="4">
        <v>0.28699999999999998</v>
      </c>
      <c r="J279" s="4">
        <v>0.25800000000000001</v>
      </c>
      <c r="K279" s="5">
        <v>0</v>
      </c>
      <c r="L279" s="5">
        <v>100</v>
      </c>
      <c r="M279" s="5">
        <v>100</v>
      </c>
      <c r="N279" s="5">
        <v>100</v>
      </c>
      <c r="O279" s="2">
        <v>0.72154665508164328</v>
      </c>
      <c r="P279" s="2">
        <v>0.46038086570427977</v>
      </c>
      <c r="Q279" s="2">
        <v>0.33827385856784098</v>
      </c>
      <c r="R279" s="2">
        <v>0.29840603581475661</v>
      </c>
    </row>
    <row r="280" spans="1:18" x14ac:dyDescent="0.3">
      <c r="A280" s="7">
        <v>713</v>
      </c>
      <c r="B280" s="7">
        <v>186</v>
      </c>
      <c r="C280" s="7">
        <v>0</v>
      </c>
      <c r="D280" s="7">
        <v>0</v>
      </c>
      <c r="E280" s="20" t="str">
        <f t="shared" si="4"/>
        <v>00</v>
      </c>
      <c r="F280" s="21">
        <v>0.60780465253787896</v>
      </c>
      <c r="G280" s="4">
        <v>0.52100000000000002</v>
      </c>
      <c r="H280" s="4">
        <v>0.38775510204081598</v>
      </c>
      <c r="I280" s="4">
        <v>0.109</v>
      </c>
      <c r="J280" s="4">
        <v>9.6000000000000002E-2</v>
      </c>
      <c r="K280" s="5">
        <v>0</v>
      </c>
      <c r="L280" s="5">
        <v>100</v>
      </c>
      <c r="M280" s="5">
        <v>100</v>
      </c>
      <c r="N280" s="5">
        <v>100</v>
      </c>
      <c r="O280" s="2">
        <v>0.73605468157122189</v>
      </c>
      <c r="P280" s="2">
        <v>0.49062291644847067</v>
      </c>
      <c r="Q280" s="2">
        <v>0.11541085151132773</v>
      </c>
      <c r="R280" s="2">
        <v>0.10092591858996053</v>
      </c>
    </row>
    <row r="281" spans="1:18" x14ac:dyDescent="0.3">
      <c r="A281" s="7">
        <v>374</v>
      </c>
      <c r="B281" s="7">
        <v>164</v>
      </c>
      <c r="C281" s="7">
        <v>0</v>
      </c>
      <c r="D281" s="7">
        <v>0</v>
      </c>
      <c r="E281" s="20" t="str">
        <f t="shared" si="4"/>
        <v>00</v>
      </c>
      <c r="F281" s="21">
        <v>0.61032917354032301</v>
      </c>
      <c r="G281" s="4">
        <v>0.41299999999999998</v>
      </c>
      <c r="H281" s="4">
        <v>0.32705882352941201</v>
      </c>
      <c r="I281" s="4">
        <v>0.89900000000000002</v>
      </c>
      <c r="J281" s="4">
        <v>0.85699999999999998</v>
      </c>
      <c r="K281" s="5">
        <v>100</v>
      </c>
      <c r="L281" s="5">
        <v>100</v>
      </c>
      <c r="M281" s="5">
        <v>0</v>
      </c>
      <c r="N281" s="5">
        <v>0</v>
      </c>
      <c r="O281" s="2">
        <v>0.53273045915404071</v>
      </c>
      <c r="P281" s="2">
        <v>0.3960973581045647</v>
      </c>
      <c r="Q281" s="2">
        <v>2.292634762140878</v>
      </c>
      <c r="R281" s="2">
        <v>1.9449106487222296</v>
      </c>
    </row>
    <row r="282" spans="1:18" x14ac:dyDescent="0.3">
      <c r="A282" s="7">
        <v>95</v>
      </c>
      <c r="B282" s="7">
        <v>148</v>
      </c>
      <c r="C282" s="7">
        <v>0</v>
      </c>
      <c r="D282" s="7">
        <v>0</v>
      </c>
      <c r="E282" s="20" t="str">
        <f t="shared" si="4"/>
        <v>00</v>
      </c>
      <c r="F282" s="21">
        <v>0.62309576053962401</v>
      </c>
      <c r="G282" s="4">
        <v>0.49399999999999999</v>
      </c>
      <c r="H282" s="4">
        <v>0.382585751978892</v>
      </c>
      <c r="I282" s="4">
        <v>0.115</v>
      </c>
      <c r="J282" s="4">
        <v>0.108</v>
      </c>
      <c r="K282" s="5">
        <v>100</v>
      </c>
      <c r="L282" s="5">
        <v>100</v>
      </c>
      <c r="M282" s="5">
        <v>100</v>
      </c>
      <c r="N282" s="5">
        <v>100</v>
      </c>
      <c r="O282" s="2">
        <v>0.68121860969467152</v>
      </c>
      <c r="P282" s="2">
        <v>0.48221508972472521</v>
      </c>
      <c r="Q282" s="2">
        <v>0.12216763397420753</v>
      </c>
      <c r="R282" s="2">
        <v>0.11428914640212766</v>
      </c>
    </row>
    <row r="283" spans="1:18" x14ac:dyDescent="0.3">
      <c r="A283" s="7">
        <v>862</v>
      </c>
      <c r="B283" s="7">
        <v>161</v>
      </c>
      <c r="C283" s="7">
        <v>0</v>
      </c>
      <c r="D283" s="7">
        <v>0</v>
      </c>
      <c r="E283" s="20" t="str">
        <f t="shared" si="4"/>
        <v>00</v>
      </c>
      <c r="F283" s="21">
        <v>0.62808465123052004</v>
      </c>
      <c r="G283" s="4">
        <v>0.498</v>
      </c>
      <c r="H283" s="4">
        <v>0.46206896551724103</v>
      </c>
      <c r="I283" s="4">
        <v>0.121</v>
      </c>
      <c r="J283" s="4">
        <v>0.13500000000000001</v>
      </c>
      <c r="K283" s="5">
        <v>100</v>
      </c>
      <c r="L283" s="5">
        <v>100</v>
      </c>
      <c r="M283" s="5">
        <v>100</v>
      </c>
      <c r="N283" s="5">
        <v>100</v>
      </c>
      <c r="O283" s="2">
        <v>0.68915515929040783</v>
      </c>
      <c r="P283" s="2">
        <v>0.62002491573098195</v>
      </c>
      <c r="Q283" s="2">
        <v>0.12897038129696006</v>
      </c>
      <c r="R283" s="2">
        <v>0.14502577205025774</v>
      </c>
    </row>
    <row r="284" spans="1:18" x14ac:dyDescent="0.3">
      <c r="A284" s="7">
        <v>829</v>
      </c>
      <c r="B284" s="7">
        <v>163</v>
      </c>
      <c r="C284" s="7">
        <v>0</v>
      </c>
      <c r="D284" s="7">
        <v>0</v>
      </c>
      <c r="E284" s="20" t="str">
        <f t="shared" si="4"/>
        <v>00</v>
      </c>
      <c r="F284" s="21">
        <v>0.63134888854861504</v>
      </c>
      <c r="G284" s="4">
        <v>0.36199999999999999</v>
      </c>
      <c r="H284" s="4">
        <v>0.25576036866359397</v>
      </c>
      <c r="I284" s="4">
        <v>0.6</v>
      </c>
      <c r="J284" s="4">
        <v>0.52400000000000002</v>
      </c>
      <c r="K284" s="5">
        <v>100</v>
      </c>
      <c r="L284" s="5">
        <v>100</v>
      </c>
      <c r="M284" s="5">
        <v>0</v>
      </c>
      <c r="N284" s="5">
        <v>0</v>
      </c>
      <c r="O284" s="2">
        <v>0.44941699563734716</v>
      </c>
      <c r="P284" s="2">
        <v>0.29539221087774764</v>
      </c>
      <c r="Q284" s="2">
        <v>0.916290731874155</v>
      </c>
      <c r="R284" s="2">
        <v>0.74233742475071707</v>
      </c>
    </row>
    <row r="285" spans="1:18" x14ac:dyDescent="0.3">
      <c r="A285" s="7">
        <v>549</v>
      </c>
      <c r="B285" s="7">
        <v>171</v>
      </c>
      <c r="C285" s="7">
        <v>0</v>
      </c>
      <c r="D285" s="7">
        <v>0</v>
      </c>
      <c r="E285" s="20" t="str">
        <f t="shared" si="4"/>
        <v>00</v>
      </c>
      <c r="F285" s="21">
        <v>0.637280857995556</v>
      </c>
      <c r="G285" s="4">
        <v>0.55300000000000005</v>
      </c>
      <c r="H285" s="4">
        <v>0.41709844559585502</v>
      </c>
      <c r="I285" s="4">
        <v>0.107</v>
      </c>
      <c r="J285" s="4">
        <v>0.10100000000000001</v>
      </c>
      <c r="K285" s="5">
        <v>0</v>
      </c>
      <c r="L285" s="5">
        <v>100</v>
      </c>
      <c r="M285" s="5">
        <v>100</v>
      </c>
      <c r="N285" s="5">
        <v>100</v>
      </c>
      <c r="O285" s="2">
        <v>0.80519668436856828</v>
      </c>
      <c r="P285" s="2">
        <v>0.53973696726041098</v>
      </c>
      <c r="Q285" s="2">
        <v>0.11316869810563798</v>
      </c>
      <c r="R285" s="2">
        <v>0.10647224451051676</v>
      </c>
    </row>
    <row r="286" spans="1:18" x14ac:dyDescent="0.3">
      <c r="A286" s="7">
        <v>627</v>
      </c>
      <c r="B286" s="7">
        <v>168</v>
      </c>
      <c r="C286" s="7">
        <v>0</v>
      </c>
      <c r="D286" s="7">
        <v>0</v>
      </c>
      <c r="E286" s="20" t="str">
        <f t="shared" si="4"/>
        <v>00</v>
      </c>
      <c r="F286" s="21">
        <v>0.63809757167376402</v>
      </c>
      <c r="G286" s="4">
        <v>0.626</v>
      </c>
      <c r="H286" s="4">
        <v>0.47674418604651198</v>
      </c>
      <c r="I286" s="4">
        <v>5.8999999999999997E-2</v>
      </c>
      <c r="J286" s="4">
        <v>8.7999999999999995E-2</v>
      </c>
      <c r="K286" s="5">
        <v>0</v>
      </c>
      <c r="L286" s="5">
        <v>100</v>
      </c>
      <c r="M286" s="5">
        <v>100</v>
      </c>
      <c r="N286" s="5">
        <v>100</v>
      </c>
      <c r="O286" s="2">
        <v>0.98349948156760514</v>
      </c>
      <c r="P286" s="2">
        <v>0.64768480648318871</v>
      </c>
      <c r="Q286" s="2">
        <v>6.0812139396757357E-2</v>
      </c>
      <c r="R286" s="2">
        <v>9.2115288907805626E-2</v>
      </c>
    </row>
    <row r="287" spans="1:18" x14ac:dyDescent="0.3">
      <c r="A287" s="7">
        <v>580</v>
      </c>
      <c r="B287" s="7">
        <v>204</v>
      </c>
      <c r="C287" s="7">
        <v>0</v>
      </c>
      <c r="D287" s="7">
        <v>0</v>
      </c>
      <c r="E287" s="20" t="str">
        <f t="shared" si="4"/>
        <v>00</v>
      </c>
      <c r="F287" s="21">
        <v>0.64231001245685404</v>
      </c>
      <c r="G287" s="4">
        <v>0.42299999999999999</v>
      </c>
      <c r="H287" s="4">
        <v>0.34537246049661402</v>
      </c>
      <c r="I287" s="4">
        <v>0.09</v>
      </c>
      <c r="J287" s="4">
        <v>7.8E-2</v>
      </c>
      <c r="K287" s="5">
        <v>100</v>
      </c>
      <c r="L287" s="5">
        <v>100</v>
      </c>
      <c r="M287" s="5">
        <v>100</v>
      </c>
      <c r="N287" s="5">
        <v>100</v>
      </c>
      <c r="O287" s="2">
        <v>0.54991301247403757</v>
      </c>
      <c r="P287" s="2">
        <v>0.4236888470646159</v>
      </c>
      <c r="Q287" s="2">
        <v>9.431067947124129E-2</v>
      </c>
      <c r="R287" s="2">
        <v>8.1210055425543173E-2</v>
      </c>
    </row>
    <row r="288" spans="1:18" x14ac:dyDescent="0.3">
      <c r="A288" s="7">
        <v>476</v>
      </c>
      <c r="B288" s="7">
        <v>147</v>
      </c>
      <c r="C288" s="7">
        <v>0</v>
      </c>
      <c r="D288" s="7">
        <v>0</v>
      </c>
      <c r="E288" s="20" t="str">
        <f t="shared" si="4"/>
        <v>00</v>
      </c>
      <c r="F288" s="21">
        <v>0.64239407701146201</v>
      </c>
      <c r="G288" s="4">
        <v>0.55600000000000005</v>
      </c>
      <c r="H288" s="4">
        <v>0.409703504043127</v>
      </c>
      <c r="I288" s="4">
        <v>0.70299999999999996</v>
      </c>
      <c r="J288" s="4">
        <v>0.65900000000000003</v>
      </c>
      <c r="K288" s="5">
        <v>0</v>
      </c>
      <c r="L288" s="5">
        <v>100</v>
      </c>
      <c r="M288" s="5">
        <v>0</v>
      </c>
      <c r="N288" s="5">
        <v>0</v>
      </c>
      <c r="O288" s="2">
        <v>0.81193071654991245</v>
      </c>
      <c r="P288" s="2">
        <v>0.5271303327909348</v>
      </c>
      <c r="Q288" s="2">
        <v>1.2140231401794372</v>
      </c>
      <c r="R288" s="2">
        <v>1.0758728016986203</v>
      </c>
    </row>
    <row r="289" spans="1:18" x14ac:dyDescent="0.3">
      <c r="A289" s="7">
        <v>927</v>
      </c>
      <c r="B289" s="7">
        <v>151</v>
      </c>
      <c r="C289" s="7">
        <v>0</v>
      </c>
      <c r="D289" s="7">
        <v>0</v>
      </c>
      <c r="E289" s="20" t="str">
        <f t="shared" si="4"/>
        <v>00</v>
      </c>
      <c r="F289" s="21">
        <v>0.648755885246315</v>
      </c>
      <c r="G289" s="4">
        <v>0.60899999999999999</v>
      </c>
      <c r="H289" s="4">
        <v>0.44225352112676097</v>
      </c>
      <c r="I289" s="4">
        <v>8.8999999999999996E-2</v>
      </c>
      <c r="J289" s="4">
        <v>9.9000000000000005E-2</v>
      </c>
      <c r="K289" s="5">
        <v>0</v>
      </c>
      <c r="L289" s="5">
        <v>100</v>
      </c>
      <c r="M289" s="5">
        <v>100</v>
      </c>
      <c r="N289" s="5">
        <v>100</v>
      </c>
      <c r="O289" s="2">
        <v>0.9390477189967712</v>
      </c>
      <c r="P289" s="2">
        <v>0.58385075878088133</v>
      </c>
      <c r="Q289" s="2">
        <v>9.3212381722178703E-2</v>
      </c>
      <c r="R289" s="2">
        <v>0.10425002137379911</v>
      </c>
    </row>
    <row r="290" spans="1:18" x14ac:dyDescent="0.3">
      <c r="A290" s="7">
        <v>386</v>
      </c>
      <c r="B290" s="7">
        <v>175</v>
      </c>
      <c r="C290" s="7">
        <v>0</v>
      </c>
      <c r="D290" s="7">
        <v>0</v>
      </c>
      <c r="E290" s="20" t="str">
        <f t="shared" si="4"/>
        <v>00</v>
      </c>
      <c r="F290" s="21">
        <v>0.64880655267543197</v>
      </c>
      <c r="G290" s="4">
        <v>0.56200000000000006</v>
      </c>
      <c r="H290" s="4">
        <v>0.45038167938931301</v>
      </c>
      <c r="I290" s="4">
        <v>0.58099999999999996</v>
      </c>
      <c r="J290" s="4">
        <v>0.60099999999999998</v>
      </c>
      <c r="K290" s="5">
        <v>0</v>
      </c>
      <c r="L290" s="5">
        <v>100</v>
      </c>
      <c r="M290" s="5">
        <v>0</v>
      </c>
      <c r="N290" s="5">
        <v>0</v>
      </c>
      <c r="O290" s="2">
        <v>0.82553636860569102</v>
      </c>
      <c r="P290" s="2">
        <v>0.5985312041850962</v>
      </c>
      <c r="Q290" s="2">
        <v>0.86988435905999928</v>
      </c>
      <c r="R290" s="2">
        <v>0.91879386209227354</v>
      </c>
    </row>
    <row r="291" spans="1:18" x14ac:dyDescent="0.3">
      <c r="A291" s="7">
        <v>895</v>
      </c>
      <c r="B291" s="7">
        <v>143</v>
      </c>
      <c r="C291" s="7">
        <v>0</v>
      </c>
      <c r="D291" s="7">
        <v>0</v>
      </c>
      <c r="E291" s="20" t="str">
        <f t="shared" si="4"/>
        <v>00</v>
      </c>
      <c r="F291" s="21">
        <v>0.64971135560038495</v>
      </c>
      <c r="G291" s="4">
        <v>0.48399999999999999</v>
      </c>
      <c r="H291" s="4">
        <v>0.399521531100478</v>
      </c>
      <c r="I291" s="4">
        <v>0.16200000000000001</v>
      </c>
      <c r="J291" s="4">
        <v>0.13500000000000001</v>
      </c>
      <c r="K291" s="5">
        <v>100</v>
      </c>
      <c r="L291" s="5">
        <v>100</v>
      </c>
      <c r="M291" s="5">
        <v>100</v>
      </c>
      <c r="N291" s="5">
        <v>100</v>
      </c>
      <c r="O291" s="2">
        <v>0.6616485135005743</v>
      </c>
      <c r="P291" s="2">
        <v>0.51002849339297174</v>
      </c>
      <c r="Q291" s="2">
        <v>0.17673717850005405</v>
      </c>
      <c r="R291" s="2">
        <v>0.14502577205025774</v>
      </c>
    </row>
    <row r="292" spans="1:18" x14ac:dyDescent="0.3">
      <c r="A292" s="7">
        <v>322</v>
      </c>
      <c r="B292" s="7">
        <v>148</v>
      </c>
      <c r="C292" s="7">
        <v>0</v>
      </c>
      <c r="D292" s="7">
        <v>0</v>
      </c>
      <c r="E292" s="20" t="str">
        <f t="shared" si="4"/>
        <v>00</v>
      </c>
      <c r="F292" s="21">
        <v>0.65659864134259804</v>
      </c>
      <c r="G292" s="4">
        <v>0.42699999999999999</v>
      </c>
      <c r="H292" s="4">
        <v>0.36124401913875598</v>
      </c>
      <c r="I292" s="4">
        <v>0.114</v>
      </c>
      <c r="J292" s="4">
        <v>9.6000000000000002E-2</v>
      </c>
      <c r="K292" s="5">
        <v>100</v>
      </c>
      <c r="L292" s="5">
        <v>100</v>
      </c>
      <c r="M292" s="5">
        <v>100</v>
      </c>
      <c r="N292" s="5">
        <v>100</v>
      </c>
      <c r="O292" s="2">
        <v>0.55686956226739759</v>
      </c>
      <c r="P292" s="2">
        <v>0.44823277412450685</v>
      </c>
      <c r="Q292" s="2">
        <v>0.1210383283770561</v>
      </c>
      <c r="R292" s="2">
        <v>0.10092591858996053</v>
      </c>
    </row>
    <row r="293" spans="1:18" x14ac:dyDescent="0.3">
      <c r="A293" s="7">
        <v>284</v>
      </c>
      <c r="B293" s="7">
        <v>179</v>
      </c>
      <c r="C293" s="7">
        <v>0</v>
      </c>
      <c r="D293" s="7">
        <v>0</v>
      </c>
      <c r="E293" s="20" t="str">
        <f t="shared" si="4"/>
        <v>00</v>
      </c>
      <c r="F293" s="21">
        <v>0.65955181540104701</v>
      </c>
      <c r="G293" s="4">
        <v>0.59499999999999997</v>
      </c>
      <c r="H293" s="4">
        <v>0.390532544378698</v>
      </c>
      <c r="I293" s="4">
        <v>9.2999999999999999E-2</v>
      </c>
      <c r="J293" s="4">
        <v>8.4000000000000005E-2</v>
      </c>
      <c r="K293" s="5">
        <v>0</v>
      </c>
      <c r="L293" s="5">
        <v>100</v>
      </c>
      <c r="M293" s="5">
        <v>100</v>
      </c>
      <c r="N293" s="5">
        <v>100</v>
      </c>
      <c r="O293" s="2">
        <v>0.90386821187559785</v>
      </c>
      <c r="P293" s="2">
        <v>0.49516972669343734</v>
      </c>
      <c r="Q293" s="2">
        <v>9.7612828867000415E-2</v>
      </c>
      <c r="R293" s="2">
        <v>8.7738914308006746E-2</v>
      </c>
    </row>
    <row r="294" spans="1:18" x14ac:dyDescent="0.3">
      <c r="A294" s="7">
        <v>84</v>
      </c>
      <c r="B294" s="7">
        <v>159</v>
      </c>
      <c r="C294" s="7">
        <v>0</v>
      </c>
      <c r="D294" s="7">
        <v>0</v>
      </c>
      <c r="E294" s="20" t="str">
        <f t="shared" si="4"/>
        <v>00</v>
      </c>
      <c r="F294" s="21">
        <v>0.66036831043979705</v>
      </c>
      <c r="G294" s="4">
        <v>0.56699999999999995</v>
      </c>
      <c r="H294" s="4">
        <v>0.47342995169082103</v>
      </c>
      <c r="I294" s="4">
        <v>0.1</v>
      </c>
      <c r="J294" s="4">
        <v>9.2999999999999999E-2</v>
      </c>
      <c r="K294" s="5">
        <v>0</v>
      </c>
      <c r="L294" s="5">
        <v>100</v>
      </c>
      <c r="M294" s="5">
        <v>100</v>
      </c>
      <c r="N294" s="5">
        <v>100</v>
      </c>
      <c r="O294" s="2">
        <v>0.83701755097964714</v>
      </c>
      <c r="P294" s="2">
        <v>0.6413709110362249</v>
      </c>
      <c r="Q294" s="2">
        <v>0.10536051565782628</v>
      </c>
      <c r="R294" s="2">
        <v>9.7612828867000415E-2</v>
      </c>
    </row>
    <row r="295" spans="1:18" x14ac:dyDescent="0.3">
      <c r="A295" s="7">
        <v>435</v>
      </c>
      <c r="B295" s="7">
        <v>182</v>
      </c>
      <c r="C295" s="7">
        <v>0</v>
      </c>
      <c r="D295" s="7">
        <v>0</v>
      </c>
      <c r="E295" s="20" t="str">
        <f t="shared" si="4"/>
        <v>00</v>
      </c>
      <c r="F295" s="21">
        <v>0.66116818771458397</v>
      </c>
      <c r="G295" s="4">
        <v>0.42199999999999999</v>
      </c>
      <c r="H295" s="4">
        <v>0.33957845433255301</v>
      </c>
      <c r="I295" s="4">
        <v>8.7999999999999995E-2</v>
      </c>
      <c r="J295" s="4">
        <v>0.12</v>
      </c>
      <c r="K295" s="5">
        <v>100</v>
      </c>
      <c r="L295" s="5">
        <v>100</v>
      </c>
      <c r="M295" s="5">
        <v>100</v>
      </c>
      <c r="N295" s="5">
        <v>100</v>
      </c>
      <c r="O295" s="2">
        <v>0.54818141030975942</v>
      </c>
      <c r="P295" s="2">
        <v>0.41487694229051153</v>
      </c>
      <c r="Q295" s="2">
        <v>9.2115288907805626E-2</v>
      </c>
      <c r="R295" s="2">
        <v>0.12783337150988489</v>
      </c>
    </row>
    <row r="296" spans="1:18" x14ac:dyDescent="0.3">
      <c r="A296" s="7">
        <v>692</v>
      </c>
      <c r="B296" s="7">
        <v>152</v>
      </c>
      <c r="C296" s="7">
        <v>0</v>
      </c>
      <c r="D296" s="7">
        <v>0</v>
      </c>
      <c r="E296" s="20" t="str">
        <f t="shared" si="4"/>
        <v>00</v>
      </c>
      <c r="F296" s="21">
        <v>0.66344627661494304</v>
      </c>
      <c r="G296" s="4">
        <v>0.51200000000000001</v>
      </c>
      <c r="H296" s="4">
        <v>0.40105540897097602</v>
      </c>
      <c r="I296" s="4">
        <v>9.1999999999999998E-2</v>
      </c>
      <c r="J296" s="4">
        <v>0.1</v>
      </c>
      <c r="K296" s="5">
        <v>0</v>
      </c>
      <c r="L296" s="5">
        <v>100</v>
      </c>
      <c r="M296" s="5">
        <v>100</v>
      </c>
      <c r="N296" s="5">
        <v>100</v>
      </c>
      <c r="O296" s="2">
        <v>0.71743987312898994</v>
      </c>
      <c r="P296" s="2">
        <v>0.51258618760102326</v>
      </c>
      <c r="Q296" s="2">
        <v>9.6510900380843728E-2</v>
      </c>
      <c r="R296" s="2">
        <v>0.10536051565782628</v>
      </c>
    </row>
    <row r="297" spans="1:18" x14ac:dyDescent="0.3">
      <c r="A297" s="7">
        <v>28</v>
      </c>
      <c r="B297" s="7">
        <v>145</v>
      </c>
      <c r="C297" s="7">
        <v>0</v>
      </c>
      <c r="D297" s="7">
        <v>0</v>
      </c>
      <c r="E297" s="20" t="str">
        <f t="shared" si="4"/>
        <v>00</v>
      </c>
      <c r="F297" s="21">
        <v>0.668101467020769</v>
      </c>
      <c r="G297" s="4">
        <v>0.41399999999999998</v>
      </c>
      <c r="H297" s="4">
        <v>0.34966592427616899</v>
      </c>
      <c r="I297" s="4">
        <v>0.106</v>
      </c>
      <c r="J297" s="4">
        <v>8.3000000000000004E-2</v>
      </c>
      <c r="K297" s="5">
        <v>100</v>
      </c>
      <c r="L297" s="5">
        <v>100</v>
      </c>
      <c r="M297" s="5">
        <v>100</v>
      </c>
      <c r="N297" s="5">
        <v>100</v>
      </c>
      <c r="O297" s="2">
        <v>0.53443548940512431</v>
      </c>
      <c r="P297" s="2">
        <v>0.43026908547397219</v>
      </c>
      <c r="Q297" s="2">
        <v>0.11204950380862289</v>
      </c>
      <c r="R297" s="2">
        <v>8.6647806725672169E-2</v>
      </c>
    </row>
    <row r="298" spans="1:18" x14ac:dyDescent="0.3">
      <c r="A298" s="7">
        <v>742</v>
      </c>
      <c r="B298" s="7">
        <v>127</v>
      </c>
      <c r="C298" s="7">
        <v>0</v>
      </c>
      <c r="D298" s="7">
        <v>0</v>
      </c>
      <c r="E298" s="20" t="str">
        <f t="shared" si="4"/>
        <v>00</v>
      </c>
      <c r="F298" s="21">
        <v>0.67257879562511902</v>
      </c>
      <c r="G298" s="4">
        <v>0.54600000000000004</v>
      </c>
      <c r="H298" s="4">
        <v>0.43932038834951498</v>
      </c>
      <c r="I298" s="4">
        <v>0.27200000000000002</v>
      </c>
      <c r="J298" s="4">
        <v>0.17299999999999999</v>
      </c>
      <c r="K298" s="5">
        <v>0</v>
      </c>
      <c r="L298" s="5">
        <v>100</v>
      </c>
      <c r="M298" s="5">
        <v>100</v>
      </c>
      <c r="N298" s="5">
        <v>100</v>
      </c>
      <c r="O298" s="2">
        <v>0.78965808094078915</v>
      </c>
      <c r="P298" s="2">
        <v>0.57860563882773353</v>
      </c>
      <c r="Q298" s="2">
        <v>0.3174542307854511</v>
      </c>
      <c r="R298" s="2">
        <v>0.1899505839584458</v>
      </c>
    </row>
    <row r="299" spans="1:18" x14ac:dyDescent="0.3">
      <c r="A299" s="7">
        <v>782</v>
      </c>
      <c r="B299" s="7">
        <v>151</v>
      </c>
      <c r="C299" s="7">
        <v>0</v>
      </c>
      <c r="D299" s="7">
        <v>0</v>
      </c>
      <c r="E299" s="20" t="str">
        <f t="shared" si="4"/>
        <v>00</v>
      </c>
      <c r="F299" s="21">
        <v>0.67725831256663205</v>
      </c>
      <c r="G299" s="4">
        <v>0.68</v>
      </c>
      <c r="H299" s="4">
        <v>0.54458598726114604</v>
      </c>
      <c r="I299" s="4">
        <v>8.5000000000000006E-2</v>
      </c>
      <c r="J299" s="4">
        <v>0.11799999999999999</v>
      </c>
      <c r="K299" s="5">
        <v>0</v>
      </c>
      <c r="L299" s="5">
        <v>0</v>
      </c>
      <c r="M299" s="5">
        <v>100</v>
      </c>
      <c r="N299" s="5">
        <v>100</v>
      </c>
      <c r="O299" s="2">
        <v>1.139434283188365</v>
      </c>
      <c r="P299" s="2">
        <v>0.78654835564834513</v>
      </c>
      <c r="Q299" s="2">
        <v>8.8831213706615703E-2</v>
      </c>
      <c r="R299" s="2">
        <v>0.12556322297534575</v>
      </c>
    </row>
    <row r="300" spans="1:18" x14ac:dyDescent="0.3">
      <c r="A300" s="7">
        <v>708</v>
      </c>
      <c r="B300" s="7">
        <v>215</v>
      </c>
      <c r="C300" s="7">
        <v>0</v>
      </c>
      <c r="D300" s="7">
        <v>0</v>
      </c>
      <c r="E300" s="20" t="str">
        <f t="shared" si="4"/>
        <v>00</v>
      </c>
      <c r="F300" s="21">
        <v>0.68267976250281204</v>
      </c>
      <c r="G300" s="4">
        <v>0.71</v>
      </c>
      <c r="H300" s="4">
        <v>0.53741496598639504</v>
      </c>
      <c r="I300" s="4">
        <v>0.3</v>
      </c>
      <c r="J300" s="4">
        <v>0.23799999999999999</v>
      </c>
      <c r="K300" s="5">
        <v>0</v>
      </c>
      <c r="L300" s="5">
        <v>0</v>
      </c>
      <c r="M300" s="5">
        <v>100</v>
      </c>
      <c r="N300" s="5">
        <v>100</v>
      </c>
      <c r="O300" s="2">
        <v>1.2378743560016172</v>
      </c>
      <c r="P300" s="2">
        <v>0.77092488160263062</v>
      </c>
      <c r="Q300" s="2">
        <v>0.35667494393873245</v>
      </c>
      <c r="R300" s="2">
        <v>0.27180872329549077</v>
      </c>
    </row>
    <row r="301" spans="1:18" x14ac:dyDescent="0.3">
      <c r="A301" s="7">
        <v>563</v>
      </c>
      <c r="B301" s="7">
        <v>148</v>
      </c>
      <c r="C301" s="7">
        <v>0</v>
      </c>
      <c r="D301" s="7">
        <v>0</v>
      </c>
      <c r="E301" s="20" t="str">
        <f t="shared" si="4"/>
        <v>00</v>
      </c>
      <c r="F301" s="21">
        <v>0.68696875153665005</v>
      </c>
      <c r="G301" s="4">
        <v>0.55600000000000005</v>
      </c>
      <c r="H301" s="4">
        <v>0.42602040816326497</v>
      </c>
      <c r="I301" s="4">
        <v>7.8E-2</v>
      </c>
      <c r="J301" s="4">
        <v>8.5999999999999993E-2</v>
      </c>
      <c r="K301" s="5">
        <v>0</v>
      </c>
      <c r="L301" s="5">
        <v>100</v>
      </c>
      <c r="M301" s="5">
        <v>100</v>
      </c>
      <c r="N301" s="5">
        <v>100</v>
      </c>
      <c r="O301" s="2">
        <v>0.81193071654991245</v>
      </c>
      <c r="P301" s="2">
        <v>0.55516143758604197</v>
      </c>
      <c r="Q301" s="2">
        <v>8.1210055425543173E-2</v>
      </c>
      <c r="R301" s="2">
        <v>8.9924707527987008E-2</v>
      </c>
    </row>
    <row r="302" spans="1:18" x14ac:dyDescent="0.3">
      <c r="A302" s="7">
        <v>959</v>
      </c>
      <c r="B302" s="7">
        <v>138</v>
      </c>
      <c r="C302" s="7">
        <v>0</v>
      </c>
      <c r="D302" s="7">
        <v>0</v>
      </c>
      <c r="E302" s="20" t="str">
        <f t="shared" si="4"/>
        <v>00</v>
      </c>
      <c r="F302" s="21">
        <v>0.700912346970338</v>
      </c>
      <c r="G302" s="4">
        <v>0.41199999999999998</v>
      </c>
      <c r="H302" s="4">
        <v>0.30750605326876501</v>
      </c>
      <c r="I302" s="4">
        <v>0.127</v>
      </c>
      <c r="J302" s="4">
        <v>0.111</v>
      </c>
      <c r="K302" s="5">
        <v>100</v>
      </c>
      <c r="L302" s="5">
        <v>100</v>
      </c>
      <c r="M302" s="5">
        <v>100</v>
      </c>
      <c r="N302" s="5">
        <v>100</v>
      </c>
      <c r="O302" s="2">
        <v>0.53102833108351</v>
      </c>
      <c r="P302" s="2">
        <v>0.36745578214117997</v>
      </c>
      <c r="Q302" s="2">
        <v>0.13581972314253485</v>
      </c>
      <c r="R302" s="2">
        <v>0.11765804346823246</v>
      </c>
    </row>
    <row r="303" spans="1:18" x14ac:dyDescent="0.3">
      <c r="A303" s="7">
        <v>358</v>
      </c>
      <c r="B303" s="7">
        <v>152</v>
      </c>
      <c r="C303" s="7">
        <v>0</v>
      </c>
      <c r="D303" s="7">
        <v>0</v>
      </c>
      <c r="E303" s="20" t="str">
        <f t="shared" si="4"/>
        <v>00</v>
      </c>
      <c r="F303" s="21">
        <v>0.70208610349682699</v>
      </c>
      <c r="G303" s="4">
        <v>0.6</v>
      </c>
      <c r="H303" s="4">
        <v>0.450928381962865</v>
      </c>
      <c r="I303" s="4">
        <v>0.123</v>
      </c>
      <c r="J303" s="4">
        <v>0.13200000000000001</v>
      </c>
      <c r="K303" s="5">
        <v>0</v>
      </c>
      <c r="L303" s="5">
        <v>100</v>
      </c>
      <c r="M303" s="5">
        <v>100</v>
      </c>
      <c r="N303" s="5">
        <v>100</v>
      </c>
      <c r="O303" s="2">
        <v>0.916290731874155</v>
      </c>
      <c r="P303" s="2">
        <v>0.5995263941826422</v>
      </c>
      <c r="Q303" s="2">
        <v>0.13124828660995402</v>
      </c>
      <c r="R303" s="2">
        <v>0.14156356432178688</v>
      </c>
    </row>
    <row r="304" spans="1:18" x14ac:dyDescent="0.3">
      <c r="A304" s="7">
        <v>543</v>
      </c>
      <c r="B304" s="7">
        <v>147</v>
      </c>
      <c r="C304" s="7">
        <v>0</v>
      </c>
      <c r="D304" s="7">
        <v>0</v>
      </c>
      <c r="E304" s="20" t="str">
        <f t="shared" si="4"/>
        <v>00</v>
      </c>
      <c r="F304" s="21">
        <v>0.70452383032522303</v>
      </c>
      <c r="G304" s="4">
        <v>0.52500000000000002</v>
      </c>
      <c r="H304" s="4">
        <v>0.41388174807197903</v>
      </c>
      <c r="I304" s="4">
        <v>0.106</v>
      </c>
      <c r="J304" s="4">
        <v>0.108</v>
      </c>
      <c r="K304" s="5">
        <v>0</v>
      </c>
      <c r="L304" s="5">
        <v>100</v>
      </c>
      <c r="M304" s="5">
        <v>100</v>
      </c>
      <c r="N304" s="5">
        <v>100</v>
      </c>
      <c r="O304" s="2">
        <v>0.74444047494749588</v>
      </c>
      <c r="P304" s="2">
        <v>0.53423371466400471</v>
      </c>
      <c r="Q304" s="2">
        <v>0.11204950380862289</v>
      </c>
      <c r="R304" s="2">
        <v>0.11428914640212766</v>
      </c>
    </row>
    <row r="305" spans="1:18" x14ac:dyDescent="0.3">
      <c r="A305" s="7">
        <v>693</v>
      </c>
      <c r="B305" s="7">
        <v>156</v>
      </c>
      <c r="C305" s="7">
        <v>0</v>
      </c>
      <c r="D305" s="7">
        <v>0</v>
      </c>
      <c r="E305" s="20" t="str">
        <f t="shared" si="4"/>
        <v>00</v>
      </c>
      <c r="F305" s="21">
        <v>0.70912594220495195</v>
      </c>
      <c r="G305" s="4">
        <v>0.44</v>
      </c>
      <c r="H305" s="4">
        <v>0.39140271493212703</v>
      </c>
      <c r="I305" s="4">
        <v>0.157</v>
      </c>
      <c r="J305" s="4">
        <v>0.115</v>
      </c>
      <c r="K305" s="5">
        <v>100</v>
      </c>
      <c r="L305" s="5">
        <v>100</v>
      </c>
      <c r="M305" s="5">
        <v>100</v>
      </c>
      <c r="N305" s="5">
        <v>100</v>
      </c>
      <c r="O305" s="2">
        <v>0.57981849525294205</v>
      </c>
      <c r="P305" s="2">
        <v>0.49659850247585963</v>
      </c>
      <c r="Q305" s="2">
        <v>0.17078832098028163</v>
      </c>
      <c r="R305" s="2">
        <v>0.12216763397420753</v>
      </c>
    </row>
    <row r="306" spans="1:18" x14ac:dyDescent="0.3">
      <c r="A306" s="7">
        <v>496</v>
      </c>
      <c r="B306" s="7">
        <v>149</v>
      </c>
      <c r="C306" s="7">
        <v>0</v>
      </c>
      <c r="D306" s="7">
        <v>0</v>
      </c>
      <c r="E306" s="20" t="str">
        <f t="shared" si="4"/>
        <v>00</v>
      </c>
      <c r="F306" s="21">
        <v>0.70918101338494</v>
      </c>
      <c r="G306" s="4">
        <v>0.51600000000000001</v>
      </c>
      <c r="H306" s="4">
        <v>0.39268292682926798</v>
      </c>
      <c r="I306" s="4">
        <v>0.123</v>
      </c>
      <c r="J306" s="4">
        <v>0.14299999999999999</v>
      </c>
      <c r="K306" s="5">
        <v>0</v>
      </c>
      <c r="L306" s="5">
        <v>100</v>
      </c>
      <c r="M306" s="5">
        <v>100</v>
      </c>
      <c r="N306" s="5">
        <v>100</v>
      </c>
      <c r="O306" s="2">
        <v>0.72567037226550535</v>
      </c>
      <c r="P306" s="2">
        <v>0.49870426323364536</v>
      </c>
      <c r="Q306" s="2">
        <v>0.13124828660995402</v>
      </c>
      <c r="R306" s="2">
        <v>0.15431736038435728</v>
      </c>
    </row>
    <row r="307" spans="1:18" x14ac:dyDescent="0.3">
      <c r="A307" s="7">
        <v>756</v>
      </c>
      <c r="B307" s="7">
        <v>215</v>
      </c>
      <c r="C307" s="7">
        <v>0</v>
      </c>
      <c r="D307" s="7">
        <v>0</v>
      </c>
      <c r="E307" s="20" t="str">
        <f t="shared" si="4"/>
        <v>00</v>
      </c>
      <c r="F307" s="21">
        <v>0.71156042767850602</v>
      </c>
      <c r="G307" s="4">
        <v>0.59699999999999998</v>
      </c>
      <c r="H307" s="4">
        <v>0.49459459459459498</v>
      </c>
      <c r="I307" s="4">
        <v>0.107</v>
      </c>
      <c r="J307" s="4">
        <v>0.11799999999999999</v>
      </c>
      <c r="K307" s="5">
        <v>0</v>
      </c>
      <c r="L307" s="5">
        <v>100</v>
      </c>
      <c r="M307" s="5">
        <v>100</v>
      </c>
      <c r="N307" s="5">
        <v>100</v>
      </c>
      <c r="O307" s="2">
        <v>0.90881871703545403</v>
      </c>
      <c r="P307" s="2">
        <v>0.6823943887836843</v>
      </c>
      <c r="Q307" s="2">
        <v>0.11316869810563798</v>
      </c>
      <c r="R307" s="2">
        <v>0.12556322297534575</v>
      </c>
    </row>
    <row r="308" spans="1:18" x14ac:dyDescent="0.3">
      <c r="A308" s="7">
        <v>258</v>
      </c>
      <c r="B308" s="7">
        <v>152</v>
      </c>
      <c r="C308" s="7">
        <v>0</v>
      </c>
      <c r="D308" s="7">
        <v>0</v>
      </c>
      <c r="E308" s="20" t="str">
        <f t="shared" si="4"/>
        <v>00</v>
      </c>
      <c r="F308" s="21">
        <v>0.71545078576489995</v>
      </c>
      <c r="G308" s="4">
        <v>0.29499999999999998</v>
      </c>
      <c r="H308" s="4">
        <v>0.25427350427350398</v>
      </c>
      <c r="I308" s="4">
        <v>0.12</v>
      </c>
      <c r="J308" s="4">
        <v>9.6000000000000002E-2</v>
      </c>
      <c r="K308" s="5">
        <v>100</v>
      </c>
      <c r="L308" s="5">
        <v>100</v>
      </c>
      <c r="M308" s="5">
        <v>100</v>
      </c>
      <c r="N308" s="5">
        <v>100</v>
      </c>
      <c r="O308" s="2">
        <v>0.34955747616986832</v>
      </c>
      <c r="P308" s="2">
        <v>0.29339637371521926</v>
      </c>
      <c r="Q308" s="2">
        <v>0.12783337150988489</v>
      </c>
      <c r="R308" s="2">
        <v>0.10092591858996053</v>
      </c>
    </row>
    <row r="309" spans="1:18" x14ac:dyDescent="0.3">
      <c r="A309" s="7">
        <v>655</v>
      </c>
      <c r="B309" s="7">
        <v>150</v>
      </c>
      <c r="C309" s="7">
        <v>0</v>
      </c>
      <c r="D309" s="7">
        <v>0</v>
      </c>
      <c r="E309" s="20" t="str">
        <f t="shared" si="4"/>
        <v>00</v>
      </c>
      <c r="F309" s="21">
        <v>0.71732685080769898</v>
      </c>
      <c r="G309" s="4">
        <v>0.55800000000000005</v>
      </c>
      <c r="H309" s="4">
        <v>0.346049046321526</v>
      </c>
      <c r="I309" s="4">
        <v>8.8999999999999996E-2</v>
      </c>
      <c r="J309" s="4">
        <v>0.105</v>
      </c>
      <c r="K309" s="5">
        <v>0</v>
      </c>
      <c r="L309" s="5">
        <v>100</v>
      </c>
      <c r="M309" s="5">
        <v>100</v>
      </c>
      <c r="N309" s="5">
        <v>100</v>
      </c>
      <c r="O309" s="2">
        <v>0.81644539690443907</v>
      </c>
      <c r="P309" s="2">
        <v>0.42472292471257916</v>
      </c>
      <c r="Q309" s="2">
        <v>9.3212381722178703E-2</v>
      </c>
      <c r="R309" s="2">
        <v>0.11093156070728166</v>
      </c>
    </row>
    <row r="310" spans="1:18" x14ac:dyDescent="0.3">
      <c r="A310" s="7">
        <v>514</v>
      </c>
      <c r="B310" s="7">
        <v>148</v>
      </c>
      <c r="C310" s="7">
        <v>0</v>
      </c>
      <c r="D310" s="7">
        <v>0</v>
      </c>
      <c r="E310" s="20" t="str">
        <f t="shared" si="4"/>
        <v>00</v>
      </c>
      <c r="F310" s="21">
        <v>0.71800912588703703</v>
      </c>
      <c r="G310" s="4">
        <v>0.64500000000000002</v>
      </c>
      <c r="H310" s="4">
        <v>0.40264026402640302</v>
      </c>
      <c r="I310" s="4">
        <v>0.11799999999999999</v>
      </c>
      <c r="J310" s="4">
        <v>0.14599999999999999</v>
      </c>
      <c r="K310" s="5">
        <v>0</v>
      </c>
      <c r="L310" s="5">
        <v>100</v>
      </c>
      <c r="M310" s="5">
        <v>100</v>
      </c>
      <c r="N310" s="5">
        <v>100</v>
      </c>
      <c r="O310" s="2">
        <v>1.0356374895067213</v>
      </c>
      <c r="P310" s="2">
        <v>0.51523577424354416</v>
      </c>
      <c r="Q310" s="2">
        <v>0.12556322297534575</v>
      </c>
      <c r="R310" s="2">
        <v>0.15782408519356722</v>
      </c>
    </row>
    <row r="311" spans="1:18" x14ac:dyDescent="0.3">
      <c r="A311" s="7">
        <v>783</v>
      </c>
      <c r="B311" s="7">
        <v>150</v>
      </c>
      <c r="C311" s="7">
        <v>0</v>
      </c>
      <c r="D311" s="7">
        <v>0</v>
      </c>
      <c r="E311" s="20" t="str">
        <f t="shared" si="4"/>
        <v>00</v>
      </c>
      <c r="F311" s="21">
        <v>0.71889130401012202</v>
      </c>
      <c r="G311" s="4">
        <v>0.54500000000000004</v>
      </c>
      <c r="H311" s="4">
        <v>0.42643391521196999</v>
      </c>
      <c r="I311" s="4">
        <v>0.13300000000000001</v>
      </c>
      <c r="J311" s="4">
        <v>0.14000000000000001</v>
      </c>
      <c r="K311" s="5">
        <v>0</v>
      </c>
      <c r="L311" s="5">
        <v>100</v>
      </c>
      <c r="M311" s="5">
        <v>100</v>
      </c>
      <c r="N311" s="5">
        <v>100</v>
      </c>
      <c r="O311" s="2">
        <v>0.78745786003118667</v>
      </c>
      <c r="P311" s="2">
        <v>0.55588211838337376</v>
      </c>
      <c r="Q311" s="2">
        <v>0.1427163022015952</v>
      </c>
      <c r="R311" s="2">
        <v>0.15082288973458366</v>
      </c>
    </row>
    <row r="312" spans="1:18" x14ac:dyDescent="0.3">
      <c r="A312" s="7">
        <v>234</v>
      </c>
      <c r="B312" s="7">
        <v>144</v>
      </c>
      <c r="C312" s="7">
        <v>0</v>
      </c>
      <c r="D312" s="7">
        <v>0</v>
      </c>
      <c r="E312" s="20" t="str">
        <f t="shared" si="4"/>
        <v>00</v>
      </c>
      <c r="F312" s="21">
        <v>0.71972945208587003</v>
      </c>
      <c r="G312" s="4">
        <v>0.63100000000000001</v>
      </c>
      <c r="H312" s="4">
        <v>0.53670886075949398</v>
      </c>
      <c r="I312" s="4">
        <v>0.94</v>
      </c>
      <c r="J312" s="4">
        <v>0.91400000000000003</v>
      </c>
      <c r="K312" s="5">
        <v>0</v>
      </c>
      <c r="L312" s="5">
        <v>0</v>
      </c>
      <c r="M312" s="5">
        <v>0</v>
      </c>
      <c r="N312" s="5">
        <v>0</v>
      </c>
      <c r="O312" s="2">
        <v>0.99695863494160986</v>
      </c>
      <c r="P312" s="2">
        <v>0.76939961205970164</v>
      </c>
      <c r="Q312" s="2">
        <v>2.8134107167600355</v>
      </c>
      <c r="R312" s="2">
        <v>2.4534079827286299</v>
      </c>
    </row>
    <row r="313" spans="1:18" x14ac:dyDescent="0.3">
      <c r="A313" s="7">
        <v>183</v>
      </c>
      <c r="B313" s="7">
        <v>142</v>
      </c>
      <c r="C313" s="7">
        <v>0</v>
      </c>
      <c r="D313" s="7">
        <v>0</v>
      </c>
      <c r="E313" s="20" t="str">
        <f t="shared" si="4"/>
        <v>00</v>
      </c>
      <c r="F313" s="21">
        <v>0.72082487685104102</v>
      </c>
      <c r="G313" s="4">
        <v>0.45600000000000002</v>
      </c>
      <c r="H313" s="4">
        <v>0.33583959899749399</v>
      </c>
      <c r="I313" s="4">
        <v>0.104</v>
      </c>
      <c r="J313" s="4">
        <v>0.111</v>
      </c>
      <c r="K313" s="5">
        <v>100</v>
      </c>
      <c r="L313" s="5">
        <v>100</v>
      </c>
      <c r="M313" s="5">
        <v>100</v>
      </c>
      <c r="N313" s="5">
        <v>100</v>
      </c>
      <c r="O313" s="2">
        <v>0.60880603212619433</v>
      </c>
      <c r="P313" s="2">
        <v>0.4092315909036417</v>
      </c>
      <c r="Q313" s="2">
        <v>0.10981486600720657</v>
      </c>
      <c r="R313" s="2">
        <v>0.11765804346823246</v>
      </c>
    </row>
    <row r="314" spans="1:18" x14ac:dyDescent="0.3">
      <c r="A314" s="7">
        <v>32</v>
      </c>
      <c r="B314" s="7">
        <v>152</v>
      </c>
      <c r="C314" s="7">
        <v>0</v>
      </c>
      <c r="D314" s="7">
        <v>0</v>
      </c>
      <c r="E314" s="20" t="str">
        <f t="shared" si="4"/>
        <v>00</v>
      </c>
      <c r="F314" s="21">
        <v>0.72492950186615202</v>
      </c>
      <c r="G314" s="4">
        <v>0.30599999999999999</v>
      </c>
      <c r="H314" s="4">
        <v>0.25629290617848999</v>
      </c>
      <c r="I314" s="4">
        <v>9.2999999999999999E-2</v>
      </c>
      <c r="J314" s="4">
        <v>0.10100000000000001</v>
      </c>
      <c r="K314" s="5">
        <v>100</v>
      </c>
      <c r="L314" s="5">
        <v>100</v>
      </c>
      <c r="M314" s="5">
        <v>100</v>
      </c>
      <c r="N314" s="5">
        <v>100</v>
      </c>
      <c r="O314" s="2">
        <v>0.36528331847533263</v>
      </c>
      <c r="P314" s="2">
        <v>0.29610801276585302</v>
      </c>
      <c r="Q314" s="2">
        <v>9.7612828867000415E-2</v>
      </c>
      <c r="R314" s="2">
        <v>0.10647224451051676</v>
      </c>
    </row>
    <row r="315" spans="1:18" x14ac:dyDescent="0.3">
      <c r="A315" s="7">
        <v>344</v>
      </c>
      <c r="B315" s="7">
        <v>146</v>
      </c>
      <c r="C315" s="7">
        <v>0</v>
      </c>
      <c r="D315" s="7">
        <v>0</v>
      </c>
      <c r="E315" s="20" t="str">
        <f t="shared" si="4"/>
        <v>00</v>
      </c>
      <c r="F315" s="21">
        <v>0.72791120833058398</v>
      </c>
      <c r="G315" s="4">
        <v>0.40500000000000003</v>
      </c>
      <c r="H315" s="4">
        <v>0.35650224215246601</v>
      </c>
      <c r="I315" s="4">
        <v>0.14399999999999999</v>
      </c>
      <c r="J315" s="4">
        <v>0.13400000000000001</v>
      </c>
      <c r="K315" s="5">
        <v>100</v>
      </c>
      <c r="L315" s="5">
        <v>100</v>
      </c>
      <c r="M315" s="5">
        <v>100</v>
      </c>
      <c r="N315" s="5">
        <v>100</v>
      </c>
      <c r="O315" s="2">
        <v>0.51919387343650736</v>
      </c>
      <c r="P315" s="2">
        <v>0.44083673626044234</v>
      </c>
      <c r="Q315" s="2">
        <v>0.15548490284039498</v>
      </c>
      <c r="R315" s="2">
        <v>0.14387037041970191</v>
      </c>
    </row>
    <row r="316" spans="1:18" x14ac:dyDescent="0.3">
      <c r="A316" s="7">
        <v>763</v>
      </c>
      <c r="B316" s="7">
        <v>155</v>
      </c>
      <c r="C316" s="7">
        <v>0</v>
      </c>
      <c r="D316" s="7">
        <v>0</v>
      </c>
      <c r="E316" s="20" t="str">
        <f t="shared" si="4"/>
        <v>00</v>
      </c>
      <c r="F316" s="21">
        <v>0.72962823843324298</v>
      </c>
      <c r="G316" s="4">
        <v>0.54600000000000004</v>
      </c>
      <c r="H316" s="4">
        <v>0.43914081145584699</v>
      </c>
      <c r="I316" s="4">
        <v>0.111</v>
      </c>
      <c r="J316" s="4">
        <v>8.8999999999999996E-2</v>
      </c>
      <c r="K316" s="5">
        <v>0</v>
      </c>
      <c r="L316" s="5">
        <v>100</v>
      </c>
      <c r="M316" s="5">
        <v>100</v>
      </c>
      <c r="N316" s="5">
        <v>100</v>
      </c>
      <c r="O316" s="2">
        <v>0.78965808094078915</v>
      </c>
      <c r="P316" s="2">
        <v>0.57828540577797838</v>
      </c>
      <c r="Q316" s="2">
        <v>0.11765804346823246</v>
      </c>
      <c r="R316" s="2">
        <v>9.3212381722178703E-2</v>
      </c>
    </row>
    <row r="317" spans="1:18" x14ac:dyDescent="0.3">
      <c r="A317" s="7">
        <v>122</v>
      </c>
      <c r="B317" s="7">
        <v>137</v>
      </c>
      <c r="C317" s="7">
        <v>0</v>
      </c>
      <c r="D317" s="7">
        <v>0</v>
      </c>
      <c r="E317" s="20" t="str">
        <f t="shared" si="4"/>
        <v>00</v>
      </c>
      <c r="F317" s="21">
        <v>0.73441370194830502</v>
      </c>
      <c r="G317" s="4">
        <v>0.59199999999999997</v>
      </c>
      <c r="H317" s="4">
        <v>0.50246305418719195</v>
      </c>
      <c r="I317" s="4">
        <v>0.105</v>
      </c>
      <c r="J317" s="4">
        <v>0.128</v>
      </c>
      <c r="K317" s="5">
        <v>0</v>
      </c>
      <c r="L317" s="5">
        <v>0</v>
      </c>
      <c r="M317" s="5">
        <v>100</v>
      </c>
      <c r="N317" s="5">
        <v>100</v>
      </c>
      <c r="O317" s="2">
        <v>0.89648810457797523</v>
      </c>
      <c r="P317" s="2">
        <v>0.69808546220052758</v>
      </c>
      <c r="Q317" s="2">
        <v>0.11093156070728166</v>
      </c>
      <c r="R317" s="2">
        <v>0.13696585507315742</v>
      </c>
    </row>
    <row r="318" spans="1:18" x14ac:dyDescent="0.3">
      <c r="A318" s="7">
        <v>520</v>
      </c>
      <c r="B318" s="7">
        <v>136</v>
      </c>
      <c r="C318" s="7">
        <v>0</v>
      </c>
      <c r="D318" s="7">
        <v>0</v>
      </c>
      <c r="E318" s="20" t="str">
        <f t="shared" si="4"/>
        <v>00</v>
      </c>
      <c r="F318" s="21">
        <v>0.73968130146960298</v>
      </c>
      <c r="G318" s="4">
        <v>0.57899999999999996</v>
      </c>
      <c r="H318" s="4">
        <v>0.49403341288782798</v>
      </c>
      <c r="I318" s="4">
        <v>0.106</v>
      </c>
      <c r="J318" s="4">
        <v>0.104</v>
      </c>
      <c r="K318" s="5">
        <v>0</v>
      </c>
      <c r="L318" s="5">
        <v>100</v>
      </c>
      <c r="M318" s="5">
        <v>100</v>
      </c>
      <c r="N318" s="5">
        <v>100</v>
      </c>
      <c r="O318" s="2">
        <v>0.86512244529975557</v>
      </c>
      <c r="P318" s="2">
        <v>0.68128464525012489</v>
      </c>
      <c r="Q318" s="2">
        <v>0.11204950380862289</v>
      </c>
      <c r="R318" s="2">
        <v>0.10981486600720657</v>
      </c>
    </row>
    <row r="319" spans="1:18" x14ac:dyDescent="0.3">
      <c r="A319" s="7">
        <v>573</v>
      </c>
      <c r="B319" s="7">
        <v>154</v>
      </c>
      <c r="C319" s="7">
        <v>0</v>
      </c>
      <c r="D319" s="7">
        <v>0</v>
      </c>
      <c r="E319" s="20" t="str">
        <f t="shared" si="4"/>
        <v>00</v>
      </c>
      <c r="F319" s="21">
        <v>0.74935482471072601</v>
      </c>
      <c r="G319" s="4">
        <v>0.4</v>
      </c>
      <c r="H319" s="4">
        <v>0.298165137614679</v>
      </c>
      <c r="I319" s="4">
        <v>0.13</v>
      </c>
      <c r="J319" s="4">
        <v>0.12</v>
      </c>
      <c r="K319" s="5">
        <v>100</v>
      </c>
      <c r="L319" s="5">
        <v>100</v>
      </c>
      <c r="M319" s="5">
        <v>100</v>
      </c>
      <c r="N319" s="5">
        <v>100</v>
      </c>
      <c r="O319" s="2">
        <v>0.51082562376599072</v>
      </c>
      <c r="P319" s="2">
        <v>0.35405714139665367</v>
      </c>
      <c r="Q319" s="2">
        <v>0.13926206733350766</v>
      </c>
      <c r="R319" s="2">
        <v>0.12783337150988489</v>
      </c>
    </row>
    <row r="320" spans="1:18" x14ac:dyDescent="0.3">
      <c r="A320" s="7">
        <v>94</v>
      </c>
      <c r="B320" s="7">
        <v>123</v>
      </c>
      <c r="C320" s="7">
        <v>0</v>
      </c>
      <c r="D320" s="7">
        <v>0</v>
      </c>
      <c r="E320" s="20" t="str">
        <f t="shared" si="4"/>
        <v>00</v>
      </c>
      <c r="F320" s="21">
        <v>0.75113534361888201</v>
      </c>
      <c r="G320" s="4">
        <v>0.48499999999999999</v>
      </c>
      <c r="H320" s="4">
        <v>0.35221674876847298</v>
      </c>
      <c r="I320" s="4">
        <v>9.2999999999999999E-2</v>
      </c>
      <c r="J320" s="4">
        <v>9.1999999999999998E-2</v>
      </c>
      <c r="K320" s="5">
        <v>100</v>
      </c>
      <c r="L320" s="5">
        <v>100</v>
      </c>
      <c r="M320" s="5">
        <v>100</v>
      </c>
      <c r="N320" s="5">
        <v>100</v>
      </c>
      <c r="O320" s="2">
        <v>0.6635883783184009</v>
      </c>
      <c r="P320" s="2">
        <v>0.43419912742396821</v>
      </c>
      <c r="Q320" s="2">
        <v>9.7612828867000415E-2</v>
      </c>
      <c r="R320" s="2">
        <v>9.6510900380843728E-2</v>
      </c>
    </row>
    <row r="321" spans="1:18" x14ac:dyDescent="0.3">
      <c r="A321" s="7">
        <v>898</v>
      </c>
      <c r="B321" s="7">
        <v>135</v>
      </c>
      <c r="C321" s="7">
        <v>0</v>
      </c>
      <c r="D321" s="7">
        <v>0</v>
      </c>
      <c r="E321" s="20" t="str">
        <f t="shared" si="4"/>
        <v>00</v>
      </c>
      <c r="F321" s="21">
        <v>0.75217435907433305</v>
      </c>
      <c r="G321" s="4">
        <v>0.39300000000000002</v>
      </c>
      <c r="H321" s="4">
        <v>0.32461873638344202</v>
      </c>
      <c r="I321" s="4">
        <v>0.10299999999999999</v>
      </c>
      <c r="J321" s="4">
        <v>9.4E-2</v>
      </c>
      <c r="K321" s="5">
        <v>100</v>
      </c>
      <c r="L321" s="5">
        <v>100</v>
      </c>
      <c r="M321" s="5">
        <v>100</v>
      </c>
      <c r="N321" s="5">
        <v>100</v>
      </c>
      <c r="O321" s="2">
        <v>0.4992264879226388</v>
      </c>
      <c r="P321" s="2">
        <v>0.39247791258135295</v>
      </c>
      <c r="Q321" s="2">
        <v>0.10869941692334091</v>
      </c>
      <c r="R321" s="2">
        <v>9.8715972939157695E-2</v>
      </c>
    </row>
    <row r="322" spans="1:18" x14ac:dyDescent="0.3">
      <c r="A322" s="7">
        <v>819</v>
      </c>
      <c r="B322" s="7">
        <v>142</v>
      </c>
      <c r="C322" s="7">
        <v>0</v>
      </c>
      <c r="D322" s="7">
        <v>0</v>
      </c>
      <c r="E322" s="20" t="str">
        <f t="shared" ref="E322:E385" si="5">_xlfn.CONCAT(C322,D322)</f>
        <v>00</v>
      </c>
      <c r="F322" s="21">
        <v>0.758337596005071</v>
      </c>
      <c r="G322" s="4">
        <v>0.52800000000000002</v>
      </c>
      <c r="H322" s="4">
        <v>0.43391521197007499</v>
      </c>
      <c r="I322" s="4">
        <v>6.9000000000000006E-2</v>
      </c>
      <c r="J322" s="4">
        <v>9.2999999999999999E-2</v>
      </c>
      <c r="K322" s="5">
        <v>0</v>
      </c>
      <c r="L322" s="5">
        <v>100</v>
      </c>
      <c r="M322" s="5">
        <v>100</v>
      </c>
      <c r="N322" s="5">
        <v>100</v>
      </c>
      <c r="O322" s="2">
        <v>0.7507762933965817</v>
      </c>
      <c r="P322" s="2">
        <v>0.56901140982516685</v>
      </c>
      <c r="Q322" s="2">
        <v>7.1496001705069923E-2</v>
      </c>
      <c r="R322" s="2">
        <v>9.7612828867000415E-2</v>
      </c>
    </row>
    <row r="323" spans="1:18" x14ac:dyDescent="0.3">
      <c r="A323" s="7">
        <v>259</v>
      </c>
      <c r="B323" s="7">
        <v>120</v>
      </c>
      <c r="C323" s="7">
        <v>0</v>
      </c>
      <c r="D323" s="7">
        <v>0</v>
      </c>
      <c r="E323" s="20" t="str">
        <f t="shared" si="5"/>
        <v>00</v>
      </c>
      <c r="F323" s="21">
        <v>0.76530055001882602</v>
      </c>
      <c r="G323" s="4">
        <v>0.68700000000000006</v>
      </c>
      <c r="H323" s="4">
        <v>0.52187499999999998</v>
      </c>
      <c r="I323" s="4">
        <v>0.152</v>
      </c>
      <c r="J323" s="4">
        <v>0.153</v>
      </c>
      <c r="K323" s="5">
        <v>0</v>
      </c>
      <c r="L323" s="5">
        <v>0</v>
      </c>
      <c r="M323" s="5">
        <v>100</v>
      </c>
      <c r="N323" s="5">
        <v>100</v>
      </c>
      <c r="O323" s="2">
        <v>1.1615520884419841</v>
      </c>
      <c r="P323" s="2">
        <v>0.73788307440133671</v>
      </c>
      <c r="Q323" s="2">
        <v>0.16487464319023401</v>
      </c>
      <c r="R323" s="2">
        <v>0.16605458433008269</v>
      </c>
    </row>
    <row r="324" spans="1:18" x14ac:dyDescent="0.3">
      <c r="A324" s="7">
        <v>745</v>
      </c>
      <c r="B324" s="7">
        <v>138</v>
      </c>
      <c r="C324" s="7">
        <v>0</v>
      </c>
      <c r="D324" s="7">
        <v>0</v>
      </c>
      <c r="E324" s="20" t="str">
        <f t="shared" si="5"/>
        <v>00</v>
      </c>
      <c r="F324" s="21">
        <v>0.76709952825412397</v>
      </c>
      <c r="G324" s="4">
        <v>0.64900000000000002</v>
      </c>
      <c r="H324" s="4">
        <v>0.46107784431137699</v>
      </c>
      <c r="I324" s="4">
        <v>0.127</v>
      </c>
      <c r="J324" s="4">
        <v>0.11700000000000001</v>
      </c>
      <c r="K324" s="5">
        <v>0</v>
      </c>
      <c r="L324" s="5">
        <v>100</v>
      </c>
      <c r="M324" s="5">
        <v>100</v>
      </c>
      <c r="N324" s="5">
        <v>100</v>
      </c>
      <c r="O324" s="2">
        <v>1.0469690555162714</v>
      </c>
      <c r="P324" s="2">
        <v>0.61818414208648953</v>
      </c>
      <c r="Q324" s="2">
        <v>0.13581972314253485</v>
      </c>
      <c r="R324" s="2">
        <v>0.12443007837817703</v>
      </c>
    </row>
    <row r="325" spans="1:18" x14ac:dyDescent="0.3">
      <c r="A325" s="7">
        <v>853</v>
      </c>
      <c r="B325" s="7">
        <v>186</v>
      </c>
      <c r="C325" s="7">
        <v>0</v>
      </c>
      <c r="D325" s="7">
        <v>0</v>
      </c>
      <c r="E325" s="20" t="str">
        <f t="shared" si="5"/>
        <v>00</v>
      </c>
      <c r="F325" s="21">
        <v>0.76733632616956504</v>
      </c>
      <c r="G325" s="4">
        <v>0.45</v>
      </c>
      <c r="H325" s="4">
        <v>0.36602870813397098</v>
      </c>
      <c r="I325" s="4">
        <v>0.114</v>
      </c>
      <c r="J325" s="4">
        <v>0.109</v>
      </c>
      <c r="K325" s="5">
        <v>100</v>
      </c>
      <c r="L325" s="5">
        <v>100</v>
      </c>
      <c r="M325" s="5">
        <v>100</v>
      </c>
      <c r="N325" s="5">
        <v>100</v>
      </c>
      <c r="O325" s="2">
        <v>0.59783700075562041</v>
      </c>
      <c r="P325" s="2">
        <v>0.45575160653853369</v>
      </c>
      <c r="Q325" s="2">
        <v>0.1210383283770561</v>
      </c>
      <c r="R325" s="2">
        <v>0.11541085151132773</v>
      </c>
    </row>
    <row r="326" spans="1:18" x14ac:dyDescent="0.3">
      <c r="A326" s="7">
        <v>347</v>
      </c>
      <c r="B326" s="7">
        <v>129</v>
      </c>
      <c r="C326" s="7">
        <v>0</v>
      </c>
      <c r="D326" s="7">
        <v>0</v>
      </c>
      <c r="E326" s="20" t="str">
        <f t="shared" si="5"/>
        <v>00</v>
      </c>
      <c r="F326" s="21">
        <v>0.77007317227824801</v>
      </c>
      <c r="G326" s="4">
        <v>0.55100000000000005</v>
      </c>
      <c r="H326" s="4">
        <v>0.37430167597765401</v>
      </c>
      <c r="I326" s="4">
        <v>0.13300000000000001</v>
      </c>
      <c r="J326" s="4">
        <v>0.11600000000000001</v>
      </c>
      <c r="K326" s="5">
        <v>0</v>
      </c>
      <c r="L326" s="5">
        <v>100</v>
      </c>
      <c r="M326" s="5">
        <v>100</v>
      </c>
      <c r="N326" s="5">
        <v>100</v>
      </c>
      <c r="O326" s="2">
        <v>0.80073239123988282</v>
      </c>
      <c r="P326" s="2">
        <v>0.46888693454566116</v>
      </c>
      <c r="Q326" s="2">
        <v>0.1427163022015952</v>
      </c>
      <c r="R326" s="2">
        <v>0.1232982163444936</v>
      </c>
    </row>
    <row r="327" spans="1:18" x14ac:dyDescent="0.3">
      <c r="A327" s="7">
        <v>590</v>
      </c>
      <c r="B327" s="7">
        <v>125</v>
      </c>
      <c r="C327" s="7">
        <v>0</v>
      </c>
      <c r="D327" s="7">
        <v>0</v>
      </c>
      <c r="E327" s="20" t="str">
        <f t="shared" si="5"/>
        <v>00</v>
      </c>
      <c r="F327" s="21">
        <v>0.77078025236011605</v>
      </c>
      <c r="G327" s="4">
        <v>0.55600000000000005</v>
      </c>
      <c r="H327" s="4">
        <v>0.39782016348773802</v>
      </c>
      <c r="I327" s="4">
        <v>0.129</v>
      </c>
      <c r="J327" s="4">
        <v>0.125</v>
      </c>
      <c r="K327" s="5">
        <v>0</v>
      </c>
      <c r="L327" s="5">
        <v>100</v>
      </c>
      <c r="M327" s="5">
        <v>100</v>
      </c>
      <c r="N327" s="5">
        <v>100</v>
      </c>
      <c r="O327" s="2">
        <v>0.81193071654991245</v>
      </c>
      <c r="P327" s="2">
        <v>0.50719914653681686</v>
      </c>
      <c r="Q327" s="2">
        <v>0.13811330212963427</v>
      </c>
      <c r="R327" s="2">
        <v>0.13353139262452263</v>
      </c>
    </row>
    <row r="328" spans="1:18" x14ac:dyDescent="0.3">
      <c r="A328" s="7">
        <v>884</v>
      </c>
      <c r="B328" s="7">
        <v>140</v>
      </c>
      <c r="C328" s="7">
        <v>0</v>
      </c>
      <c r="D328" s="7">
        <v>0</v>
      </c>
      <c r="E328" s="20" t="str">
        <f t="shared" si="5"/>
        <v>00</v>
      </c>
      <c r="F328" s="21">
        <v>0.77079534227581703</v>
      </c>
      <c r="G328" s="4">
        <v>0.55600000000000005</v>
      </c>
      <c r="H328" s="4">
        <v>0.462311557788945</v>
      </c>
      <c r="I328" s="4">
        <v>0.20399999999999999</v>
      </c>
      <c r="J328" s="4">
        <v>0.17599999999999999</v>
      </c>
      <c r="K328" s="5">
        <v>0</v>
      </c>
      <c r="L328" s="5">
        <v>100</v>
      </c>
      <c r="M328" s="5">
        <v>100</v>
      </c>
      <c r="N328" s="5">
        <v>100</v>
      </c>
      <c r="O328" s="2">
        <v>0.81193071654991245</v>
      </c>
      <c r="P328" s="2">
        <v>0.6204759902625866</v>
      </c>
      <c r="Q328" s="2">
        <v>0.22815609313775398</v>
      </c>
      <c r="R328" s="2">
        <v>0.19358474907266526</v>
      </c>
    </row>
    <row r="329" spans="1:18" x14ac:dyDescent="0.3">
      <c r="A329" s="7">
        <v>929</v>
      </c>
      <c r="B329" s="7">
        <v>136</v>
      </c>
      <c r="C329" s="7">
        <v>0</v>
      </c>
      <c r="D329" s="7">
        <v>0</v>
      </c>
      <c r="E329" s="20" t="str">
        <f t="shared" si="5"/>
        <v>00</v>
      </c>
      <c r="F329" s="21">
        <v>0.77345871506467201</v>
      </c>
      <c r="G329" s="4">
        <v>0.53600000000000003</v>
      </c>
      <c r="H329" s="4">
        <v>0.40425531914893598</v>
      </c>
      <c r="I329" s="4">
        <v>5.7000000000000002E-2</v>
      </c>
      <c r="J329" s="4">
        <v>8.3000000000000004E-2</v>
      </c>
      <c r="K329" s="5">
        <v>0</v>
      </c>
      <c r="L329" s="5">
        <v>100</v>
      </c>
      <c r="M329" s="5">
        <v>100</v>
      </c>
      <c r="N329" s="5">
        <v>100</v>
      </c>
      <c r="O329" s="2">
        <v>0.76787072675588186</v>
      </c>
      <c r="P329" s="2">
        <v>0.51794309153485429</v>
      </c>
      <c r="Q329" s="2">
        <v>5.8688996348679613E-2</v>
      </c>
      <c r="R329" s="2">
        <v>8.6647806725672169E-2</v>
      </c>
    </row>
    <row r="330" spans="1:18" x14ac:dyDescent="0.3">
      <c r="A330" s="7">
        <v>779</v>
      </c>
      <c r="B330" s="7">
        <v>155</v>
      </c>
      <c r="C330" s="7">
        <v>0</v>
      </c>
      <c r="D330" s="7">
        <v>0</v>
      </c>
      <c r="E330" s="20" t="str">
        <f t="shared" si="5"/>
        <v>00</v>
      </c>
      <c r="F330" s="21">
        <v>0.77414338535688698</v>
      </c>
      <c r="G330" s="4">
        <v>0.74399999999999999</v>
      </c>
      <c r="H330" s="4">
        <v>0.56310679611650505</v>
      </c>
      <c r="I330" s="4">
        <v>0.56999999999999995</v>
      </c>
      <c r="J330" s="4">
        <v>0.438</v>
      </c>
      <c r="K330" s="5">
        <v>0</v>
      </c>
      <c r="L330" s="5">
        <v>0</v>
      </c>
      <c r="M330" s="5">
        <v>0</v>
      </c>
      <c r="N330" s="5">
        <v>100</v>
      </c>
      <c r="O330" s="2">
        <v>1.3625778345025745</v>
      </c>
      <c r="P330" s="2">
        <v>0.82806649845931646</v>
      </c>
      <c r="Q330" s="2">
        <v>0.84397007029452886</v>
      </c>
      <c r="R330" s="2">
        <v>0.5762534290884459</v>
      </c>
    </row>
    <row r="331" spans="1:18" x14ac:dyDescent="0.3">
      <c r="A331" s="7">
        <v>461</v>
      </c>
      <c r="B331" s="7">
        <v>139</v>
      </c>
      <c r="C331" s="7">
        <v>0</v>
      </c>
      <c r="D331" s="7">
        <v>0</v>
      </c>
      <c r="E331" s="20" t="str">
        <f t="shared" si="5"/>
        <v>00</v>
      </c>
      <c r="F331" s="21">
        <v>0.78101756170931302</v>
      </c>
      <c r="G331" s="4">
        <v>0.49</v>
      </c>
      <c r="H331" s="4">
        <v>0.37559808612440199</v>
      </c>
      <c r="I331" s="4">
        <v>0.121</v>
      </c>
      <c r="J331" s="4">
        <v>9.1999999999999998E-2</v>
      </c>
      <c r="K331" s="5">
        <v>100</v>
      </c>
      <c r="L331" s="5">
        <v>100</v>
      </c>
      <c r="M331" s="5">
        <v>100</v>
      </c>
      <c r="N331" s="5">
        <v>100</v>
      </c>
      <c r="O331" s="2">
        <v>0.67334455326376563</v>
      </c>
      <c r="P331" s="2">
        <v>0.47096102520206296</v>
      </c>
      <c r="Q331" s="2">
        <v>0.12897038129696006</v>
      </c>
      <c r="R331" s="2">
        <v>9.6510900380843728E-2</v>
      </c>
    </row>
    <row r="332" spans="1:18" x14ac:dyDescent="0.3">
      <c r="A332" s="7">
        <v>140</v>
      </c>
      <c r="B332" s="7">
        <v>129</v>
      </c>
      <c r="C332" s="7">
        <v>0</v>
      </c>
      <c r="D332" s="7">
        <v>0</v>
      </c>
      <c r="E332" s="20" t="str">
        <f t="shared" si="5"/>
        <v>00</v>
      </c>
      <c r="F332" s="21">
        <v>0.79529084773548298</v>
      </c>
      <c r="G332" s="4">
        <v>0.433</v>
      </c>
      <c r="H332" s="4">
        <v>0.338862559241706</v>
      </c>
      <c r="I332" s="4">
        <v>0.14399999999999999</v>
      </c>
      <c r="J332" s="4">
        <v>0.106</v>
      </c>
      <c r="K332" s="5">
        <v>100</v>
      </c>
      <c r="L332" s="5">
        <v>100</v>
      </c>
      <c r="M332" s="5">
        <v>100</v>
      </c>
      <c r="N332" s="5">
        <v>100</v>
      </c>
      <c r="O332" s="2">
        <v>0.56739597525438512</v>
      </c>
      <c r="P332" s="2">
        <v>0.41379353221464599</v>
      </c>
      <c r="Q332" s="2">
        <v>0.15548490284039498</v>
      </c>
      <c r="R332" s="2">
        <v>0.11204950380862289</v>
      </c>
    </row>
    <row r="333" spans="1:18" x14ac:dyDescent="0.3">
      <c r="A333" s="7">
        <v>851</v>
      </c>
      <c r="B333" s="7">
        <v>202</v>
      </c>
      <c r="C333" s="7">
        <v>0</v>
      </c>
      <c r="D333" s="7">
        <v>0</v>
      </c>
      <c r="E333" s="20" t="str">
        <f t="shared" si="5"/>
        <v>00</v>
      </c>
      <c r="F333" s="21">
        <v>0.79807208254129602</v>
      </c>
      <c r="G333" s="4">
        <v>0.435</v>
      </c>
      <c r="H333" s="4">
        <v>0.33491686460807601</v>
      </c>
      <c r="I333" s="4">
        <v>0.17100000000000001</v>
      </c>
      <c r="J333" s="4">
        <v>0.19700000000000001</v>
      </c>
      <c r="K333" s="5">
        <v>100</v>
      </c>
      <c r="L333" s="5">
        <v>100</v>
      </c>
      <c r="M333" s="5">
        <v>100</v>
      </c>
      <c r="N333" s="5">
        <v>100</v>
      </c>
      <c r="O333" s="2">
        <v>0.57092954783569616</v>
      </c>
      <c r="P333" s="2">
        <v>0.40784323051313182</v>
      </c>
      <c r="Q333" s="2">
        <v>0.18753512384684212</v>
      </c>
      <c r="R333" s="2">
        <v>0.21940056503537547</v>
      </c>
    </row>
    <row r="334" spans="1:18" x14ac:dyDescent="0.3">
      <c r="A334" s="7">
        <v>633</v>
      </c>
      <c r="B334" s="7">
        <v>133</v>
      </c>
      <c r="C334" s="7">
        <v>0</v>
      </c>
      <c r="D334" s="7">
        <v>0</v>
      </c>
      <c r="E334" s="20" t="str">
        <f t="shared" si="5"/>
        <v>00</v>
      </c>
      <c r="F334" s="21">
        <v>0.80257213384378101</v>
      </c>
      <c r="G334" s="4">
        <v>0.42699999999999999</v>
      </c>
      <c r="H334" s="4">
        <v>0.35360360360360399</v>
      </c>
      <c r="I334" s="4">
        <v>0.124</v>
      </c>
      <c r="J334" s="4">
        <v>0.13400000000000001</v>
      </c>
      <c r="K334" s="5">
        <v>100</v>
      </c>
      <c r="L334" s="5">
        <v>100</v>
      </c>
      <c r="M334" s="5">
        <v>100</v>
      </c>
      <c r="N334" s="5">
        <v>100</v>
      </c>
      <c r="O334" s="2">
        <v>0.55686956226739759</v>
      </c>
      <c r="P334" s="2">
        <v>0.43634234667260424</v>
      </c>
      <c r="Q334" s="2">
        <v>0.13238918804574562</v>
      </c>
      <c r="R334" s="2">
        <v>0.14387037041970191</v>
      </c>
    </row>
    <row r="335" spans="1:18" x14ac:dyDescent="0.3">
      <c r="A335" s="7">
        <v>181</v>
      </c>
      <c r="B335" s="7">
        <v>122</v>
      </c>
      <c r="C335" s="7">
        <v>0</v>
      </c>
      <c r="D335" s="7">
        <v>0</v>
      </c>
      <c r="E335" s="20" t="str">
        <f t="shared" si="5"/>
        <v>00</v>
      </c>
      <c r="F335" s="21">
        <v>0.80415700559880499</v>
      </c>
      <c r="G335" s="4">
        <v>0.4</v>
      </c>
      <c r="H335" s="4">
        <v>0.29908675799086798</v>
      </c>
      <c r="I335" s="4">
        <v>0.106</v>
      </c>
      <c r="J335" s="4">
        <v>9.0999999999999998E-2</v>
      </c>
      <c r="K335" s="5">
        <v>100</v>
      </c>
      <c r="L335" s="5">
        <v>100</v>
      </c>
      <c r="M335" s="5">
        <v>100</v>
      </c>
      <c r="N335" s="5">
        <v>100</v>
      </c>
      <c r="O335" s="2">
        <v>0.51082562376599072</v>
      </c>
      <c r="P335" s="2">
        <v>0.35537116278924963</v>
      </c>
      <c r="Q335" s="2">
        <v>0.11204950380862289</v>
      </c>
      <c r="R335" s="2">
        <v>9.5410184804658182E-2</v>
      </c>
    </row>
    <row r="336" spans="1:18" x14ac:dyDescent="0.3">
      <c r="A336" s="7">
        <v>720</v>
      </c>
      <c r="B336" s="7">
        <v>118</v>
      </c>
      <c r="C336" s="7">
        <v>0</v>
      </c>
      <c r="D336" s="7">
        <v>0</v>
      </c>
      <c r="E336" s="20" t="str">
        <f t="shared" si="5"/>
        <v>00</v>
      </c>
      <c r="F336" s="21">
        <v>0.80620118835082799</v>
      </c>
      <c r="G336" s="4">
        <v>0.44900000000000001</v>
      </c>
      <c r="H336" s="4">
        <v>0.373493975903614</v>
      </c>
      <c r="I336" s="4">
        <v>0.10299999999999999</v>
      </c>
      <c r="J336" s="4">
        <v>9.8000000000000004E-2</v>
      </c>
      <c r="K336" s="5">
        <v>100</v>
      </c>
      <c r="L336" s="5">
        <v>100</v>
      </c>
      <c r="M336" s="5">
        <v>100</v>
      </c>
      <c r="N336" s="5">
        <v>100</v>
      </c>
      <c r="O336" s="2">
        <v>0.59602046982922263</v>
      </c>
      <c r="P336" s="2">
        <v>0.46759688921516984</v>
      </c>
      <c r="Q336" s="2">
        <v>0.10869941692334091</v>
      </c>
      <c r="R336" s="2">
        <v>0.10314075891951337</v>
      </c>
    </row>
    <row r="337" spans="1:18" x14ac:dyDescent="0.3">
      <c r="A337" s="7">
        <v>359</v>
      </c>
      <c r="B337" s="7">
        <v>128</v>
      </c>
      <c r="C337" s="7">
        <v>0</v>
      </c>
      <c r="D337" s="7">
        <v>0</v>
      </c>
      <c r="E337" s="20" t="str">
        <f t="shared" si="5"/>
        <v>00</v>
      </c>
      <c r="F337" s="21">
        <v>0.81087096514428103</v>
      </c>
      <c r="G337" s="4">
        <v>0.53100000000000003</v>
      </c>
      <c r="H337" s="4">
        <v>0.44949494949495</v>
      </c>
      <c r="I337" s="4">
        <v>7.3999999999999996E-2</v>
      </c>
      <c r="J337" s="4">
        <v>0.126</v>
      </c>
      <c r="K337" s="5">
        <v>0</v>
      </c>
      <c r="L337" s="5">
        <v>100</v>
      </c>
      <c r="M337" s="5">
        <v>100</v>
      </c>
      <c r="N337" s="5">
        <v>100</v>
      </c>
      <c r="O337" s="2">
        <v>0.75715251053585775</v>
      </c>
      <c r="P337" s="2">
        <v>0.59691914846539251</v>
      </c>
      <c r="Q337" s="2">
        <v>7.6881044335957618E-2</v>
      </c>
      <c r="R337" s="2">
        <v>0.13467490332660159</v>
      </c>
    </row>
    <row r="338" spans="1:18" x14ac:dyDescent="0.3">
      <c r="A338" s="7">
        <v>478</v>
      </c>
      <c r="B338" s="7">
        <v>138</v>
      </c>
      <c r="C338" s="7">
        <v>0</v>
      </c>
      <c r="D338" s="7">
        <v>0</v>
      </c>
      <c r="E338" s="20" t="str">
        <f t="shared" si="5"/>
        <v>00</v>
      </c>
      <c r="F338" s="21">
        <v>0.81342740981921802</v>
      </c>
      <c r="G338" s="4">
        <v>0.51400000000000001</v>
      </c>
      <c r="H338" s="4">
        <v>0.376590330788804</v>
      </c>
      <c r="I338" s="4">
        <v>0.13</v>
      </c>
      <c r="J338" s="4">
        <v>0.109</v>
      </c>
      <c r="K338" s="5">
        <v>0</v>
      </c>
      <c r="L338" s="5">
        <v>100</v>
      </c>
      <c r="M338" s="5">
        <v>100</v>
      </c>
      <c r="N338" s="5">
        <v>100</v>
      </c>
      <c r="O338" s="2">
        <v>0.72154665508164328</v>
      </c>
      <c r="P338" s="2">
        <v>0.4725514013245341</v>
      </c>
      <c r="Q338" s="2">
        <v>0.13926206733350766</v>
      </c>
      <c r="R338" s="2">
        <v>0.11541085151132773</v>
      </c>
    </row>
    <row r="339" spans="1:18" x14ac:dyDescent="0.3">
      <c r="A339" s="7">
        <v>150</v>
      </c>
      <c r="B339" s="7">
        <v>114</v>
      </c>
      <c r="C339" s="7">
        <v>0</v>
      </c>
      <c r="D339" s="7">
        <v>0</v>
      </c>
      <c r="E339" s="20" t="str">
        <f t="shared" si="5"/>
        <v>00</v>
      </c>
      <c r="F339" s="21">
        <v>0.82287500863857999</v>
      </c>
      <c r="G339" s="4">
        <v>0.53400000000000003</v>
      </c>
      <c r="H339" s="4">
        <v>0.37830687830687798</v>
      </c>
      <c r="I339" s="4">
        <v>0.11799999999999999</v>
      </c>
      <c r="J339" s="4">
        <v>0.123</v>
      </c>
      <c r="K339" s="5">
        <v>0</v>
      </c>
      <c r="L339" s="5">
        <v>100</v>
      </c>
      <c r="M339" s="5">
        <v>100</v>
      </c>
      <c r="N339" s="5">
        <v>100</v>
      </c>
      <c r="O339" s="2">
        <v>0.76356964485649126</v>
      </c>
      <c r="P339" s="2">
        <v>0.4753086814754281</v>
      </c>
      <c r="Q339" s="2">
        <v>0.12556322297534575</v>
      </c>
      <c r="R339" s="2">
        <v>0.13124828660995402</v>
      </c>
    </row>
    <row r="340" spans="1:18" x14ac:dyDescent="0.3">
      <c r="A340" s="7">
        <v>170</v>
      </c>
      <c r="B340" s="7">
        <v>294</v>
      </c>
      <c r="C340" s="7">
        <v>0</v>
      </c>
      <c r="D340" s="7">
        <v>0</v>
      </c>
      <c r="E340" s="20" t="str">
        <f t="shared" si="5"/>
        <v>00</v>
      </c>
      <c r="F340" s="21">
        <v>0.83919971639607804</v>
      </c>
      <c r="G340" s="4">
        <v>0.51100000000000001</v>
      </c>
      <c r="H340" s="4">
        <v>0.39074550128534702</v>
      </c>
      <c r="I340" s="4">
        <v>0.153</v>
      </c>
      <c r="J340" s="4">
        <v>0.17199999999999999</v>
      </c>
      <c r="K340" s="5">
        <v>0</v>
      </c>
      <c r="L340" s="5">
        <v>100</v>
      </c>
      <c r="M340" s="5">
        <v>100</v>
      </c>
      <c r="N340" s="5">
        <v>100</v>
      </c>
      <c r="O340" s="2">
        <v>0.71539278950726504</v>
      </c>
      <c r="P340" s="2">
        <v>0.49551920248331505</v>
      </c>
      <c r="Q340" s="2">
        <v>0.16605458433008269</v>
      </c>
      <c r="R340" s="2">
        <v>0.18874212459687728</v>
      </c>
    </row>
    <row r="341" spans="1:18" x14ac:dyDescent="0.3">
      <c r="A341" s="7">
        <v>640</v>
      </c>
      <c r="B341" s="7">
        <v>99</v>
      </c>
      <c r="C341" s="7">
        <v>0</v>
      </c>
      <c r="D341" s="7">
        <v>0</v>
      </c>
      <c r="E341" s="20" t="str">
        <f t="shared" si="5"/>
        <v>00</v>
      </c>
      <c r="F341" s="21">
        <v>0.84576157984841605</v>
      </c>
      <c r="G341" s="4">
        <v>0.52500000000000002</v>
      </c>
      <c r="H341" s="4">
        <v>0.39353099730458202</v>
      </c>
      <c r="I341" s="4">
        <v>0.13800000000000001</v>
      </c>
      <c r="J341" s="4">
        <v>0.14899999999999999</v>
      </c>
      <c r="K341" s="5">
        <v>0</v>
      </c>
      <c r="L341" s="5">
        <v>100</v>
      </c>
      <c r="M341" s="5">
        <v>100</v>
      </c>
      <c r="N341" s="5">
        <v>100</v>
      </c>
      <c r="O341" s="2">
        <v>0.74444047494749588</v>
      </c>
      <c r="P341" s="2">
        <v>0.50010166040301463</v>
      </c>
      <c r="Q341" s="2">
        <v>0.14850000831844395</v>
      </c>
      <c r="R341" s="2">
        <v>0.16134315040876293</v>
      </c>
    </row>
    <row r="342" spans="1:18" x14ac:dyDescent="0.3">
      <c r="A342" s="7">
        <v>194</v>
      </c>
      <c r="B342" s="7">
        <v>124</v>
      </c>
      <c r="C342" s="7">
        <v>0</v>
      </c>
      <c r="D342" s="7">
        <v>0</v>
      </c>
      <c r="E342" s="20" t="str">
        <f t="shared" si="5"/>
        <v>00</v>
      </c>
      <c r="F342" s="21">
        <v>0.84630708252187603</v>
      </c>
      <c r="G342" s="4">
        <v>0.52300000000000002</v>
      </c>
      <c r="H342" s="4">
        <v>0.38422391857506399</v>
      </c>
      <c r="I342" s="4">
        <v>0.14000000000000001</v>
      </c>
      <c r="J342" s="4">
        <v>0.13200000000000001</v>
      </c>
      <c r="K342" s="5">
        <v>0</v>
      </c>
      <c r="L342" s="5">
        <v>100</v>
      </c>
      <c r="M342" s="5">
        <v>100</v>
      </c>
      <c r="N342" s="5">
        <v>100</v>
      </c>
      <c r="O342" s="2">
        <v>0.74023878809379584</v>
      </c>
      <c r="P342" s="2">
        <v>0.48487188571257545</v>
      </c>
      <c r="Q342" s="2">
        <v>0.15082288973458366</v>
      </c>
      <c r="R342" s="2">
        <v>0.14156356432178688</v>
      </c>
    </row>
    <row r="343" spans="1:18" x14ac:dyDescent="0.3">
      <c r="A343" s="7">
        <v>133</v>
      </c>
      <c r="B343" s="7">
        <v>123</v>
      </c>
      <c r="C343" s="7">
        <v>0</v>
      </c>
      <c r="D343" s="7">
        <v>0</v>
      </c>
      <c r="E343" s="20" t="str">
        <f t="shared" si="5"/>
        <v>00</v>
      </c>
      <c r="F343" s="21">
        <v>0.84668258680613995</v>
      </c>
      <c r="G343" s="4">
        <v>0.40400000000000003</v>
      </c>
      <c r="H343" s="4">
        <v>0.30454545454545501</v>
      </c>
      <c r="I343" s="4">
        <v>0.374</v>
      </c>
      <c r="J343" s="4">
        <v>0.34300000000000003</v>
      </c>
      <c r="K343" s="5">
        <v>100</v>
      </c>
      <c r="L343" s="5">
        <v>100</v>
      </c>
      <c r="M343" s="5">
        <v>100</v>
      </c>
      <c r="N343" s="5">
        <v>100</v>
      </c>
      <c r="O343" s="2">
        <v>0.51751461191678738</v>
      </c>
      <c r="P343" s="2">
        <v>0.36318962495992674</v>
      </c>
      <c r="Q343" s="2">
        <v>0.46840490788203853</v>
      </c>
      <c r="R343" s="2">
        <v>0.42007126049752652</v>
      </c>
    </row>
    <row r="344" spans="1:18" x14ac:dyDescent="0.3">
      <c r="A344" s="7">
        <v>159</v>
      </c>
      <c r="B344" s="7">
        <v>124</v>
      </c>
      <c r="C344" s="7">
        <v>0</v>
      </c>
      <c r="D344" s="7">
        <v>0</v>
      </c>
      <c r="E344" s="20" t="str">
        <f t="shared" si="5"/>
        <v>00</v>
      </c>
      <c r="F344" s="21">
        <v>0.84687404178636305</v>
      </c>
      <c r="G344" s="4">
        <v>0.60899999999999999</v>
      </c>
      <c r="H344" s="4">
        <v>0.466480446927374</v>
      </c>
      <c r="I344" s="4">
        <v>0.89100000000000001</v>
      </c>
      <c r="J344" s="4">
        <v>0.84199999999999997</v>
      </c>
      <c r="K344" s="5">
        <v>0</v>
      </c>
      <c r="L344" s="5">
        <v>100</v>
      </c>
      <c r="M344" s="5">
        <v>0</v>
      </c>
      <c r="N344" s="5">
        <v>0</v>
      </c>
      <c r="O344" s="2">
        <v>0.9390477189967712</v>
      </c>
      <c r="P344" s="2">
        <v>0.62825955835406988</v>
      </c>
      <c r="Q344" s="2">
        <v>2.2164073967529934</v>
      </c>
      <c r="R344" s="2">
        <v>1.8451602459551701</v>
      </c>
    </row>
    <row r="345" spans="1:18" x14ac:dyDescent="0.3">
      <c r="A345" s="7">
        <v>926</v>
      </c>
      <c r="B345" s="7">
        <v>114</v>
      </c>
      <c r="C345" s="7">
        <v>0</v>
      </c>
      <c r="D345" s="7">
        <v>0</v>
      </c>
      <c r="E345" s="20" t="str">
        <f t="shared" si="5"/>
        <v>00</v>
      </c>
      <c r="F345" s="21">
        <v>0.85469875234287396</v>
      </c>
      <c r="G345" s="4">
        <v>0.436</v>
      </c>
      <c r="H345" s="4">
        <v>0.31339712918660301</v>
      </c>
      <c r="I345" s="4">
        <v>9.0999999999999998E-2</v>
      </c>
      <c r="J345" s="4">
        <v>0.11899999999999999</v>
      </c>
      <c r="K345" s="5">
        <v>100</v>
      </c>
      <c r="L345" s="5">
        <v>100</v>
      </c>
      <c r="M345" s="5">
        <v>100</v>
      </c>
      <c r="N345" s="5">
        <v>100</v>
      </c>
      <c r="O345" s="2">
        <v>0.57270102748407803</v>
      </c>
      <c r="P345" s="2">
        <v>0.37599921676513542</v>
      </c>
      <c r="Q345" s="2">
        <v>9.5410184804658182E-2</v>
      </c>
      <c r="R345" s="2">
        <v>0.12669765304595754</v>
      </c>
    </row>
    <row r="346" spans="1:18" x14ac:dyDescent="0.3">
      <c r="A346" s="7">
        <v>649</v>
      </c>
      <c r="B346" s="7">
        <v>126</v>
      </c>
      <c r="C346" s="7">
        <v>0</v>
      </c>
      <c r="D346" s="7">
        <v>0</v>
      </c>
      <c r="E346" s="20" t="str">
        <f t="shared" si="5"/>
        <v>00</v>
      </c>
      <c r="F346" s="21">
        <v>0.86555043338179405</v>
      </c>
      <c r="G346" s="4">
        <v>0.56299999999999994</v>
      </c>
      <c r="H346" s="4">
        <v>0.45873786407766998</v>
      </c>
      <c r="I346" s="4">
        <v>0.254</v>
      </c>
      <c r="J346" s="4">
        <v>0.214</v>
      </c>
      <c r="K346" s="5">
        <v>0</v>
      </c>
      <c r="L346" s="5">
        <v>100</v>
      </c>
      <c r="M346" s="5">
        <v>100</v>
      </c>
      <c r="N346" s="5">
        <v>100</v>
      </c>
      <c r="O346" s="2">
        <v>0.82782208388654677</v>
      </c>
      <c r="P346" s="2">
        <v>0.61385157788940792</v>
      </c>
      <c r="Q346" s="2">
        <v>0.29302967877837621</v>
      </c>
      <c r="R346" s="2">
        <v>0.24079848655293046</v>
      </c>
    </row>
    <row r="347" spans="1:18" x14ac:dyDescent="0.3">
      <c r="A347" s="7">
        <v>765</v>
      </c>
      <c r="B347" s="7">
        <v>194</v>
      </c>
      <c r="C347" s="7">
        <v>0</v>
      </c>
      <c r="D347" s="7">
        <v>0</v>
      </c>
      <c r="E347" s="20" t="str">
        <f t="shared" si="5"/>
        <v>00</v>
      </c>
      <c r="F347" s="21">
        <v>0.86736388062039504</v>
      </c>
      <c r="G347" s="4">
        <v>0.58299999999999996</v>
      </c>
      <c r="H347" s="4">
        <v>0.464864864864865</v>
      </c>
      <c r="I347" s="4">
        <v>0.76</v>
      </c>
      <c r="J347" s="4">
        <v>0.60399999999999998</v>
      </c>
      <c r="K347" s="5">
        <v>0</v>
      </c>
      <c r="L347" s="5">
        <v>100</v>
      </c>
      <c r="M347" s="5">
        <v>0</v>
      </c>
      <c r="N347" s="5">
        <v>0</v>
      </c>
      <c r="O347" s="2">
        <v>0.87466905718333554</v>
      </c>
      <c r="P347" s="2">
        <v>0.62523597494373517</v>
      </c>
      <c r="Q347" s="2">
        <v>1.4271163556401458</v>
      </c>
      <c r="R347" s="2">
        <v>0.92634106772765645</v>
      </c>
    </row>
    <row r="348" spans="1:18" x14ac:dyDescent="0.3">
      <c r="A348" s="7">
        <v>872</v>
      </c>
      <c r="B348" s="7">
        <v>112</v>
      </c>
      <c r="C348" s="7">
        <v>0</v>
      </c>
      <c r="D348" s="7">
        <v>0</v>
      </c>
      <c r="E348" s="20" t="str">
        <f t="shared" si="5"/>
        <v>00</v>
      </c>
      <c r="F348" s="21">
        <v>0.88740501450033704</v>
      </c>
      <c r="G348" s="4">
        <v>0.67800000000000005</v>
      </c>
      <c r="H348" s="4">
        <v>0.50160771704180096</v>
      </c>
      <c r="I348" s="4">
        <v>0.20899999999999999</v>
      </c>
      <c r="J348" s="4">
        <v>0.22700000000000001</v>
      </c>
      <c r="K348" s="5">
        <v>0</v>
      </c>
      <c r="L348" s="5">
        <v>0</v>
      </c>
      <c r="M348" s="5">
        <v>100</v>
      </c>
      <c r="N348" s="5">
        <v>100</v>
      </c>
      <c r="O348" s="2">
        <v>1.133203733437729</v>
      </c>
      <c r="P348" s="2">
        <v>0.69636779525998815</v>
      </c>
      <c r="Q348" s="2">
        <v>0.23445731121448313</v>
      </c>
      <c r="R348" s="2">
        <v>0.25747623039471507</v>
      </c>
    </row>
    <row r="349" spans="1:18" x14ac:dyDescent="0.3">
      <c r="A349" s="7">
        <v>913</v>
      </c>
      <c r="B349" s="7">
        <v>105</v>
      </c>
      <c r="C349" s="7">
        <v>0</v>
      </c>
      <c r="D349" s="7">
        <v>0</v>
      </c>
      <c r="E349" s="20" t="str">
        <f t="shared" si="5"/>
        <v>00</v>
      </c>
      <c r="F349" s="21">
        <v>0.89472583054287602</v>
      </c>
      <c r="G349" s="4">
        <v>0.59699999999999998</v>
      </c>
      <c r="H349" s="4">
        <v>0.41618497109826602</v>
      </c>
      <c r="I349" s="4">
        <v>0.95799999999999996</v>
      </c>
      <c r="J349" s="4">
        <v>0.86</v>
      </c>
      <c r="K349" s="5">
        <v>0</v>
      </c>
      <c r="L349" s="5">
        <v>100</v>
      </c>
      <c r="M349" s="5">
        <v>0</v>
      </c>
      <c r="N349" s="5">
        <v>0</v>
      </c>
      <c r="O349" s="2">
        <v>0.90881871703545403</v>
      </c>
      <c r="P349" s="2">
        <v>0.53817107765651973</v>
      </c>
      <c r="Q349" s="2">
        <v>3.170085660698768</v>
      </c>
      <c r="R349" s="2">
        <v>1.9661128563728327</v>
      </c>
    </row>
    <row r="350" spans="1:18" x14ac:dyDescent="0.3">
      <c r="A350" s="7">
        <v>618</v>
      </c>
      <c r="B350" s="7">
        <v>106</v>
      </c>
      <c r="C350" s="7">
        <v>0</v>
      </c>
      <c r="D350" s="7">
        <v>0</v>
      </c>
      <c r="E350" s="20" t="str">
        <f t="shared" si="5"/>
        <v>00</v>
      </c>
      <c r="F350" s="21">
        <v>0.904211243654651</v>
      </c>
      <c r="G350" s="4">
        <v>0.59</v>
      </c>
      <c r="H350" s="4">
        <v>0.43213296398891998</v>
      </c>
      <c r="I350" s="4">
        <v>0.34799999999999998</v>
      </c>
      <c r="J350" s="4">
        <v>0.30599999999999999</v>
      </c>
      <c r="K350" s="5">
        <v>0</v>
      </c>
      <c r="L350" s="5">
        <v>100</v>
      </c>
      <c r="M350" s="5">
        <v>100</v>
      </c>
      <c r="N350" s="5">
        <v>100</v>
      </c>
      <c r="O350" s="2">
        <v>0.89159811928378352</v>
      </c>
      <c r="P350" s="2">
        <v>0.56586797919447329</v>
      </c>
      <c r="Q350" s="2">
        <v>0.42771071705548408</v>
      </c>
      <c r="R350" s="2">
        <v>0.36528331847533263</v>
      </c>
    </row>
    <row r="351" spans="1:18" x14ac:dyDescent="0.3">
      <c r="A351" s="7">
        <v>509</v>
      </c>
      <c r="B351" s="7">
        <v>83</v>
      </c>
      <c r="C351" s="7">
        <v>0</v>
      </c>
      <c r="D351" s="7">
        <v>0</v>
      </c>
      <c r="E351" s="20" t="str">
        <f t="shared" si="5"/>
        <v>00</v>
      </c>
      <c r="F351" s="21">
        <v>0.90467693439656804</v>
      </c>
      <c r="G351" s="4">
        <v>0.56699999999999995</v>
      </c>
      <c r="H351" s="4">
        <v>0.481572481572482</v>
      </c>
      <c r="I351" s="4">
        <v>0.25900000000000001</v>
      </c>
      <c r="J351" s="4">
        <v>0.27</v>
      </c>
      <c r="K351" s="5">
        <v>0</v>
      </c>
      <c r="L351" s="5">
        <v>100</v>
      </c>
      <c r="M351" s="5">
        <v>100</v>
      </c>
      <c r="N351" s="5">
        <v>100</v>
      </c>
      <c r="O351" s="2">
        <v>0.83701755097964714</v>
      </c>
      <c r="P351" s="2">
        <v>0.65695505196652937</v>
      </c>
      <c r="Q351" s="2">
        <v>0.2997546536860502</v>
      </c>
      <c r="R351" s="2">
        <v>0.31471074483970024</v>
      </c>
    </row>
    <row r="352" spans="1:18" x14ac:dyDescent="0.3">
      <c r="A352" s="7">
        <v>99</v>
      </c>
      <c r="B352" s="7">
        <v>109</v>
      </c>
      <c r="C352" s="7">
        <v>0</v>
      </c>
      <c r="D352" s="7">
        <v>0</v>
      </c>
      <c r="E352" s="20" t="str">
        <f t="shared" si="5"/>
        <v>00</v>
      </c>
      <c r="F352" s="21">
        <v>0.91496450326053302</v>
      </c>
      <c r="G352" s="4">
        <v>0.53700000000000003</v>
      </c>
      <c r="H352" s="4">
        <v>0.41085271317829503</v>
      </c>
      <c r="I352" s="4">
        <v>0.13700000000000001</v>
      </c>
      <c r="J352" s="4">
        <v>0.14199999999999999</v>
      </c>
      <c r="K352" s="5">
        <v>0</v>
      </c>
      <c r="L352" s="5">
        <v>100</v>
      </c>
      <c r="M352" s="5">
        <v>100</v>
      </c>
      <c r="N352" s="5">
        <v>100</v>
      </c>
      <c r="O352" s="2">
        <v>0.77002822489590306</v>
      </c>
      <c r="P352" s="2">
        <v>0.52907906407534189</v>
      </c>
      <c r="Q352" s="2">
        <v>0.14734058789870913</v>
      </c>
      <c r="R352" s="2">
        <v>0.15315117949417478</v>
      </c>
    </row>
    <row r="353" spans="1:18" x14ac:dyDescent="0.3">
      <c r="A353" s="7">
        <v>26</v>
      </c>
      <c r="B353" s="7">
        <v>98</v>
      </c>
      <c r="C353" s="7">
        <v>0</v>
      </c>
      <c r="D353" s="7">
        <v>0</v>
      </c>
      <c r="E353" s="20" t="str">
        <f t="shared" si="5"/>
        <v>00</v>
      </c>
      <c r="F353" s="21">
        <v>0.91833501921602601</v>
      </c>
      <c r="G353" s="4">
        <v>0.51300000000000001</v>
      </c>
      <c r="H353" s="4">
        <v>0.36649214659685903</v>
      </c>
      <c r="I353" s="4">
        <v>0.13100000000000001</v>
      </c>
      <c r="J353" s="4">
        <v>0.13600000000000001</v>
      </c>
      <c r="K353" s="5">
        <v>0</v>
      </c>
      <c r="L353" s="5">
        <v>100</v>
      </c>
      <c r="M353" s="5">
        <v>100</v>
      </c>
      <c r="N353" s="5">
        <v>100</v>
      </c>
      <c r="O353" s="2">
        <v>0.71949115589954726</v>
      </c>
      <c r="P353" s="2">
        <v>0.45648288244988938</v>
      </c>
      <c r="Q353" s="2">
        <v>0.14041215371674501</v>
      </c>
      <c r="R353" s="2">
        <v>0.14618251017808145</v>
      </c>
    </row>
    <row r="354" spans="1:18" x14ac:dyDescent="0.3">
      <c r="A354" s="7">
        <v>562</v>
      </c>
      <c r="B354" s="7">
        <v>107</v>
      </c>
      <c r="C354" s="7">
        <v>0</v>
      </c>
      <c r="D354" s="7">
        <v>0</v>
      </c>
      <c r="E354" s="20" t="str">
        <f t="shared" si="5"/>
        <v>00</v>
      </c>
      <c r="F354" s="21">
        <v>0.948417411712973</v>
      </c>
      <c r="G354" s="4">
        <v>0.51600000000000001</v>
      </c>
      <c r="H354" s="4">
        <v>0.31920903954802299</v>
      </c>
      <c r="I354" s="4">
        <v>0.125</v>
      </c>
      <c r="J354" s="4">
        <v>0.154</v>
      </c>
      <c r="K354" s="5">
        <v>0</v>
      </c>
      <c r="L354" s="5">
        <v>100</v>
      </c>
      <c r="M354" s="5">
        <v>100</v>
      </c>
      <c r="N354" s="5">
        <v>100</v>
      </c>
      <c r="O354" s="2">
        <v>0.72567037226550535</v>
      </c>
      <c r="P354" s="2">
        <v>0.38449997964311994</v>
      </c>
      <c r="Q354" s="2">
        <v>0.13353139262452263</v>
      </c>
      <c r="R354" s="2">
        <v>0.16723591937591381</v>
      </c>
    </row>
    <row r="355" spans="1:18" x14ac:dyDescent="0.3">
      <c r="A355" s="7">
        <v>494</v>
      </c>
      <c r="B355" s="7">
        <v>95</v>
      </c>
      <c r="C355" s="7">
        <v>0</v>
      </c>
      <c r="D355" s="7">
        <v>0</v>
      </c>
      <c r="E355" s="20" t="str">
        <f t="shared" si="5"/>
        <v>00</v>
      </c>
      <c r="F355" s="21">
        <v>0.94982823700404095</v>
      </c>
      <c r="G355" s="4">
        <v>0.45700000000000002</v>
      </c>
      <c r="H355" s="4">
        <v>0.33253012048192798</v>
      </c>
      <c r="I355" s="4">
        <v>0.84899999999999998</v>
      </c>
      <c r="J355" s="4">
        <v>0.85599999999999998</v>
      </c>
      <c r="K355" s="5">
        <v>100</v>
      </c>
      <c r="L355" s="5">
        <v>100</v>
      </c>
      <c r="M355" s="5">
        <v>0</v>
      </c>
      <c r="N355" s="5">
        <v>0</v>
      </c>
      <c r="O355" s="2">
        <v>0.61064595904820174</v>
      </c>
      <c r="P355" s="2">
        <v>0.40426101404336018</v>
      </c>
      <c r="Q355" s="2">
        <v>1.8904754421672125</v>
      </c>
      <c r="R355" s="2">
        <v>1.9379419794061363</v>
      </c>
    </row>
    <row r="356" spans="1:18" x14ac:dyDescent="0.3">
      <c r="A356" s="7">
        <v>647</v>
      </c>
      <c r="B356" s="7">
        <v>101</v>
      </c>
      <c r="C356" s="7">
        <v>0</v>
      </c>
      <c r="D356" s="7">
        <v>0</v>
      </c>
      <c r="E356" s="20" t="str">
        <f t="shared" si="5"/>
        <v>00</v>
      </c>
      <c r="F356" s="21">
        <v>0.95563181831338295</v>
      </c>
      <c r="G356" s="4">
        <v>0.74099999999999999</v>
      </c>
      <c r="H356" s="4">
        <v>0.605590062111801</v>
      </c>
      <c r="I356" s="4">
        <v>0.13600000000000001</v>
      </c>
      <c r="J356" s="4">
        <v>0.14399999999999999</v>
      </c>
      <c r="K356" s="5">
        <v>0</v>
      </c>
      <c r="L356" s="5">
        <v>0</v>
      </c>
      <c r="M356" s="5">
        <v>100</v>
      </c>
      <c r="N356" s="5">
        <v>100</v>
      </c>
      <c r="O356" s="2">
        <v>1.3509272172825992</v>
      </c>
      <c r="P356" s="2">
        <v>0.93036445908581644</v>
      </c>
      <c r="Q356" s="2">
        <v>0.14618251017808145</v>
      </c>
      <c r="R356" s="2">
        <v>0.15548490284039498</v>
      </c>
    </row>
    <row r="357" spans="1:18" x14ac:dyDescent="0.3">
      <c r="A357" s="7">
        <v>942</v>
      </c>
      <c r="B357" s="7">
        <v>92</v>
      </c>
      <c r="C357" s="7">
        <v>0</v>
      </c>
      <c r="D357" s="7">
        <v>0</v>
      </c>
      <c r="E357" s="20" t="str">
        <f t="shared" si="5"/>
        <v>00</v>
      </c>
      <c r="F357" s="21">
        <v>0.97034578744831401</v>
      </c>
      <c r="G357" s="4">
        <v>0.59199999999999997</v>
      </c>
      <c r="H357" s="4">
        <v>0.51612903225806495</v>
      </c>
      <c r="I357" s="4">
        <v>0.11600000000000001</v>
      </c>
      <c r="J357" s="4">
        <v>0.11799999999999999</v>
      </c>
      <c r="K357" s="5">
        <v>0</v>
      </c>
      <c r="L357" s="5">
        <v>0</v>
      </c>
      <c r="M357" s="5">
        <v>100</v>
      </c>
      <c r="N357" s="5">
        <v>100</v>
      </c>
      <c r="O357" s="2">
        <v>0.89648810457797523</v>
      </c>
      <c r="P357" s="2">
        <v>0.7259370033829371</v>
      </c>
      <c r="Q357" s="2">
        <v>0.1232982163444936</v>
      </c>
      <c r="R357" s="2">
        <v>0.12556322297534575</v>
      </c>
    </row>
    <row r="358" spans="1:18" x14ac:dyDescent="0.3">
      <c r="A358" s="7">
        <v>103</v>
      </c>
      <c r="B358" s="7">
        <v>87</v>
      </c>
      <c r="C358" s="7">
        <v>0</v>
      </c>
      <c r="D358" s="7">
        <v>0</v>
      </c>
      <c r="E358" s="20" t="str">
        <f t="shared" si="5"/>
        <v>00</v>
      </c>
      <c r="F358" s="21">
        <v>0.97100394091142805</v>
      </c>
      <c r="G358" s="4">
        <v>0.53900000000000003</v>
      </c>
      <c r="H358" s="4">
        <v>0.422222222222222</v>
      </c>
      <c r="I358" s="4">
        <v>0.878</v>
      </c>
      <c r="J358" s="4">
        <v>0.82699999999999996</v>
      </c>
      <c r="K358" s="5">
        <v>0</v>
      </c>
      <c r="L358" s="5">
        <v>100</v>
      </c>
      <c r="M358" s="5">
        <v>0</v>
      </c>
      <c r="N358" s="5">
        <v>0</v>
      </c>
      <c r="O358" s="2">
        <v>0.77435723598548856</v>
      </c>
      <c r="P358" s="2">
        <v>0.54856595174883738</v>
      </c>
      <c r="Q358" s="2">
        <v>2.1037342342488805</v>
      </c>
      <c r="R358" s="2">
        <v>1.754463684484358</v>
      </c>
    </row>
    <row r="359" spans="1:18" x14ac:dyDescent="0.3">
      <c r="A359" s="7">
        <v>427</v>
      </c>
      <c r="B359" s="7">
        <v>85</v>
      </c>
      <c r="C359" s="7">
        <v>0</v>
      </c>
      <c r="D359" s="7">
        <v>0</v>
      </c>
      <c r="E359" s="20" t="str">
        <f t="shared" si="5"/>
        <v>00</v>
      </c>
      <c r="F359" s="21">
        <v>0.98362139946761795</v>
      </c>
      <c r="G359" s="4">
        <v>0.47099999999999997</v>
      </c>
      <c r="H359" s="4">
        <v>0.35483870967741898</v>
      </c>
      <c r="I359" s="4">
        <v>0.56599999999999995</v>
      </c>
      <c r="J359" s="4">
        <v>0.439</v>
      </c>
      <c r="K359" s="5">
        <v>100</v>
      </c>
      <c r="L359" s="5">
        <v>100</v>
      </c>
      <c r="M359" s="5">
        <v>0</v>
      </c>
      <c r="N359" s="5">
        <v>100</v>
      </c>
      <c r="O359" s="2">
        <v>0.63676684712383758</v>
      </c>
      <c r="P359" s="2">
        <v>0.43825493093115475</v>
      </c>
      <c r="Q359" s="2">
        <v>0.83471074488173203</v>
      </c>
      <c r="R359" s="2">
        <v>0.57803437345944086</v>
      </c>
    </row>
    <row r="360" spans="1:18" x14ac:dyDescent="0.3">
      <c r="A360" s="7">
        <v>118</v>
      </c>
      <c r="B360" s="7">
        <v>87</v>
      </c>
      <c r="C360" s="7">
        <v>0</v>
      </c>
      <c r="D360" s="7">
        <v>0</v>
      </c>
      <c r="E360" s="20" t="str">
        <f t="shared" si="5"/>
        <v>00</v>
      </c>
      <c r="F360" s="21">
        <v>0.99179120580604196</v>
      </c>
      <c r="G360" s="4">
        <v>0.54300000000000004</v>
      </c>
      <c r="H360" s="4">
        <v>0.42105263157894701</v>
      </c>
      <c r="I360" s="4">
        <v>0.14599999999999999</v>
      </c>
      <c r="J360" s="4">
        <v>0.129</v>
      </c>
      <c r="K360" s="5">
        <v>0</v>
      </c>
      <c r="L360" s="5">
        <v>100</v>
      </c>
      <c r="M360" s="5">
        <v>100</v>
      </c>
      <c r="N360" s="5">
        <v>100</v>
      </c>
      <c r="O360" s="2">
        <v>0.78307188808793249</v>
      </c>
      <c r="P360" s="2">
        <v>0.54654370636806926</v>
      </c>
      <c r="Q360" s="2">
        <v>0.15782408519356722</v>
      </c>
      <c r="R360" s="2">
        <v>0.13811330212963427</v>
      </c>
    </row>
    <row r="361" spans="1:18" x14ac:dyDescent="0.3">
      <c r="A361" s="7">
        <v>558</v>
      </c>
      <c r="B361" s="7">
        <v>107</v>
      </c>
      <c r="C361" s="7">
        <v>0</v>
      </c>
      <c r="D361" s="7">
        <v>0</v>
      </c>
      <c r="E361" s="20" t="str">
        <f t="shared" si="5"/>
        <v>00</v>
      </c>
      <c r="F361" s="21">
        <v>0.99413922281343703</v>
      </c>
      <c r="G361" s="4">
        <v>0.441</v>
      </c>
      <c r="H361" s="4">
        <v>0.355140186915888</v>
      </c>
      <c r="I361" s="4">
        <v>0.20699999999999999</v>
      </c>
      <c r="J361" s="4">
        <v>0.193</v>
      </c>
      <c r="K361" s="5">
        <v>100</v>
      </c>
      <c r="L361" s="5">
        <v>100</v>
      </c>
      <c r="M361" s="5">
        <v>100</v>
      </c>
      <c r="N361" s="5">
        <v>100</v>
      </c>
      <c r="O361" s="2">
        <v>0.58160580582703802</v>
      </c>
      <c r="P361" s="2">
        <v>0.43872232986464704</v>
      </c>
      <c r="Q361" s="2">
        <v>0.23193205734728903</v>
      </c>
      <c r="R361" s="2">
        <v>0.21443161071218833</v>
      </c>
    </row>
    <row r="362" spans="1:18" x14ac:dyDescent="0.3">
      <c r="A362" s="7">
        <v>766</v>
      </c>
      <c r="B362" s="7">
        <v>91</v>
      </c>
      <c r="C362" s="7">
        <v>0</v>
      </c>
      <c r="D362" s="7">
        <v>0</v>
      </c>
      <c r="E362" s="20" t="str">
        <f t="shared" si="5"/>
        <v>00</v>
      </c>
      <c r="F362" s="21">
        <v>1.0013257731473699</v>
      </c>
      <c r="G362" s="4">
        <v>0.66900000000000004</v>
      </c>
      <c r="H362" s="4">
        <v>0.51344086021505397</v>
      </c>
      <c r="I362" s="4">
        <v>0.18099999999999999</v>
      </c>
      <c r="J362" s="4">
        <v>0.129</v>
      </c>
      <c r="K362" s="5">
        <v>0</v>
      </c>
      <c r="L362" s="5">
        <v>0</v>
      </c>
      <c r="M362" s="5">
        <v>100</v>
      </c>
      <c r="N362" s="5">
        <v>100</v>
      </c>
      <c r="O362" s="2">
        <v>1.1056369036050742</v>
      </c>
      <c r="P362" s="2">
        <v>0.72039682300732122</v>
      </c>
      <c r="Q362" s="2">
        <v>0.1996711951290677</v>
      </c>
      <c r="R362" s="2">
        <v>0.13811330212963427</v>
      </c>
    </row>
    <row r="363" spans="1:18" x14ac:dyDescent="0.3">
      <c r="A363" s="7">
        <v>761</v>
      </c>
      <c r="B363" s="7">
        <v>84</v>
      </c>
      <c r="C363" s="7">
        <v>0</v>
      </c>
      <c r="D363" s="7">
        <v>0</v>
      </c>
      <c r="E363" s="20" t="str">
        <f t="shared" si="5"/>
        <v>00</v>
      </c>
      <c r="F363" s="21">
        <v>1.0039701705453701</v>
      </c>
      <c r="G363" s="4">
        <v>0.57199999999999995</v>
      </c>
      <c r="H363" s="4">
        <v>0.48693586698337299</v>
      </c>
      <c r="I363" s="4">
        <v>0.11799999999999999</v>
      </c>
      <c r="J363" s="4">
        <v>0.123</v>
      </c>
      <c r="K363" s="5">
        <v>0</v>
      </c>
      <c r="L363" s="5">
        <v>100</v>
      </c>
      <c r="M363" s="5">
        <v>100</v>
      </c>
      <c r="N363" s="5">
        <v>100</v>
      </c>
      <c r="O363" s="2">
        <v>0.84863208340034013</v>
      </c>
      <c r="P363" s="2">
        <v>0.66735442599821659</v>
      </c>
      <c r="Q363" s="2">
        <v>0.12556322297534575</v>
      </c>
      <c r="R363" s="2">
        <v>0.13124828660995402</v>
      </c>
    </row>
    <row r="364" spans="1:18" x14ac:dyDescent="0.3">
      <c r="A364" s="7">
        <v>952</v>
      </c>
      <c r="B364" s="7">
        <v>78</v>
      </c>
      <c r="C364" s="7">
        <v>0</v>
      </c>
      <c r="D364" s="7">
        <v>0</v>
      </c>
      <c r="E364" s="20" t="str">
        <f t="shared" si="5"/>
        <v>00</v>
      </c>
      <c r="F364" s="21">
        <v>1.0133192592006599</v>
      </c>
      <c r="G364" s="4">
        <v>0.71199999999999997</v>
      </c>
      <c r="H364" s="4">
        <v>0.56291390728476798</v>
      </c>
      <c r="I364" s="4">
        <v>0.85099999999999998</v>
      </c>
      <c r="J364" s="4">
        <v>0.81599999999999995</v>
      </c>
      <c r="K364" s="5">
        <v>0</v>
      </c>
      <c r="L364" s="5">
        <v>0</v>
      </c>
      <c r="M364" s="5">
        <v>0</v>
      </c>
      <c r="N364" s="5">
        <v>0</v>
      </c>
      <c r="O364" s="2">
        <v>1.2447947988461909</v>
      </c>
      <c r="P364" s="2">
        <v>0.82762509478849822</v>
      </c>
      <c r="Q364" s="2">
        <v>1.9038089730366778</v>
      </c>
      <c r="R364" s="2">
        <v>1.6928195213731512</v>
      </c>
    </row>
    <row r="365" spans="1:18" x14ac:dyDescent="0.3">
      <c r="A365" s="7">
        <v>467</v>
      </c>
      <c r="B365" s="7">
        <v>102</v>
      </c>
      <c r="C365" s="7">
        <v>0</v>
      </c>
      <c r="D365" s="7">
        <v>0</v>
      </c>
      <c r="E365" s="20" t="str">
        <f t="shared" si="5"/>
        <v>00</v>
      </c>
      <c r="F365" s="21">
        <v>1.02067734992263</v>
      </c>
      <c r="G365" s="4">
        <v>0.38300000000000001</v>
      </c>
      <c r="H365" s="4">
        <v>0.31567328918322302</v>
      </c>
      <c r="I365" s="4">
        <v>0.14099999999999999</v>
      </c>
      <c r="J365" s="4">
        <v>0.123</v>
      </c>
      <c r="K365" s="5">
        <v>100</v>
      </c>
      <c r="L365" s="5">
        <v>100</v>
      </c>
      <c r="M365" s="5">
        <v>100</v>
      </c>
      <c r="N365" s="5">
        <v>100</v>
      </c>
      <c r="O365" s="2">
        <v>0.48288625507674926</v>
      </c>
      <c r="P365" s="2">
        <v>0.37931982800384217</v>
      </c>
      <c r="Q365" s="2">
        <v>0.15198635699788171</v>
      </c>
      <c r="R365" s="2">
        <v>0.13124828660995402</v>
      </c>
    </row>
    <row r="366" spans="1:18" x14ac:dyDescent="0.3">
      <c r="A366" s="7">
        <v>225</v>
      </c>
      <c r="B366" s="7">
        <v>100</v>
      </c>
      <c r="C366" s="7">
        <v>0</v>
      </c>
      <c r="D366" s="7">
        <v>0</v>
      </c>
      <c r="E366" s="20" t="str">
        <f t="shared" si="5"/>
        <v>00</v>
      </c>
      <c r="F366" s="21">
        <v>1.02678817852052</v>
      </c>
      <c r="G366" s="4">
        <v>0.49099999999999999</v>
      </c>
      <c r="H366" s="4">
        <v>0.38352941176470601</v>
      </c>
      <c r="I366" s="4">
        <v>0.17899999999999999</v>
      </c>
      <c r="J366" s="4">
        <v>0.156</v>
      </c>
      <c r="K366" s="5">
        <v>100</v>
      </c>
      <c r="L366" s="5">
        <v>100</v>
      </c>
      <c r="M366" s="5">
        <v>100</v>
      </c>
      <c r="N366" s="5">
        <v>100</v>
      </c>
      <c r="O366" s="2">
        <v>0.67530726243161432</v>
      </c>
      <c r="P366" s="2">
        <v>0.48374466516332015</v>
      </c>
      <c r="Q366" s="2">
        <v>0.1972321695297089</v>
      </c>
      <c r="R366" s="2">
        <v>0.16960278438617998</v>
      </c>
    </row>
    <row r="367" spans="1:18" x14ac:dyDescent="0.3">
      <c r="A367" s="7">
        <v>370</v>
      </c>
      <c r="B367" s="7">
        <v>81</v>
      </c>
      <c r="C367" s="7">
        <v>0</v>
      </c>
      <c r="D367" s="7">
        <v>0</v>
      </c>
      <c r="E367" s="20" t="str">
        <f t="shared" si="5"/>
        <v>00</v>
      </c>
      <c r="F367" s="21">
        <v>1.0329860678751199</v>
      </c>
      <c r="G367" s="4">
        <v>0.46100000000000002</v>
      </c>
      <c r="H367" s="4">
        <v>0.41474654377880199</v>
      </c>
      <c r="I367" s="4">
        <v>0.105</v>
      </c>
      <c r="J367" s="4">
        <v>0.112</v>
      </c>
      <c r="K367" s="5">
        <v>100</v>
      </c>
      <c r="L367" s="5">
        <v>100</v>
      </c>
      <c r="M367" s="5">
        <v>100</v>
      </c>
      <c r="N367" s="5">
        <v>100</v>
      </c>
      <c r="O367" s="2">
        <v>0.61803970807314002</v>
      </c>
      <c r="P367" s="2">
        <v>0.53571026708186864</v>
      </c>
      <c r="Q367" s="2">
        <v>0.11093156070728166</v>
      </c>
      <c r="R367" s="2">
        <v>0.11878353598996698</v>
      </c>
    </row>
    <row r="368" spans="1:18" x14ac:dyDescent="0.3">
      <c r="A368" s="7">
        <v>883</v>
      </c>
      <c r="B368" s="7">
        <v>76</v>
      </c>
      <c r="C368" s="7">
        <v>0</v>
      </c>
      <c r="D368" s="7">
        <v>0</v>
      </c>
      <c r="E368" s="20" t="str">
        <f t="shared" si="5"/>
        <v>00</v>
      </c>
      <c r="F368" s="21">
        <v>1.0365677933192801</v>
      </c>
      <c r="G368" s="4">
        <v>0.54400000000000004</v>
      </c>
      <c r="H368" s="4">
        <v>0.391975308641975</v>
      </c>
      <c r="I368" s="4">
        <v>8.6999999999999994E-2</v>
      </c>
      <c r="J368" s="4">
        <v>0.124</v>
      </c>
      <c r="K368" s="5">
        <v>0</v>
      </c>
      <c r="L368" s="5">
        <v>100</v>
      </c>
      <c r="M368" s="5">
        <v>100</v>
      </c>
      <c r="N368" s="5">
        <v>100</v>
      </c>
      <c r="O368" s="2">
        <v>0.78526246946775102</v>
      </c>
      <c r="P368" s="2">
        <v>0.49753978705434043</v>
      </c>
      <c r="Q368" s="2">
        <v>9.1019398387168549E-2</v>
      </c>
      <c r="R368" s="2">
        <v>0.13238918804574562</v>
      </c>
    </row>
    <row r="369" spans="1:18" x14ac:dyDescent="0.3">
      <c r="A369" s="7">
        <v>325</v>
      </c>
      <c r="B369" s="7">
        <v>72</v>
      </c>
      <c r="C369" s="7">
        <v>0</v>
      </c>
      <c r="D369" s="7">
        <v>0</v>
      </c>
      <c r="E369" s="20" t="str">
        <f t="shared" si="5"/>
        <v>00</v>
      </c>
      <c r="F369" s="21">
        <v>1.0416847072363</v>
      </c>
      <c r="G369" s="4">
        <v>0.53700000000000003</v>
      </c>
      <c r="H369" s="4">
        <v>0.38874680306905401</v>
      </c>
      <c r="I369" s="4">
        <v>0.14699999999999999</v>
      </c>
      <c r="J369" s="4">
        <v>0.14099999999999999</v>
      </c>
      <c r="K369" s="5">
        <v>0</v>
      </c>
      <c r="L369" s="5">
        <v>100</v>
      </c>
      <c r="M369" s="5">
        <v>100</v>
      </c>
      <c r="N369" s="5">
        <v>100</v>
      </c>
      <c r="O369" s="2">
        <v>0.77002822489590306</v>
      </c>
      <c r="P369" s="2">
        <v>0.49224400805385549</v>
      </c>
      <c r="Q369" s="2">
        <v>0.15899573149045795</v>
      </c>
      <c r="R369" s="2">
        <v>0.15198635699788171</v>
      </c>
    </row>
    <row r="370" spans="1:18" x14ac:dyDescent="0.3">
      <c r="A370" s="7">
        <v>96</v>
      </c>
      <c r="B370" s="7">
        <v>237</v>
      </c>
      <c r="C370" s="7">
        <v>0</v>
      </c>
      <c r="D370" s="7">
        <v>0</v>
      </c>
      <c r="E370" s="20" t="str">
        <f t="shared" si="5"/>
        <v>00</v>
      </c>
      <c r="F370" s="21">
        <v>1.0545920490587599</v>
      </c>
      <c r="G370" s="4">
        <v>0.438</v>
      </c>
      <c r="H370" s="4">
        <v>0.36748329621380799</v>
      </c>
      <c r="I370" s="4">
        <v>0.17799999999999999</v>
      </c>
      <c r="J370" s="4">
        <v>0.155</v>
      </c>
      <c r="K370" s="5">
        <v>100</v>
      </c>
      <c r="L370" s="5">
        <v>100</v>
      </c>
      <c r="M370" s="5">
        <v>100</v>
      </c>
      <c r="N370" s="5">
        <v>100</v>
      </c>
      <c r="O370" s="2">
        <v>0.5762534290884459</v>
      </c>
      <c r="P370" s="2">
        <v>0.45804864958104741</v>
      </c>
      <c r="Q370" s="2">
        <v>0.19601488392595706</v>
      </c>
      <c r="R370" s="2">
        <v>0.16841865162496325</v>
      </c>
    </row>
    <row r="371" spans="1:18" x14ac:dyDescent="0.3">
      <c r="A371" s="7">
        <v>29</v>
      </c>
      <c r="B371" s="7">
        <v>61</v>
      </c>
      <c r="C371" s="7">
        <v>0</v>
      </c>
      <c r="D371" s="7">
        <v>0</v>
      </c>
      <c r="E371" s="20" t="str">
        <f t="shared" si="5"/>
        <v>00</v>
      </c>
      <c r="F371" s="21">
        <v>1.0582676590362501</v>
      </c>
      <c r="G371" s="4">
        <v>0.59199999999999997</v>
      </c>
      <c r="H371" s="4">
        <v>0.449315068493151</v>
      </c>
      <c r="I371" s="4">
        <v>0.191</v>
      </c>
      <c r="J371" s="4">
        <v>0.19800000000000001</v>
      </c>
      <c r="K371" s="5">
        <v>0</v>
      </c>
      <c r="L371" s="5">
        <v>100</v>
      </c>
      <c r="M371" s="5">
        <v>100</v>
      </c>
      <c r="N371" s="5">
        <v>100</v>
      </c>
      <c r="O371" s="2">
        <v>0.89648810457797523</v>
      </c>
      <c r="P371" s="2">
        <v>0.59659244552341639</v>
      </c>
      <c r="Q371" s="2">
        <v>0.21195636192364545</v>
      </c>
      <c r="R371" s="2">
        <v>0.2206466711156225</v>
      </c>
    </row>
    <row r="372" spans="1:18" x14ac:dyDescent="0.3">
      <c r="A372" s="7">
        <v>1000</v>
      </c>
      <c r="B372" s="7">
        <v>80</v>
      </c>
      <c r="C372" s="7">
        <v>0</v>
      </c>
      <c r="D372" s="7">
        <v>0</v>
      </c>
      <c r="E372" s="20" t="str">
        <f t="shared" si="5"/>
        <v>00</v>
      </c>
      <c r="F372" s="21">
        <v>1.05936823601593</v>
      </c>
      <c r="G372" s="4">
        <v>0.46800000000000003</v>
      </c>
      <c r="H372" s="4">
        <v>0.31632653061224503</v>
      </c>
      <c r="I372" s="4">
        <v>0.91</v>
      </c>
      <c r="J372" s="4">
        <v>0.878</v>
      </c>
      <c r="K372" s="5">
        <v>100</v>
      </c>
      <c r="L372" s="5">
        <v>100</v>
      </c>
      <c r="M372" s="5">
        <v>0</v>
      </c>
      <c r="N372" s="5">
        <v>0</v>
      </c>
      <c r="O372" s="2">
        <v>0.63111178964049264</v>
      </c>
      <c r="P372" s="2">
        <v>0.38027485927960603</v>
      </c>
      <c r="Q372" s="2">
        <v>2.4079456086518722</v>
      </c>
      <c r="R372" s="2">
        <v>2.1037342342488805</v>
      </c>
    </row>
    <row r="373" spans="1:18" x14ac:dyDescent="0.3">
      <c r="A373" s="7">
        <v>971</v>
      </c>
      <c r="B373" s="7">
        <v>91</v>
      </c>
      <c r="C373" s="7">
        <v>0</v>
      </c>
      <c r="D373" s="7">
        <v>0</v>
      </c>
      <c r="E373" s="20" t="str">
        <f t="shared" si="5"/>
        <v>00</v>
      </c>
      <c r="F373" s="21">
        <v>1.0678196585794599</v>
      </c>
      <c r="G373" s="4">
        <v>0.67100000000000004</v>
      </c>
      <c r="H373" s="4">
        <v>0.52662721893491105</v>
      </c>
      <c r="I373" s="4">
        <v>0.22600000000000001</v>
      </c>
      <c r="J373" s="4">
        <v>0.26200000000000001</v>
      </c>
      <c r="K373" s="5">
        <v>0</v>
      </c>
      <c r="L373" s="5">
        <v>0</v>
      </c>
      <c r="M373" s="5">
        <v>100</v>
      </c>
      <c r="N373" s="5">
        <v>100</v>
      </c>
      <c r="O373" s="2">
        <v>1.1116975282167654</v>
      </c>
      <c r="P373" s="2">
        <v>0.7478720802491915</v>
      </c>
      <c r="Q373" s="2">
        <v>0.25618340539240991</v>
      </c>
      <c r="R373" s="2">
        <v>0.30381145438166457</v>
      </c>
    </row>
    <row r="374" spans="1:18" x14ac:dyDescent="0.3">
      <c r="A374" s="7">
        <v>937</v>
      </c>
      <c r="B374" s="7">
        <v>85</v>
      </c>
      <c r="C374" s="7">
        <v>0</v>
      </c>
      <c r="D374" s="7">
        <v>0</v>
      </c>
      <c r="E374" s="20" t="str">
        <f t="shared" si="5"/>
        <v>00</v>
      </c>
      <c r="F374" s="21">
        <v>1.0801185127834101</v>
      </c>
      <c r="G374" s="4">
        <v>0.40400000000000003</v>
      </c>
      <c r="H374" s="4">
        <v>0.317460317460317</v>
      </c>
      <c r="I374" s="4">
        <v>0.14799999999999999</v>
      </c>
      <c r="J374" s="4">
        <v>0.127</v>
      </c>
      <c r="K374" s="5">
        <v>100</v>
      </c>
      <c r="L374" s="5">
        <v>100</v>
      </c>
      <c r="M374" s="5">
        <v>100</v>
      </c>
      <c r="N374" s="5">
        <v>100</v>
      </c>
      <c r="O374" s="2">
        <v>0.51751461191678738</v>
      </c>
      <c r="P374" s="2">
        <v>0.38193461069796958</v>
      </c>
      <c r="Q374" s="2">
        <v>0.16016875215282134</v>
      </c>
      <c r="R374" s="2">
        <v>0.13581972314253485</v>
      </c>
    </row>
    <row r="375" spans="1:18" x14ac:dyDescent="0.3">
      <c r="A375" s="7">
        <v>798</v>
      </c>
      <c r="B375" s="7">
        <v>55</v>
      </c>
      <c r="C375" s="7">
        <v>0</v>
      </c>
      <c r="D375" s="7">
        <v>0</v>
      </c>
      <c r="E375" s="20" t="str">
        <f t="shared" si="5"/>
        <v>00</v>
      </c>
      <c r="F375" s="21">
        <v>1.09966030840512</v>
      </c>
      <c r="G375" s="4">
        <v>0.58499999999999996</v>
      </c>
      <c r="H375" s="4">
        <v>0.47132169576059901</v>
      </c>
      <c r="I375" s="4">
        <v>0.111</v>
      </c>
      <c r="J375" s="4">
        <v>0.113</v>
      </c>
      <c r="K375" s="5">
        <v>0</v>
      </c>
      <c r="L375" s="5">
        <v>100</v>
      </c>
      <c r="M375" s="5">
        <v>100</v>
      </c>
      <c r="N375" s="5">
        <v>100</v>
      </c>
      <c r="O375" s="2">
        <v>0.87947675875143871</v>
      </c>
      <c r="P375" s="2">
        <v>0.63737515263455768</v>
      </c>
      <c r="Q375" s="2">
        <v>0.11765804346823246</v>
      </c>
      <c r="R375" s="2">
        <v>0.11991029667255755</v>
      </c>
    </row>
    <row r="376" spans="1:18" x14ac:dyDescent="0.3">
      <c r="A376" s="7">
        <v>113</v>
      </c>
      <c r="B376" s="7">
        <v>69</v>
      </c>
      <c r="C376" s="7">
        <v>0</v>
      </c>
      <c r="D376" s="7">
        <v>0</v>
      </c>
      <c r="E376" s="20" t="str">
        <f t="shared" si="5"/>
        <v>00</v>
      </c>
      <c r="F376" s="21">
        <v>1.10165835345911</v>
      </c>
      <c r="G376" s="4">
        <v>0.59799999999999998</v>
      </c>
      <c r="H376" s="4">
        <v>0.47169811320754701</v>
      </c>
      <c r="I376" s="4">
        <v>0.54500000000000004</v>
      </c>
      <c r="J376" s="4">
        <v>0.50800000000000001</v>
      </c>
      <c r="K376" s="5">
        <v>0</v>
      </c>
      <c r="L376" s="5">
        <v>100</v>
      </c>
      <c r="M376" s="5">
        <v>0</v>
      </c>
      <c r="N376" s="5">
        <v>0</v>
      </c>
      <c r="O376" s="2">
        <v>0.91130319036311591</v>
      </c>
      <c r="P376" s="2">
        <v>0.63808740337691772</v>
      </c>
      <c r="Q376" s="2">
        <v>0.78745786003118667</v>
      </c>
      <c r="R376" s="2">
        <v>0.70927656248982895</v>
      </c>
    </row>
    <row r="377" spans="1:18" x14ac:dyDescent="0.3">
      <c r="A377" s="7">
        <v>451</v>
      </c>
      <c r="B377" s="7">
        <v>78</v>
      </c>
      <c r="C377" s="7">
        <v>0</v>
      </c>
      <c r="D377" s="7">
        <v>0</v>
      </c>
      <c r="E377" s="20" t="str">
        <f t="shared" si="5"/>
        <v>00</v>
      </c>
      <c r="F377" s="21">
        <v>1.11577853458476</v>
      </c>
      <c r="G377" s="4">
        <v>0.44900000000000001</v>
      </c>
      <c r="H377" s="4">
        <v>0.39351851851851899</v>
      </c>
      <c r="I377" s="4">
        <v>0.191</v>
      </c>
      <c r="J377" s="4">
        <v>0.16200000000000001</v>
      </c>
      <c r="K377" s="5">
        <v>100</v>
      </c>
      <c r="L377" s="5">
        <v>100</v>
      </c>
      <c r="M377" s="5">
        <v>100</v>
      </c>
      <c r="N377" s="5">
        <v>100</v>
      </c>
      <c r="O377" s="2">
        <v>0.59602046982922263</v>
      </c>
      <c r="P377" s="2">
        <v>0.50008108448301436</v>
      </c>
      <c r="Q377" s="2">
        <v>0.21195636192364545</v>
      </c>
      <c r="R377" s="2">
        <v>0.17673717850005405</v>
      </c>
    </row>
    <row r="378" spans="1:18" x14ac:dyDescent="0.3">
      <c r="A378" s="7">
        <v>956</v>
      </c>
      <c r="B378" s="7">
        <v>102</v>
      </c>
      <c r="C378" s="7">
        <v>0</v>
      </c>
      <c r="D378" s="7">
        <v>0</v>
      </c>
      <c r="E378" s="20" t="str">
        <f t="shared" si="5"/>
        <v>00</v>
      </c>
      <c r="F378" s="21">
        <v>1.1304501949307899</v>
      </c>
      <c r="G378" s="4">
        <v>0.80900000000000005</v>
      </c>
      <c r="H378" s="4">
        <v>0.69774919614147901</v>
      </c>
      <c r="I378" s="4">
        <v>0.26100000000000001</v>
      </c>
      <c r="J378" s="4">
        <v>0.25</v>
      </c>
      <c r="K378" s="5">
        <v>0</v>
      </c>
      <c r="L378" s="5">
        <v>0</v>
      </c>
      <c r="M378" s="5">
        <v>100</v>
      </c>
      <c r="N378" s="5">
        <v>100</v>
      </c>
      <c r="O378" s="2">
        <v>1.6554818509355074</v>
      </c>
      <c r="P378" s="2">
        <v>1.1964981299092299</v>
      </c>
      <c r="Q378" s="2">
        <v>0.30245735803393531</v>
      </c>
      <c r="R378" s="2">
        <v>0.2876820724517809</v>
      </c>
    </row>
    <row r="379" spans="1:18" x14ac:dyDescent="0.3">
      <c r="A379" s="7">
        <v>878</v>
      </c>
      <c r="B379" s="7">
        <v>72</v>
      </c>
      <c r="C379" s="7">
        <v>0</v>
      </c>
      <c r="D379" s="7">
        <v>0</v>
      </c>
      <c r="E379" s="20" t="str">
        <f t="shared" si="5"/>
        <v>00</v>
      </c>
      <c r="F379" s="21">
        <v>1.16599495587008</v>
      </c>
      <c r="G379" s="4">
        <v>0.65900000000000003</v>
      </c>
      <c r="H379" s="4">
        <v>0.53185595567866994</v>
      </c>
      <c r="I379" s="4">
        <v>0.221</v>
      </c>
      <c r="J379" s="4">
        <v>0.188</v>
      </c>
      <c r="K379" s="5">
        <v>0</v>
      </c>
      <c r="L379" s="5">
        <v>0</v>
      </c>
      <c r="M379" s="5">
        <v>100</v>
      </c>
      <c r="N379" s="5">
        <v>100</v>
      </c>
      <c r="O379" s="2">
        <v>1.0758728016986203</v>
      </c>
      <c r="P379" s="2">
        <v>0.7589792434098066</v>
      </c>
      <c r="Q379" s="2">
        <v>0.24974423311138874</v>
      </c>
      <c r="R379" s="2">
        <v>0.20825493882045903</v>
      </c>
    </row>
    <row r="380" spans="1:18" x14ac:dyDescent="0.3">
      <c r="A380" s="7">
        <v>385</v>
      </c>
      <c r="B380" s="7">
        <v>82</v>
      </c>
      <c r="C380" s="7">
        <v>0</v>
      </c>
      <c r="D380" s="7">
        <v>0</v>
      </c>
      <c r="E380" s="20" t="str">
        <f t="shared" si="5"/>
        <v>00</v>
      </c>
      <c r="F380" s="21">
        <v>1.16783759660872</v>
      </c>
      <c r="G380" s="4">
        <v>0.73</v>
      </c>
      <c r="H380" s="4">
        <v>0.57012195121951204</v>
      </c>
      <c r="I380" s="4">
        <v>0.13300000000000001</v>
      </c>
      <c r="J380" s="4">
        <v>0.14299999999999999</v>
      </c>
      <c r="K380" s="5">
        <v>0</v>
      </c>
      <c r="L380" s="5">
        <v>0</v>
      </c>
      <c r="M380" s="5">
        <v>100</v>
      </c>
      <c r="N380" s="5">
        <v>100</v>
      </c>
      <c r="O380" s="2">
        <v>1.3093333199837622</v>
      </c>
      <c r="P380" s="2">
        <v>0.84425371800597504</v>
      </c>
      <c r="Q380" s="2">
        <v>0.1427163022015952</v>
      </c>
      <c r="R380" s="2">
        <v>0.15431736038435728</v>
      </c>
    </row>
    <row r="381" spans="1:18" x14ac:dyDescent="0.3">
      <c r="A381" s="7">
        <v>197</v>
      </c>
      <c r="B381" s="7">
        <v>83</v>
      </c>
      <c r="C381" s="7">
        <v>0</v>
      </c>
      <c r="D381" s="7">
        <v>0</v>
      </c>
      <c r="E381" s="20" t="str">
        <f t="shared" si="5"/>
        <v>00</v>
      </c>
      <c r="F381" s="21">
        <v>1.18359193759106</v>
      </c>
      <c r="G381" s="4">
        <v>0.33400000000000002</v>
      </c>
      <c r="H381" s="4">
        <v>0.28540305010893202</v>
      </c>
      <c r="I381" s="4">
        <v>0.17399999999999999</v>
      </c>
      <c r="J381" s="4">
        <v>0.113</v>
      </c>
      <c r="K381" s="5">
        <v>100</v>
      </c>
      <c r="L381" s="5">
        <v>100</v>
      </c>
      <c r="M381" s="5">
        <v>100</v>
      </c>
      <c r="N381" s="5">
        <v>100</v>
      </c>
      <c r="O381" s="2">
        <v>0.40646560844174801</v>
      </c>
      <c r="P381" s="2">
        <v>0.3360366016764007</v>
      </c>
      <c r="Q381" s="2">
        <v>0.1911605054611589</v>
      </c>
      <c r="R381" s="2">
        <v>0.11991029667255755</v>
      </c>
    </row>
    <row r="382" spans="1:18" x14ac:dyDescent="0.3">
      <c r="A382" s="7">
        <v>37</v>
      </c>
      <c r="B382" s="7">
        <v>214</v>
      </c>
      <c r="C382" s="7">
        <v>0</v>
      </c>
      <c r="D382" s="7">
        <v>0</v>
      </c>
      <c r="E382" s="20" t="str">
        <f t="shared" si="5"/>
        <v>00</v>
      </c>
      <c r="F382" s="21">
        <v>1.208251759271</v>
      </c>
      <c r="G382" s="4">
        <v>0.36499999999999999</v>
      </c>
      <c r="H382" s="4">
        <v>0.30973451327433599</v>
      </c>
      <c r="I382" s="4">
        <v>0.21</v>
      </c>
      <c r="J382" s="4">
        <v>0.17599999999999999</v>
      </c>
      <c r="K382" s="5">
        <v>100</v>
      </c>
      <c r="L382" s="5">
        <v>100</v>
      </c>
      <c r="M382" s="5">
        <v>100</v>
      </c>
      <c r="N382" s="5">
        <v>100</v>
      </c>
      <c r="O382" s="2">
        <v>0.45413028008944539</v>
      </c>
      <c r="P382" s="2">
        <v>0.3706789920227484</v>
      </c>
      <c r="Q382" s="2">
        <v>0.23572233352106983</v>
      </c>
      <c r="R382" s="2">
        <v>0.19358474907266526</v>
      </c>
    </row>
    <row r="383" spans="1:18" x14ac:dyDescent="0.3">
      <c r="A383" s="7">
        <v>685</v>
      </c>
      <c r="B383" s="7">
        <v>58</v>
      </c>
      <c r="C383" s="7">
        <v>0</v>
      </c>
      <c r="D383" s="7">
        <v>0</v>
      </c>
      <c r="E383" s="20" t="str">
        <f t="shared" si="5"/>
        <v>00</v>
      </c>
      <c r="F383" s="21">
        <v>1.20958878761382</v>
      </c>
      <c r="G383" s="4">
        <v>0.37</v>
      </c>
      <c r="H383" s="4">
        <v>0.331168831168831</v>
      </c>
      <c r="I383" s="4">
        <v>0.214</v>
      </c>
      <c r="J383" s="4">
        <v>0.152</v>
      </c>
      <c r="K383" s="5">
        <v>100</v>
      </c>
      <c r="L383" s="5">
        <v>100</v>
      </c>
      <c r="M383" s="5">
        <v>100</v>
      </c>
      <c r="N383" s="5">
        <v>100</v>
      </c>
      <c r="O383" s="2">
        <v>0.46203545959655867</v>
      </c>
      <c r="P383" s="2">
        <v>0.40222361418399316</v>
      </c>
      <c r="Q383" s="2">
        <v>0.24079848655293046</v>
      </c>
      <c r="R383" s="2">
        <v>0.16487464319023401</v>
      </c>
    </row>
    <row r="384" spans="1:18" x14ac:dyDescent="0.3">
      <c r="A384" s="7">
        <v>51</v>
      </c>
      <c r="B384" s="7">
        <v>67</v>
      </c>
      <c r="C384" s="7">
        <v>0</v>
      </c>
      <c r="D384" s="7">
        <v>0</v>
      </c>
      <c r="E384" s="20" t="str">
        <f t="shared" si="5"/>
        <v>00</v>
      </c>
      <c r="F384" s="21">
        <v>1.2141957301426201</v>
      </c>
      <c r="G384" s="4">
        <v>0.495</v>
      </c>
      <c r="H384" s="4">
        <v>0.35</v>
      </c>
      <c r="I384" s="4">
        <v>0.17899999999999999</v>
      </c>
      <c r="J384" s="4">
        <v>0.183</v>
      </c>
      <c r="K384" s="5">
        <v>100</v>
      </c>
      <c r="L384" s="5">
        <v>100</v>
      </c>
      <c r="M384" s="5">
        <v>100</v>
      </c>
      <c r="N384" s="5">
        <v>100</v>
      </c>
      <c r="O384" s="2">
        <v>0.68319684970677719</v>
      </c>
      <c r="P384" s="2">
        <v>0.43078291609245423</v>
      </c>
      <c r="Q384" s="2">
        <v>0.1972321695297089</v>
      </c>
      <c r="R384" s="2">
        <v>0.20211618412213422</v>
      </c>
    </row>
    <row r="385" spans="1:18" x14ac:dyDescent="0.3">
      <c r="A385" s="7">
        <v>416</v>
      </c>
      <c r="B385" s="7">
        <v>359</v>
      </c>
      <c r="C385" s="7">
        <v>0</v>
      </c>
      <c r="D385" s="7">
        <v>0</v>
      </c>
      <c r="E385" s="20" t="str">
        <f t="shared" si="5"/>
        <v>00</v>
      </c>
      <c r="F385" s="21">
        <v>1.2233610908546699</v>
      </c>
      <c r="G385" s="4">
        <v>0.68799999999999994</v>
      </c>
      <c r="H385" s="4">
        <v>0.53664921465968596</v>
      </c>
      <c r="I385" s="4">
        <v>0.12</v>
      </c>
      <c r="J385" s="4">
        <v>0.18099999999999999</v>
      </c>
      <c r="K385" s="5">
        <v>0</v>
      </c>
      <c r="L385" s="5">
        <v>0</v>
      </c>
      <c r="M385" s="5">
        <v>100</v>
      </c>
      <c r="N385" s="5">
        <v>100</v>
      </c>
      <c r="O385" s="2">
        <v>1.1647520911726545</v>
      </c>
      <c r="P385" s="2">
        <v>0.76927087603274624</v>
      </c>
      <c r="Q385" s="2">
        <v>0.12783337150988489</v>
      </c>
      <c r="R385" s="2">
        <v>0.1996711951290677</v>
      </c>
    </row>
    <row r="386" spans="1:18" x14ac:dyDescent="0.3">
      <c r="A386" s="7">
        <v>222</v>
      </c>
      <c r="B386" s="7">
        <v>61</v>
      </c>
      <c r="C386" s="7">
        <v>0</v>
      </c>
      <c r="D386" s="7">
        <v>0</v>
      </c>
      <c r="E386" s="20" t="str">
        <f t="shared" ref="E386:E449" si="6">_xlfn.CONCAT(C386,D386)</f>
        <v>00</v>
      </c>
      <c r="F386" s="21">
        <v>1.23422152093029</v>
      </c>
      <c r="G386" s="4">
        <v>0.63700000000000001</v>
      </c>
      <c r="H386" s="4">
        <v>0.51813471502590702</v>
      </c>
      <c r="I386" s="4">
        <v>0.754</v>
      </c>
      <c r="J386" s="4">
        <v>0.627</v>
      </c>
      <c r="K386" s="5">
        <v>0</v>
      </c>
      <c r="L386" s="5">
        <v>0</v>
      </c>
      <c r="M386" s="5">
        <v>0</v>
      </c>
      <c r="N386" s="5">
        <v>0</v>
      </c>
      <c r="O386" s="2">
        <v>1.0133524447172864</v>
      </c>
      <c r="P386" s="2">
        <v>0.73009069575163021</v>
      </c>
      <c r="Q386" s="2">
        <v>1.4024237430497744</v>
      </c>
      <c r="R386" s="2">
        <v>0.98617685933832155</v>
      </c>
    </row>
    <row r="387" spans="1:18" x14ac:dyDescent="0.3">
      <c r="A387" s="7">
        <v>483</v>
      </c>
      <c r="B387" s="7">
        <v>61</v>
      </c>
      <c r="C387" s="7">
        <v>0</v>
      </c>
      <c r="D387" s="7">
        <v>0</v>
      </c>
      <c r="E387" s="20" t="str">
        <f t="shared" si="6"/>
        <v>00</v>
      </c>
      <c r="F387" s="21">
        <v>1.2424337401380099</v>
      </c>
      <c r="G387" s="4">
        <v>0.59399999999999997</v>
      </c>
      <c r="H387" s="4">
        <v>0.44715447154471499</v>
      </c>
      <c r="I387" s="4">
        <v>0.41699999999999998</v>
      </c>
      <c r="J387" s="4">
        <v>0.376</v>
      </c>
      <c r="K387" s="5">
        <v>0</v>
      </c>
      <c r="L387" s="5">
        <v>100</v>
      </c>
      <c r="M387" s="5">
        <v>100</v>
      </c>
      <c r="N387" s="5">
        <v>100</v>
      </c>
      <c r="O387" s="2">
        <v>0.90140211938040438</v>
      </c>
      <c r="P387" s="2">
        <v>0.59267665019631</v>
      </c>
      <c r="Q387" s="2">
        <v>0.53956809263164474</v>
      </c>
      <c r="R387" s="2">
        <v>0.47160491061270937</v>
      </c>
    </row>
    <row r="388" spans="1:18" x14ac:dyDescent="0.3">
      <c r="A388" s="7">
        <v>117</v>
      </c>
      <c r="B388" s="7">
        <v>48</v>
      </c>
      <c r="C388" s="7">
        <v>0</v>
      </c>
      <c r="D388" s="7">
        <v>0</v>
      </c>
      <c r="E388" s="20" t="str">
        <f t="shared" si="6"/>
        <v>00</v>
      </c>
      <c r="F388" s="21">
        <v>1.24726046397197</v>
      </c>
      <c r="G388" s="4">
        <v>0.32700000000000001</v>
      </c>
      <c r="H388" s="4">
        <v>0.296296296296296</v>
      </c>
      <c r="I388" s="4">
        <v>0.18</v>
      </c>
      <c r="J388" s="4">
        <v>0.14000000000000001</v>
      </c>
      <c r="K388" s="5">
        <v>100</v>
      </c>
      <c r="L388" s="5">
        <v>100</v>
      </c>
      <c r="M388" s="5">
        <v>100</v>
      </c>
      <c r="N388" s="5">
        <v>100</v>
      </c>
      <c r="O388" s="2">
        <v>0.39600994933740918</v>
      </c>
      <c r="P388" s="2">
        <v>0.35139788683788825</v>
      </c>
      <c r="Q388" s="2">
        <v>0.19845093872383818</v>
      </c>
      <c r="R388" s="2">
        <v>0.15082288973458366</v>
      </c>
    </row>
    <row r="389" spans="1:18" x14ac:dyDescent="0.3">
      <c r="A389" s="7">
        <v>415</v>
      </c>
      <c r="B389" s="7">
        <v>70</v>
      </c>
      <c r="C389" s="7">
        <v>0</v>
      </c>
      <c r="D389" s="7">
        <v>0</v>
      </c>
      <c r="E389" s="20" t="str">
        <f t="shared" si="6"/>
        <v>00</v>
      </c>
      <c r="F389" s="21">
        <v>1.2535878724649501</v>
      </c>
      <c r="G389" s="4">
        <v>0.40300000000000002</v>
      </c>
      <c r="H389" s="4">
        <v>0.31900452488687803</v>
      </c>
      <c r="I389" s="4">
        <v>0.19700000000000001</v>
      </c>
      <c r="J389" s="4">
        <v>0.20599999999999999</v>
      </c>
      <c r="K389" s="5">
        <v>100</v>
      </c>
      <c r="L389" s="5">
        <v>100</v>
      </c>
      <c r="M389" s="5">
        <v>100</v>
      </c>
      <c r="N389" s="5">
        <v>100</v>
      </c>
      <c r="O389" s="2">
        <v>0.51583816558953499</v>
      </c>
      <c r="P389" s="2">
        <v>0.38419961732882268</v>
      </c>
      <c r="Q389" s="2">
        <v>0.21940056503537547</v>
      </c>
      <c r="R389" s="2">
        <v>0.23067181773500128</v>
      </c>
    </row>
    <row r="390" spans="1:18" x14ac:dyDescent="0.3">
      <c r="A390" s="7">
        <v>63</v>
      </c>
      <c r="B390" s="7">
        <v>69</v>
      </c>
      <c r="C390" s="7">
        <v>0</v>
      </c>
      <c r="D390" s="7">
        <v>0</v>
      </c>
      <c r="E390" s="20" t="str">
        <f t="shared" si="6"/>
        <v>00</v>
      </c>
      <c r="F390" s="21">
        <v>1.25989862270357</v>
      </c>
      <c r="G390" s="4">
        <v>0.56899999999999995</v>
      </c>
      <c r="H390" s="4">
        <v>0.45905707196029799</v>
      </c>
      <c r="I390" s="4">
        <v>0.68799999999999994</v>
      </c>
      <c r="J390" s="4">
        <v>0.51600000000000001</v>
      </c>
      <c r="K390" s="5">
        <v>0</v>
      </c>
      <c r="L390" s="5">
        <v>100</v>
      </c>
      <c r="M390" s="5">
        <v>0</v>
      </c>
      <c r="N390" s="5">
        <v>0</v>
      </c>
      <c r="O390" s="2">
        <v>0.84164718887838919</v>
      </c>
      <c r="P390" s="2">
        <v>0.61444149915759438</v>
      </c>
      <c r="Q390" s="2">
        <v>1.1647520911726545</v>
      </c>
      <c r="R390" s="2">
        <v>0.72567037226550535</v>
      </c>
    </row>
    <row r="391" spans="1:18" x14ac:dyDescent="0.3">
      <c r="A391" s="7">
        <v>739</v>
      </c>
      <c r="B391" s="7">
        <v>48</v>
      </c>
      <c r="C391" s="7">
        <v>0</v>
      </c>
      <c r="D391" s="7">
        <v>0</v>
      </c>
      <c r="E391" s="20" t="str">
        <f t="shared" si="6"/>
        <v>00</v>
      </c>
      <c r="F391" s="21">
        <v>1.2625504155553799</v>
      </c>
      <c r="G391" s="4">
        <v>0.47599999999999998</v>
      </c>
      <c r="H391" s="4">
        <v>0.41025641025641002</v>
      </c>
      <c r="I391" s="4">
        <v>0.156</v>
      </c>
      <c r="J391" s="4">
        <v>0.11600000000000001</v>
      </c>
      <c r="K391" s="5">
        <v>100</v>
      </c>
      <c r="L391" s="5">
        <v>100</v>
      </c>
      <c r="M391" s="5">
        <v>100</v>
      </c>
      <c r="N391" s="5">
        <v>100</v>
      </c>
      <c r="O391" s="2">
        <v>0.64626359466109484</v>
      </c>
      <c r="P391" s="2">
        <v>0.52806743020049629</v>
      </c>
      <c r="Q391" s="2">
        <v>0.16960278438617998</v>
      </c>
      <c r="R391" s="2">
        <v>0.1232982163444936</v>
      </c>
    </row>
    <row r="392" spans="1:18" x14ac:dyDescent="0.3">
      <c r="A392" s="7">
        <v>552</v>
      </c>
      <c r="B392" s="7">
        <v>47</v>
      </c>
      <c r="C392" s="7">
        <v>0</v>
      </c>
      <c r="D392" s="7">
        <v>0</v>
      </c>
      <c r="E392" s="20" t="str">
        <f t="shared" si="6"/>
        <v>00</v>
      </c>
      <c r="F392" s="21">
        <v>1.2852278198175799</v>
      </c>
      <c r="G392" s="4">
        <v>0.505</v>
      </c>
      <c r="H392" s="4">
        <v>0.392344497607655</v>
      </c>
      <c r="I392" s="4">
        <v>0.28499999999999998</v>
      </c>
      <c r="J392" s="4">
        <v>0.20799999999999999</v>
      </c>
      <c r="K392" s="5">
        <v>0</v>
      </c>
      <c r="L392" s="5">
        <v>100</v>
      </c>
      <c r="M392" s="5">
        <v>100</v>
      </c>
      <c r="N392" s="5">
        <v>100</v>
      </c>
      <c r="O392" s="2">
        <v>0.70319751641344674</v>
      </c>
      <c r="P392" s="2">
        <v>0.4981471655062189</v>
      </c>
      <c r="Q392" s="2">
        <v>0.33547273628812929</v>
      </c>
      <c r="R392" s="2">
        <v>0.23319388716771114</v>
      </c>
    </row>
    <row r="393" spans="1:18" x14ac:dyDescent="0.3">
      <c r="A393" s="7">
        <v>510</v>
      </c>
      <c r="B393" s="7">
        <v>145</v>
      </c>
      <c r="C393" s="7">
        <v>0</v>
      </c>
      <c r="D393" s="7">
        <v>0</v>
      </c>
      <c r="E393" s="20" t="str">
        <f t="shared" si="6"/>
        <v>00</v>
      </c>
      <c r="F393" s="21">
        <v>1.30008723741212</v>
      </c>
      <c r="G393" s="4">
        <v>0.6</v>
      </c>
      <c r="H393" s="4">
        <v>0.45308310991957101</v>
      </c>
      <c r="I393" s="4">
        <v>0.23400000000000001</v>
      </c>
      <c r="J393" s="4">
        <v>0.219</v>
      </c>
      <c r="K393" s="5">
        <v>0</v>
      </c>
      <c r="L393" s="5">
        <v>100</v>
      </c>
      <c r="M393" s="5">
        <v>100</v>
      </c>
      <c r="N393" s="5">
        <v>100</v>
      </c>
      <c r="O393" s="2">
        <v>0.916290731874155</v>
      </c>
      <c r="P393" s="2">
        <v>0.60345842579959907</v>
      </c>
      <c r="Q393" s="2">
        <v>0.26657310924154576</v>
      </c>
      <c r="R393" s="2">
        <v>0.24718012914245105</v>
      </c>
    </row>
    <row r="394" spans="1:18" x14ac:dyDescent="0.3">
      <c r="A394" s="7">
        <v>892</v>
      </c>
      <c r="B394" s="7">
        <v>57</v>
      </c>
      <c r="C394" s="7">
        <v>0</v>
      </c>
      <c r="D394" s="7">
        <v>0</v>
      </c>
      <c r="E394" s="20" t="str">
        <f t="shared" si="6"/>
        <v>00</v>
      </c>
      <c r="F394" s="21">
        <v>1.31578877819017</v>
      </c>
      <c r="G394" s="4">
        <v>0.33900000000000002</v>
      </c>
      <c r="H394" s="4">
        <v>0.31533477321814302</v>
      </c>
      <c r="I394" s="4">
        <v>0.188</v>
      </c>
      <c r="J394" s="4">
        <v>0.155</v>
      </c>
      <c r="K394" s="5">
        <v>100</v>
      </c>
      <c r="L394" s="5">
        <v>100</v>
      </c>
      <c r="M394" s="5">
        <v>100</v>
      </c>
      <c r="N394" s="5">
        <v>100</v>
      </c>
      <c r="O394" s="2">
        <v>0.41400143913045073</v>
      </c>
      <c r="P394" s="2">
        <v>0.37882528020895423</v>
      </c>
      <c r="Q394" s="2">
        <v>0.20825493882045903</v>
      </c>
      <c r="R394" s="2">
        <v>0.16841865162496325</v>
      </c>
    </row>
    <row r="395" spans="1:18" x14ac:dyDescent="0.3">
      <c r="A395" s="7">
        <v>962</v>
      </c>
      <c r="B395" s="7">
        <v>46</v>
      </c>
      <c r="C395" s="7">
        <v>0</v>
      </c>
      <c r="D395" s="7">
        <v>0</v>
      </c>
      <c r="E395" s="20" t="str">
        <f t="shared" si="6"/>
        <v>00</v>
      </c>
      <c r="F395" s="21">
        <v>1.31758028547152</v>
      </c>
      <c r="G395" s="4">
        <v>0.57199999999999995</v>
      </c>
      <c r="H395" s="4">
        <v>0.38997214484679699</v>
      </c>
      <c r="I395" s="4">
        <v>0.18</v>
      </c>
      <c r="J395" s="4">
        <v>0.16400000000000001</v>
      </c>
      <c r="K395" s="5">
        <v>0</v>
      </c>
      <c r="L395" s="5">
        <v>100</v>
      </c>
      <c r="M395" s="5">
        <v>100</v>
      </c>
      <c r="N395" s="5">
        <v>100</v>
      </c>
      <c r="O395" s="2">
        <v>0.84863208340034013</v>
      </c>
      <c r="P395" s="2">
        <v>0.49425065867177859</v>
      </c>
      <c r="Q395" s="2">
        <v>0.19845093872383818</v>
      </c>
      <c r="R395" s="2">
        <v>0.17912666589743548</v>
      </c>
    </row>
    <row r="396" spans="1:18" x14ac:dyDescent="0.3">
      <c r="A396" s="7">
        <v>519</v>
      </c>
      <c r="B396" s="7">
        <v>45</v>
      </c>
      <c r="C396" s="7">
        <v>0</v>
      </c>
      <c r="D396" s="7">
        <v>0</v>
      </c>
      <c r="E396" s="20" t="str">
        <f t="shared" si="6"/>
        <v>00</v>
      </c>
      <c r="F396" s="21">
        <v>1.31919666320363</v>
      </c>
      <c r="G396" s="4">
        <v>0.57699999999999996</v>
      </c>
      <c r="H396" s="4">
        <v>0.42105263157894701</v>
      </c>
      <c r="I396" s="4">
        <v>0.18</v>
      </c>
      <c r="J396" s="4">
        <v>0.182</v>
      </c>
      <c r="K396" s="5">
        <v>0</v>
      </c>
      <c r="L396" s="5">
        <v>100</v>
      </c>
      <c r="M396" s="5">
        <v>100</v>
      </c>
      <c r="N396" s="5">
        <v>100</v>
      </c>
      <c r="O396" s="2">
        <v>0.86038309993585893</v>
      </c>
      <c r="P396" s="2">
        <v>0.54654370636806926</v>
      </c>
      <c r="Q396" s="2">
        <v>0.19845093872383818</v>
      </c>
      <c r="R396" s="2">
        <v>0.20089294237938993</v>
      </c>
    </row>
    <row r="397" spans="1:18" x14ac:dyDescent="0.3">
      <c r="A397" s="7">
        <v>575</v>
      </c>
      <c r="B397" s="7">
        <v>72</v>
      </c>
      <c r="C397" s="7">
        <v>0</v>
      </c>
      <c r="D397" s="7">
        <v>0</v>
      </c>
      <c r="E397" s="20" t="str">
        <f t="shared" si="6"/>
        <v>00</v>
      </c>
      <c r="F397" s="21">
        <v>1.32880991385948</v>
      </c>
      <c r="G397" s="4">
        <v>0.59699999999999998</v>
      </c>
      <c r="H397" s="4">
        <v>0.463476070528967</v>
      </c>
      <c r="I397" s="4">
        <v>0.23599999999999999</v>
      </c>
      <c r="J397" s="4">
        <v>0.248</v>
      </c>
      <c r="K397" s="5">
        <v>0</v>
      </c>
      <c r="L397" s="5">
        <v>100</v>
      </c>
      <c r="M397" s="5">
        <v>100</v>
      </c>
      <c r="N397" s="5">
        <v>100</v>
      </c>
      <c r="O397" s="2">
        <v>0.90881871703545403</v>
      </c>
      <c r="P397" s="2">
        <v>0.62264411497776484</v>
      </c>
      <c r="Q397" s="2">
        <v>0.26918748981561652</v>
      </c>
      <c r="R397" s="2">
        <v>0.28501895503229724</v>
      </c>
    </row>
    <row r="398" spans="1:18" x14ac:dyDescent="0.3">
      <c r="A398" s="7">
        <v>986</v>
      </c>
      <c r="B398" s="7">
        <v>45</v>
      </c>
      <c r="C398" s="7">
        <v>0</v>
      </c>
      <c r="D398" s="7">
        <v>0</v>
      </c>
      <c r="E398" s="20" t="str">
        <f t="shared" si="6"/>
        <v>00</v>
      </c>
      <c r="F398" s="21">
        <v>1.34510708487333</v>
      </c>
      <c r="G398" s="4">
        <v>0.41</v>
      </c>
      <c r="H398" s="4">
        <v>0.31627906976744202</v>
      </c>
      <c r="I398" s="4">
        <v>0.186</v>
      </c>
      <c r="J398" s="4">
        <v>0.17</v>
      </c>
      <c r="K398" s="5">
        <v>100</v>
      </c>
      <c r="L398" s="5">
        <v>100</v>
      </c>
      <c r="M398" s="5">
        <v>100</v>
      </c>
      <c r="N398" s="5">
        <v>100</v>
      </c>
      <c r="O398" s="2">
        <v>0.52763274208237176</v>
      </c>
      <c r="P398" s="2">
        <v>0.38020544134892675</v>
      </c>
      <c r="Q398" s="2">
        <v>0.20579491297959668</v>
      </c>
      <c r="R398" s="2">
        <v>0.18632957819149348</v>
      </c>
    </row>
    <row r="399" spans="1:18" x14ac:dyDescent="0.3">
      <c r="A399" s="7">
        <v>144</v>
      </c>
      <c r="B399" s="7">
        <v>224</v>
      </c>
      <c r="C399" s="7">
        <v>0</v>
      </c>
      <c r="D399" s="7">
        <v>0</v>
      </c>
      <c r="E399" s="20" t="str">
        <f t="shared" si="6"/>
        <v>00</v>
      </c>
      <c r="F399" s="21">
        <v>1.3503582371248499</v>
      </c>
      <c r="G399" s="4">
        <v>0.46200000000000002</v>
      </c>
      <c r="H399" s="4">
        <v>0.370114942528736</v>
      </c>
      <c r="I399" s="4">
        <v>0.20200000000000001</v>
      </c>
      <c r="J399" s="4">
        <v>0.187</v>
      </c>
      <c r="K399" s="5">
        <v>100</v>
      </c>
      <c r="L399" s="5">
        <v>100</v>
      </c>
      <c r="M399" s="5">
        <v>100</v>
      </c>
      <c r="N399" s="5">
        <v>100</v>
      </c>
      <c r="O399" s="2">
        <v>0.61989671882035258</v>
      </c>
      <c r="P399" s="2">
        <v>0.46221792470061446</v>
      </c>
      <c r="Q399" s="2">
        <v>0.22564668153232822</v>
      </c>
      <c r="R399" s="2">
        <v>0.20702416943432653</v>
      </c>
    </row>
    <row r="400" spans="1:18" x14ac:dyDescent="0.3">
      <c r="A400" s="7">
        <v>781</v>
      </c>
      <c r="B400" s="7">
        <v>53</v>
      </c>
      <c r="C400" s="7">
        <v>0</v>
      </c>
      <c r="D400" s="7">
        <v>0</v>
      </c>
      <c r="E400" s="20" t="str">
        <f t="shared" si="6"/>
        <v>00</v>
      </c>
      <c r="F400" s="21">
        <v>1.3519701292155499</v>
      </c>
      <c r="G400" s="4">
        <v>0.439</v>
      </c>
      <c r="H400" s="4">
        <v>0.35680751173708902</v>
      </c>
      <c r="I400" s="4">
        <v>0.40699999999999997</v>
      </c>
      <c r="J400" s="4">
        <v>0.35099999999999998</v>
      </c>
      <c r="K400" s="5">
        <v>100</v>
      </c>
      <c r="L400" s="5">
        <v>100</v>
      </c>
      <c r="M400" s="5">
        <v>100</v>
      </c>
      <c r="N400" s="5">
        <v>100</v>
      </c>
      <c r="O400" s="2">
        <v>0.57803437345944086</v>
      </c>
      <c r="P400" s="2">
        <v>0.44131123988129994</v>
      </c>
      <c r="Q400" s="2">
        <v>0.5225608799844117</v>
      </c>
      <c r="R400" s="2">
        <v>0.43232256227804705</v>
      </c>
    </row>
    <row r="401" spans="1:18" x14ac:dyDescent="0.3">
      <c r="A401" s="7">
        <v>936</v>
      </c>
      <c r="B401" s="7">
        <v>49</v>
      </c>
      <c r="C401" s="7">
        <v>0</v>
      </c>
      <c r="D401" s="7">
        <v>0</v>
      </c>
      <c r="E401" s="20" t="str">
        <f t="shared" si="6"/>
        <v>00</v>
      </c>
      <c r="F401" s="21">
        <v>1.3562929868842799</v>
      </c>
      <c r="G401" s="4">
        <v>0.38200000000000001</v>
      </c>
      <c r="H401" s="4">
        <v>0.35079726651480603</v>
      </c>
      <c r="I401" s="4">
        <v>0.34</v>
      </c>
      <c r="J401" s="4">
        <v>0.27300000000000002</v>
      </c>
      <c r="K401" s="5">
        <v>100</v>
      </c>
      <c r="L401" s="5">
        <v>100</v>
      </c>
      <c r="M401" s="5">
        <v>100</v>
      </c>
      <c r="N401" s="5">
        <v>100</v>
      </c>
      <c r="O401" s="2">
        <v>0.48126682152444628</v>
      </c>
      <c r="P401" s="2">
        <v>0.43201023280652029</v>
      </c>
      <c r="Q401" s="2">
        <v>0.41551544396166595</v>
      </c>
      <c r="R401" s="2">
        <v>0.31882880144861769</v>
      </c>
    </row>
    <row r="402" spans="1:18" x14ac:dyDescent="0.3">
      <c r="A402" s="7">
        <v>447</v>
      </c>
      <c r="B402" s="7">
        <v>48</v>
      </c>
      <c r="C402" s="7">
        <v>0</v>
      </c>
      <c r="D402" s="7">
        <v>0</v>
      </c>
      <c r="E402" s="20" t="str">
        <f t="shared" si="6"/>
        <v>00</v>
      </c>
      <c r="F402" s="21">
        <v>1.36306702619833</v>
      </c>
      <c r="G402" s="4">
        <v>0.72</v>
      </c>
      <c r="H402" s="4">
        <v>0.54320987654320996</v>
      </c>
      <c r="I402" s="4">
        <v>0.22900000000000001</v>
      </c>
      <c r="J402" s="4">
        <v>0.191</v>
      </c>
      <c r="K402" s="5">
        <v>0</v>
      </c>
      <c r="L402" s="5">
        <v>0</v>
      </c>
      <c r="M402" s="5">
        <v>100</v>
      </c>
      <c r="N402" s="5">
        <v>100</v>
      </c>
      <c r="O402" s="2">
        <v>1.2729656758128873</v>
      </c>
      <c r="P402" s="2">
        <v>0.78353124202821445</v>
      </c>
      <c r="Q402" s="2">
        <v>0.26006690541880756</v>
      </c>
      <c r="R402" s="2">
        <v>0.21195636192364545</v>
      </c>
    </row>
    <row r="403" spans="1:18" x14ac:dyDescent="0.3">
      <c r="A403" s="7">
        <v>106</v>
      </c>
      <c r="B403" s="7">
        <v>80</v>
      </c>
      <c r="C403" s="7">
        <v>0</v>
      </c>
      <c r="D403" s="7">
        <v>0</v>
      </c>
      <c r="E403" s="20" t="str">
        <f t="shared" si="6"/>
        <v>00</v>
      </c>
      <c r="F403" s="21">
        <v>1.3685484527095699</v>
      </c>
      <c r="G403" s="4">
        <v>0.627</v>
      </c>
      <c r="H403" s="4">
        <v>0.492836676217765</v>
      </c>
      <c r="I403" s="4">
        <v>0.182</v>
      </c>
      <c r="J403" s="4">
        <v>0.19500000000000001</v>
      </c>
      <c r="K403" s="5">
        <v>0</v>
      </c>
      <c r="L403" s="5">
        <v>100</v>
      </c>
      <c r="M403" s="5">
        <v>100</v>
      </c>
      <c r="N403" s="5">
        <v>100</v>
      </c>
      <c r="O403" s="2">
        <v>0.98617685933832155</v>
      </c>
      <c r="P403" s="2">
        <v>0.67892218962859785</v>
      </c>
      <c r="Q403" s="2">
        <v>0.20089294237938993</v>
      </c>
      <c r="R403" s="2">
        <v>0.21691300156357377</v>
      </c>
    </row>
    <row r="404" spans="1:18" x14ac:dyDescent="0.3">
      <c r="A404" s="7">
        <v>505</v>
      </c>
      <c r="B404" s="7">
        <v>49</v>
      </c>
      <c r="C404" s="7">
        <v>0</v>
      </c>
      <c r="D404" s="7">
        <v>0</v>
      </c>
      <c r="E404" s="20" t="str">
        <f t="shared" si="6"/>
        <v>00</v>
      </c>
      <c r="F404" s="21">
        <v>1.3823159260681599</v>
      </c>
      <c r="G404" s="4">
        <v>0.43</v>
      </c>
      <c r="H404" s="4">
        <v>0.31400966183574902</v>
      </c>
      <c r="I404" s="4">
        <v>0.23799999999999999</v>
      </c>
      <c r="J404" s="4">
        <v>0.21199999999999999</v>
      </c>
      <c r="K404" s="5">
        <v>100</v>
      </c>
      <c r="L404" s="5">
        <v>100</v>
      </c>
      <c r="M404" s="5">
        <v>100</v>
      </c>
      <c r="N404" s="5">
        <v>100</v>
      </c>
      <c r="O404" s="2">
        <v>0.56211891815354109</v>
      </c>
      <c r="P404" s="2">
        <v>0.37689173566410877</v>
      </c>
      <c r="Q404" s="2">
        <v>0.27180872329549077</v>
      </c>
      <c r="R404" s="2">
        <v>0.23825718912425789</v>
      </c>
    </row>
    <row r="405" spans="1:18" x14ac:dyDescent="0.3">
      <c r="A405" s="7">
        <v>557</v>
      </c>
      <c r="B405" s="7">
        <v>48</v>
      </c>
      <c r="C405" s="7">
        <v>0</v>
      </c>
      <c r="D405" s="7">
        <v>0</v>
      </c>
      <c r="E405" s="20" t="str">
        <f t="shared" si="6"/>
        <v>00</v>
      </c>
      <c r="F405" s="21">
        <v>1.39291433887667</v>
      </c>
      <c r="G405" s="4">
        <v>0.37</v>
      </c>
      <c r="H405" s="4">
        <v>0.31938325991189398</v>
      </c>
      <c r="I405" s="4">
        <v>0.83599999999999997</v>
      </c>
      <c r="J405" s="4">
        <v>0.84699999999999998</v>
      </c>
      <c r="K405" s="5">
        <v>100</v>
      </c>
      <c r="L405" s="5">
        <v>100</v>
      </c>
      <c r="M405" s="5">
        <v>0</v>
      </c>
      <c r="N405" s="5">
        <v>0</v>
      </c>
      <c r="O405" s="2">
        <v>0.46203545959655867</v>
      </c>
      <c r="P405" s="2">
        <v>0.38475592114360208</v>
      </c>
      <c r="Q405" s="2">
        <v>1.8078888511579385</v>
      </c>
      <c r="R405" s="2">
        <v>1.8773173575897015</v>
      </c>
    </row>
    <row r="406" spans="1:18" x14ac:dyDescent="0.3">
      <c r="A406" s="7">
        <v>523</v>
      </c>
      <c r="B406" s="7">
        <v>52</v>
      </c>
      <c r="C406" s="7">
        <v>0</v>
      </c>
      <c r="D406" s="7">
        <v>0</v>
      </c>
      <c r="E406" s="20" t="str">
        <f t="shared" si="6"/>
        <v>00</v>
      </c>
      <c r="F406" s="21">
        <v>1.40118684127355</v>
      </c>
      <c r="G406" s="4">
        <v>0.47099999999999997</v>
      </c>
      <c r="H406" s="4">
        <v>0.40425531914893598</v>
      </c>
      <c r="I406" s="4">
        <v>0.441</v>
      </c>
      <c r="J406" s="4">
        <v>0.435</v>
      </c>
      <c r="K406" s="5">
        <v>100</v>
      </c>
      <c r="L406" s="5">
        <v>100</v>
      </c>
      <c r="M406" s="5">
        <v>100</v>
      </c>
      <c r="N406" s="5">
        <v>100</v>
      </c>
      <c r="O406" s="2">
        <v>0.63676684712383758</v>
      </c>
      <c r="P406" s="2">
        <v>0.51794309153485429</v>
      </c>
      <c r="Q406" s="2">
        <v>0.58160580582703802</v>
      </c>
      <c r="R406" s="2">
        <v>0.57092954783569616</v>
      </c>
    </row>
    <row r="407" spans="1:18" x14ac:dyDescent="0.3">
      <c r="A407" s="7">
        <v>185</v>
      </c>
      <c r="B407" s="7">
        <v>41</v>
      </c>
      <c r="C407" s="7">
        <v>0</v>
      </c>
      <c r="D407" s="7">
        <v>0</v>
      </c>
      <c r="E407" s="20" t="str">
        <f t="shared" si="6"/>
        <v>00</v>
      </c>
      <c r="F407" s="21">
        <v>1.41653757791424</v>
      </c>
      <c r="G407" s="4">
        <v>0.65400000000000003</v>
      </c>
      <c r="H407" s="4">
        <v>0.52824858757062099</v>
      </c>
      <c r="I407" s="4">
        <v>0.26</v>
      </c>
      <c r="J407" s="4">
        <v>0.21299999999999999</v>
      </c>
      <c r="K407" s="5">
        <v>0</v>
      </c>
      <c r="L407" s="5">
        <v>0</v>
      </c>
      <c r="M407" s="5">
        <v>100</v>
      </c>
      <c r="N407" s="5">
        <v>100</v>
      </c>
      <c r="O407" s="2">
        <v>1.0613165039244128</v>
      </c>
      <c r="P407" s="2">
        <v>0.75130310071701834</v>
      </c>
      <c r="Q407" s="2">
        <v>0.30110509278392161</v>
      </c>
      <c r="R407" s="2">
        <v>0.23952703056473379</v>
      </c>
    </row>
    <row r="408" spans="1:18" x14ac:dyDescent="0.3">
      <c r="A408" s="7">
        <v>147</v>
      </c>
      <c r="B408" s="7">
        <v>38</v>
      </c>
      <c r="C408" s="7">
        <v>0</v>
      </c>
      <c r="D408" s="7">
        <v>0</v>
      </c>
      <c r="E408" s="20" t="str">
        <f t="shared" si="6"/>
        <v>00</v>
      </c>
      <c r="F408" s="21">
        <v>1.4364161035482801</v>
      </c>
      <c r="G408" s="4">
        <v>0.67600000000000005</v>
      </c>
      <c r="H408" s="4">
        <v>0.46153846153846201</v>
      </c>
      <c r="I408" s="4">
        <v>0.29399999999999998</v>
      </c>
      <c r="J408" s="4">
        <v>0.27700000000000002</v>
      </c>
      <c r="K408" s="5">
        <v>0</v>
      </c>
      <c r="L408" s="5">
        <v>100</v>
      </c>
      <c r="M408" s="5">
        <v>100</v>
      </c>
      <c r="N408" s="5">
        <v>100</v>
      </c>
      <c r="O408" s="2">
        <v>1.1270117631898078</v>
      </c>
      <c r="P408" s="2">
        <v>0.61903920840622428</v>
      </c>
      <c r="Q408" s="2">
        <v>0.34814004148889505</v>
      </c>
      <c r="R408" s="2">
        <v>0.32434605682337242</v>
      </c>
    </row>
    <row r="409" spans="1:18" x14ac:dyDescent="0.3">
      <c r="A409" s="7">
        <v>933</v>
      </c>
      <c r="B409" s="7">
        <v>41</v>
      </c>
      <c r="C409" s="7">
        <v>0</v>
      </c>
      <c r="D409" s="7">
        <v>0</v>
      </c>
      <c r="E409" s="20" t="str">
        <f t="shared" si="6"/>
        <v>00</v>
      </c>
      <c r="F409" s="21">
        <v>1.4646245359413701</v>
      </c>
      <c r="G409" s="4">
        <v>0.35099999999999998</v>
      </c>
      <c r="H409" s="4">
        <v>0.32087912087912102</v>
      </c>
      <c r="I409" s="4">
        <v>0.19400000000000001</v>
      </c>
      <c r="J409" s="4">
        <v>0.185</v>
      </c>
      <c r="K409" s="5">
        <v>100</v>
      </c>
      <c r="L409" s="5">
        <v>100</v>
      </c>
      <c r="M409" s="5">
        <v>100</v>
      </c>
      <c r="N409" s="5">
        <v>100</v>
      </c>
      <c r="O409" s="2">
        <v>0.43232256227804705</v>
      </c>
      <c r="P409" s="2">
        <v>0.38695614205320522</v>
      </c>
      <c r="Q409" s="2">
        <v>0.21567153647550871</v>
      </c>
      <c r="R409" s="2">
        <v>0.2045671657412744</v>
      </c>
    </row>
    <row r="410" spans="1:18" x14ac:dyDescent="0.3">
      <c r="A410" s="7">
        <v>42</v>
      </c>
      <c r="B410" s="7">
        <v>271</v>
      </c>
      <c r="C410" s="7">
        <v>0</v>
      </c>
      <c r="D410" s="7">
        <v>0</v>
      </c>
      <c r="E410" s="20" t="str">
        <f t="shared" si="6"/>
        <v>00</v>
      </c>
      <c r="F410" s="21">
        <v>1.4906924901032499</v>
      </c>
      <c r="G410" s="4">
        <v>0.66800000000000004</v>
      </c>
      <c r="H410" s="4">
        <v>0.51032448377581097</v>
      </c>
      <c r="I410" s="4">
        <v>0.27700000000000002</v>
      </c>
      <c r="J410" s="4">
        <v>0.252</v>
      </c>
      <c r="K410" s="5">
        <v>0</v>
      </c>
      <c r="L410" s="5">
        <v>0</v>
      </c>
      <c r="M410" s="5">
        <v>100</v>
      </c>
      <c r="N410" s="5">
        <v>100</v>
      </c>
      <c r="O410" s="2">
        <v>1.1026203100656486</v>
      </c>
      <c r="P410" s="2">
        <v>0.71401231902390649</v>
      </c>
      <c r="Q410" s="2">
        <v>0.32434605682337242</v>
      </c>
      <c r="R410" s="2">
        <v>0.2903523010076598</v>
      </c>
    </row>
    <row r="411" spans="1:18" x14ac:dyDescent="0.3">
      <c r="A411" s="7">
        <v>251</v>
      </c>
      <c r="B411" s="7">
        <v>261</v>
      </c>
      <c r="C411" s="7">
        <v>0</v>
      </c>
      <c r="D411" s="7">
        <v>0</v>
      </c>
      <c r="E411" s="20" t="str">
        <f t="shared" si="6"/>
        <v>00</v>
      </c>
      <c r="F411" s="21">
        <v>1.5200012495640101</v>
      </c>
      <c r="G411" s="4">
        <v>0.434</v>
      </c>
      <c r="H411" s="4">
        <v>0.33409610983981702</v>
      </c>
      <c r="I411" s="4">
        <v>0.64600000000000002</v>
      </c>
      <c r="J411" s="4">
        <v>0.54</v>
      </c>
      <c r="K411" s="5">
        <v>100</v>
      </c>
      <c r="L411" s="5">
        <v>100</v>
      </c>
      <c r="M411" s="5">
        <v>0</v>
      </c>
      <c r="N411" s="5">
        <v>0</v>
      </c>
      <c r="O411" s="2">
        <v>0.56916120077895405</v>
      </c>
      <c r="P411" s="2">
        <v>0.40660992792409767</v>
      </c>
      <c r="Q411" s="2">
        <v>1.0384583658483626</v>
      </c>
      <c r="R411" s="2">
        <v>0.7765287894989964</v>
      </c>
    </row>
    <row r="412" spans="1:18" x14ac:dyDescent="0.3">
      <c r="A412" s="7">
        <v>826</v>
      </c>
      <c r="B412" s="7">
        <v>40</v>
      </c>
      <c r="C412" s="7">
        <v>0</v>
      </c>
      <c r="D412" s="7">
        <v>0</v>
      </c>
      <c r="E412" s="20" t="str">
        <f t="shared" si="6"/>
        <v>00</v>
      </c>
      <c r="F412" s="21">
        <v>1.6394763343137899</v>
      </c>
      <c r="G412" s="4">
        <v>0.52700000000000002</v>
      </c>
      <c r="H412" s="4">
        <v>0.39655172413793099</v>
      </c>
      <c r="I412" s="4">
        <v>0.251</v>
      </c>
      <c r="J412" s="4">
        <v>0.218</v>
      </c>
      <c r="K412" s="5">
        <v>0</v>
      </c>
      <c r="L412" s="5">
        <v>100</v>
      </c>
      <c r="M412" s="5">
        <v>100</v>
      </c>
      <c r="N412" s="5">
        <v>100</v>
      </c>
      <c r="O412" s="2">
        <v>0.74865989049020409</v>
      </c>
      <c r="P412" s="2">
        <v>0.50509494905700569</v>
      </c>
      <c r="Q412" s="2">
        <v>0.28901629546491758</v>
      </c>
      <c r="R412" s="2">
        <v>0.24590053843682594</v>
      </c>
    </row>
    <row r="413" spans="1:18" x14ac:dyDescent="0.3">
      <c r="A413" s="7">
        <v>255</v>
      </c>
      <c r="B413" s="7">
        <v>25</v>
      </c>
      <c r="C413" s="7">
        <v>0</v>
      </c>
      <c r="D413" s="7">
        <v>0</v>
      </c>
      <c r="E413" s="20" t="str">
        <f t="shared" si="6"/>
        <v>00</v>
      </c>
      <c r="F413" s="21">
        <v>1.67691832367254</v>
      </c>
      <c r="G413" s="4">
        <v>0.48699999999999999</v>
      </c>
      <c r="H413" s="4">
        <v>0.35294117647058798</v>
      </c>
      <c r="I413" s="4">
        <v>0.20899999999999999</v>
      </c>
      <c r="J413" s="4">
        <v>0.27400000000000002</v>
      </c>
      <c r="K413" s="5">
        <v>100</v>
      </c>
      <c r="L413" s="5">
        <v>100</v>
      </c>
      <c r="M413" s="5">
        <v>100</v>
      </c>
      <c r="N413" s="5">
        <v>100</v>
      </c>
      <c r="O413" s="2">
        <v>0.66747943381136754</v>
      </c>
      <c r="P413" s="2">
        <v>0.43531807125784516</v>
      </c>
      <c r="Q413" s="2">
        <v>0.23445731121448313</v>
      </c>
      <c r="R413" s="2">
        <v>0.32020526415734102</v>
      </c>
    </row>
    <row r="414" spans="1:18" x14ac:dyDescent="0.3">
      <c r="A414" s="7">
        <v>773</v>
      </c>
      <c r="B414" s="7">
        <v>21</v>
      </c>
      <c r="C414" s="7">
        <v>0</v>
      </c>
      <c r="D414" s="7">
        <v>0</v>
      </c>
      <c r="E414" s="20" t="str">
        <f t="shared" si="6"/>
        <v>00</v>
      </c>
      <c r="F414" s="21">
        <v>1.7046480220589899</v>
      </c>
      <c r="G414" s="4">
        <v>0.60699999999999998</v>
      </c>
      <c r="H414" s="4">
        <v>0.48475609756097598</v>
      </c>
      <c r="I414" s="4">
        <v>0.29599999999999999</v>
      </c>
      <c r="J414" s="4">
        <v>0.26</v>
      </c>
      <c r="K414" s="5">
        <v>0</v>
      </c>
      <c r="L414" s="5">
        <v>100</v>
      </c>
      <c r="M414" s="5">
        <v>100</v>
      </c>
      <c r="N414" s="5">
        <v>100</v>
      </c>
      <c r="O414" s="2">
        <v>0.93394566711287574</v>
      </c>
      <c r="P414" s="2">
        <v>0.66311489346107089</v>
      </c>
      <c r="Q414" s="2">
        <v>0.35097692282409471</v>
      </c>
      <c r="R414" s="2">
        <v>0.30110509278392161</v>
      </c>
    </row>
    <row r="415" spans="1:18" x14ac:dyDescent="0.3">
      <c r="A415" s="7">
        <v>988</v>
      </c>
      <c r="B415" s="7">
        <v>24</v>
      </c>
      <c r="C415" s="7">
        <v>0</v>
      </c>
      <c r="D415" s="7">
        <v>0</v>
      </c>
      <c r="E415" s="20" t="str">
        <f t="shared" si="6"/>
        <v>00</v>
      </c>
      <c r="F415" s="21">
        <v>1.73017358342171</v>
      </c>
      <c r="G415" s="4">
        <v>0.52</v>
      </c>
      <c r="H415" s="4">
        <v>0.37965260545905699</v>
      </c>
      <c r="I415" s="4">
        <v>0.20899999999999999</v>
      </c>
      <c r="J415" s="4">
        <v>0.20300000000000001</v>
      </c>
      <c r="K415" s="5">
        <v>0</v>
      </c>
      <c r="L415" s="5">
        <v>100</v>
      </c>
      <c r="M415" s="5">
        <v>100</v>
      </c>
      <c r="N415" s="5">
        <v>100</v>
      </c>
      <c r="O415" s="2">
        <v>0.73396917508020043</v>
      </c>
      <c r="P415" s="2">
        <v>0.47747564408443643</v>
      </c>
      <c r="Q415" s="2">
        <v>0.23445731121448313</v>
      </c>
      <c r="R415" s="2">
        <v>0.2269006001919221</v>
      </c>
    </row>
    <row r="416" spans="1:18" x14ac:dyDescent="0.3">
      <c r="A416" s="7">
        <v>775</v>
      </c>
      <c r="B416" s="7">
        <v>169</v>
      </c>
      <c r="C416" s="7">
        <v>0</v>
      </c>
      <c r="D416" s="7">
        <v>0</v>
      </c>
      <c r="E416" s="20" t="str">
        <f t="shared" si="6"/>
        <v>00</v>
      </c>
      <c r="F416" s="21">
        <v>1.7373501773751401</v>
      </c>
      <c r="G416" s="4">
        <v>0.54100000000000004</v>
      </c>
      <c r="H416" s="4">
        <v>0.41732283464566899</v>
      </c>
      <c r="I416" s="4">
        <v>0.21299999999999999</v>
      </c>
      <c r="J416" s="4">
        <v>0.20200000000000001</v>
      </c>
      <c r="K416" s="5">
        <v>0</v>
      </c>
      <c r="L416" s="5">
        <v>100</v>
      </c>
      <c r="M416" s="5">
        <v>100</v>
      </c>
      <c r="N416" s="5">
        <v>100</v>
      </c>
      <c r="O416" s="2">
        <v>0.77870506892159197</v>
      </c>
      <c r="P416" s="2">
        <v>0.54012199325442101</v>
      </c>
      <c r="Q416" s="2">
        <v>0.23952703056473379</v>
      </c>
      <c r="R416" s="2">
        <v>0.22564668153232822</v>
      </c>
    </row>
    <row r="417" spans="1:18" x14ac:dyDescent="0.3">
      <c r="A417" s="7">
        <v>484</v>
      </c>
      <c r="B417" s="7">
        <v>26</v>
      </c>
      <c r="C417" s="7">
        <v>0</v>
      </c>
      <c r="D417" s="7">
        <v>0</v>
      </c>
      <c r="E417" s="20" t="str">
        <f t="shared" si="6"/>
        <v>00</v>
      </c>
      <c r="F417" s="21">
        <v>1.73815268065208</v>
      </c>
      <c r="G417" s="4">
        <v>0.57399999999999995</v>
      </c>
      <c r="H417" s="4">
        <v>0.42328042328042298</v>
      </c>
      <c r="I417" s="4">
        <v>0.27</v>
      </c>
      <c r="J417" s="4">
        <v>0.20799999999999999</v>
      </c>
      <c r="K417" s="5">
        <v>0</v>
      </c>
      <c r="L417" s="5">
        <v>100</v>
      </c>
      <c r="M417" s="5">
        <v>100</v>
      </c>
      <c r="N417" s="5">
        <v>100</v>
      </c>
      <c r="O417" s="2">
        <v>0.85331593271276651</v>
      </c>
      <c r="P417" s="2">
        <v>0.55039913283049824</v>
      </c>
      <c r="Q417" s="2">
        <v>0.31471074483970024</v>
      </c>
      <c r="R417" s="2">
        <v>0.23319388716771114</v>
      </c>
    </row>
    <row r="418" spans="1:18" x14ac:dyDescent="0.3">
      <c r="A418" s="7">
        <v>378</v>
      </c>
      <c r="B418" s="7">
        <v>27</v>
      </c>
      <c r="C418" s="7">
        <v>0</v>
      </c>
      <c r="D418" s="7">
        <v>0</v>
      </c>
      <c r="E418" s="20" t="str">
        <f t="shared" si="6"/>
        <v>00</v>
      </c>
      <c r="F418" s="21">
        <v>1.7461518198203301</v>
      </c>
      <c r="G418" s="4">
        <v>0.76200000000000001</v>
      </c>
      <c r="H418" s="4">
        <v>0.60677966101694902</v>
      </c>
      <c r="I418" s="4">
        <v>0.56799999999999995</v>
      </c>
      <c r="J418" s="4">
        <v>0.50600000000000001</v>
      </c>
      <c r="K418" s="5">
        <v>0</v>
      </c>
      <c r="L418" s="5">
        <v>0</v>
      </c>
      <c r="M418" s="5">
        <v>0</v>
      </c>
      <c r="N418" s="5">
        <v>0</v>
      </c>
      <c r="O418" s="2">
        <v>1.4354846053106625</v>
      </c>
      <c r="P418" s="2">
        <v>0.93338516523345483</v>
      </c>
      <c r="Q418" s="2">
        <v>0.83932969073802666</v>
      </c>
      <c r="R418" s="2">
        <v>0.70521976179421453</v>
      </c>
    </row>
    <row r="419" spans="1:18" x14ac:dyDescent="0.3">
      <c r="A419" s="7">
        <v>964</v>
      </c>
      <c r="B419" s="7">
        <v>18</v>
      </c>
      <c r="C419" s="7">
        <v>0</v>
      </c>
      <c r="D419" s="7">
        <v>0</v>
      </c>
      <c r="E419" s="20" t="str">
        <f t="shared" si="6"/>
        <v>00</v>
      </c>
      <c r="F419" s="21">
        <v>1.8584572803163599</v>
      </c>
      <c r="G419" s="4">
        <v>0.51200000000000001</v>
      </c>
      <c r="H419" s="4">
        <v>0.41230068337129799</v>
      </c>
      <c r="I419" s="4">
        <v>0.22700000000000001</v>
      </c>
      <c r="J419" s="4">
        <v>0.23100000000000001</v>
      </c>
      <c r="K419" s="5">
        <v>0</v>
      </c>
      <c r="L419" s="5">
        <v>100</v>
      </c>
      <c r="M419" s="5">
        <v>100</v>
      </c>
      <c r="N419" s="5">
        <v>100</v>
      </c>
      <c r="O419" s="2">
        <v>0.71743987312898994</v>
      </c>
      <c r="P419" s="2">
        <v>0.53153982815355327</v>
      </c>
      <c r="Q419" s="2">
        <v>0.25747623039471507</v>
      </c>
      <c r="R419" s="2">
        <v>0.26266430947649305</v>
      </c>
    </row>
    <row r="420" spans="1:18" x14ac:dyDescent="0.3">
      <c r="A420" s="7">
        <v>569</v>
      </c>
      <c r="B420" s="7">
        <v>16</v>
      </c>
      <c r="C420" s="7">
        <v>0</v>
      </c>
      <c r="D420" s="7">
        <v>0</v>
      </c>
      <c r="E420" s="20" t="str">
        <f t="shared" si="6"/>
        <v>00</v>
      </c>
      <c r="F420" s="21">
        <v>1.8997621007140499</v>
      </c>
      <c r="G420" s="4">
        <v>0.53600000000000003</v>
      </c>
      <c r="H420" s="4">
        <v>0.41943734015345302</v>
      </c>
      <c r="I420" s="4">
        <v>0.27300000000000002</v>
      </c>
      <c r="J420" s="4">
        <v>0.20599999999999999</v>
      </c>
      <c r="K420" s="5">
        <v>0</v>
      </c>
      <c r="L420" s="5">
        <v>100</v>
      </c>
      <c r="M420" s="5">
        <v>100</v>
      </c>
      <c r="N420" s="5">
        <v>100</v>
      </c>
      <c r="O420" s="2">
        <v>0.76787072675588186</v>
      </c>
      <c r="P420" s="2">
        <v>0.54375754250396369</v>
      </c>
      <c r="Q420" s="2">
        <v>0.31882880144861769</v>
      </c>
      <c r="R420" s="2">
        <v>0.23067181773500128</v>
      </c>
    </row>
    <row r="421" spans="1:18" x14ac:dyDescent="0.3">
      <c r="A421" s="7">
        <v>146</v>
      </c>
      <c r="B421" s="7">
        <v>173</v>
      </c>
      <c r="C421" s="7">
        <v>0</v>
      </c>
      <c r="D421" s="7">
        <v>0</v>
      </c>
      <c r="E421" s="20" t="str">
        <f t="shared" si="6"/>
        <v>00</v>
      </c>
      <c r="F421" s="21">
        <v>1.9058983513965899</v>
      </c>
      <c r="G421" s="4">
        <v>0.77300000000000002</v>
      </c>
      <c r="H421" s="4">
        <v>0.62585034013605401</v>
      </c>
      <c r="I421" s="4">
        <v>0.88300000000000001</v>
      </c>
      <c r="J421" s="4">
        <v>0.64900000000000002</v>
      </c>
      <c r="K421" s="5">
        <v>0</v>
      </c>
      <c r="L421" s="5">
        <v>0</v>
      </c>
      <c r="M421" s="5">
        <v>0</v>
      </c>
      <c r="N421" s="5">
        <v>0</v>
      </c>
      <c r="O421" s="2">
        <v>1.4828052615007346</v>
      </c>
      <c r="P421" s="2">
        <v>0.9830994015462643</v>
      </c>
      <c r="Q421" s="2">
        <v>2.145581344184381</v>
      </c>
      <c r="R421" s="2">
        <v>1.0469690555162714</v>
      </c>
    </row>
    <row r="422" spans="1:18" x14ac:dyDescent="0.3">
      <c r="A422" s="7">
        <v>668</v>
      </c>
      <c r="B422" s="7">
        <v>19</v>
      </c>
      <c r="C422" s="7">
        <v>0</v>
      </c>
      <c r="D422" s="7">
        <v>0</v>
      </c>
      <c r="E422" s="20" t="str">
        <f t="shared" si="6"/>
        <v>00</v>
      </c>
      <c r="F422" s="21">
        <v>1.93953671577292</v>
      </c>
      <c r="G422" s="4">
        <v>0.48099999999999998</v>
      </c>
      <c r="H422" s="4">
        <v>0.43052391799544398</v>
      </c>
      <c r="I422" s="4">
        <v>0.42</v>
      </c>
      <c r="J422" s="4">
        <v>0.35099999999999998</v>
      </c>
      <c r="K422" s="5">
        <v>100</v>
      </c>
      <c r="L422" s="5">
        <v>100</v>
      </c>
      <c r="M422" s="5">
        <v>100</v>
      </c>
      <c r="N422" s="5">
        <v>100</v>
      </c>
      <c r="O422" s="2">
        <v>0.65585139581624841</v>
      </c>
      <c r="P422" s="2">
        <v>0.56303849521292459</v>
      </c>
      <c r="Q422" s="2">
        <v>0.54472717544167193</v>
      </c>
      <c r="R422" s="2">
        <v>0.43232256227804705</v>
      </c>
    </row>
    <row r="423" spans="1:18" x14ac:dyDescent="0.3">
      <c r="A423" s="7">
        <v>384</v>
      </c>
      <c r="B423" s="7">
        <v>60</v>
      </c>
      <c r="C423" s="7">
        <v>0</v>
      </c>
      <c r="D423" s="7">
        <v>0</v>
      </c>
      <c r="E423" s="20" t="str">
        <f t="shared" si="6"/>
        <v>00</v>
      </c>
      <c r="F423" s="21">
        <v>1.9774935849078299</v>
      </c>
      <c r="G423" s="4">
        <v>0.45600000000000002</v>
      </c>
      <c r="H423" s="4">
        <v>0.40137614678899097</v>
      </c>
      <c r="I423" s="4">
        <v>0.312</v>
      </c>
      <c r="J423" s="4">
        <v>0.26900000000000002</v>
      </c>
      <c r="K423" s="5">
        <v>100</v>
      </c>
      <c r="L423" s="5">
        <v>100</v>
      </c>
      <c r="M423" s="5">
        <v>100</v>
      </c>
      <c r="N423" s="5">
        <v>100</v>
      </c>
      <c r="O423" s="2">
        <v>0.60880603212619433</v>
      </c>
      <c r="P423" s="2">
        <v>0.51312183602634109</v>
      </c>
      <c r="Q423" s="2">
        <v>0.37396644104879345</v>
      </c>
      <c r="R423" s="2">
        <v>0.3133418192323586</v>
      </c>
    </row>
    <row r="424" spans="1:18" x14ac:dyDescent="0.3">
      <c r="A424" s="7">
        <v>286</v>
      </c>
      <c r="B424" s="7">
        <v>40</v>
      </c>
      <c r="C424" s="7">
        <v>0</v>
      </c>
      <c r="D424" s="7">
        <v>0</v>
      </c>
      <c r="E424" s="20" t="str">
        <f t="shared" si="6"/>
        <v>00</v>
      </c>
      <c r="F424" s="21">
        <v>1.98772945614984</v>
      </c>
      <c r="G424" s="4">
        <v>0.64200000000000002</v>
      </c>
      <c r="H424" s="4">
        <v>0.52604166666666696</v>
      </c>
      <c r="I424" s="4">
        <v>0.86799999999999999</v>
      </c>
      <c r="J424" s="4">
        <v>0.72599999999999998</v>
      </c>
      <c r="K424" s="5">
        <v>0</v>
      </c>
      <c r="L424" s="5">
        <v>0</v>
      </c>
      <c r="M424" s="5">
        <v>0</v>
      </c>
      <c r="N424" s="5">
        <v>0</v>
      </c>
      <c r="O424" s="2">
        <v>1.0272222925814367</v>
      </c>
      <c r="P424" s="2">
        <v>0.74663586551093208</v>
      </c>
      <c r="Q424" s="2">
        <v>2.0249533563957662</v>
      </c>
      <c r="R424" s="2">
        <v>1.2946271725940668</v>
      </c>
    </row>
    <row r="425" spans="1:18" x14ac:dyDescent="0.3">
      <c r="A425" s="7">
        <v>381</v>
      </c>
      <c r="B425" s="7">
        <v>12</v>
      </c>
      <c r="C425" s="7">
        <v>0</v>
      </c>
      <c r="D425" s="7">
        <v>0</v>
      </c>
      <c r="E425" s="20" t="str">
        <f t="shared" si="6"/>
        <v>00</v>
      </c>
      <c r="F425" s="21">
        <v>2.03424632910794</v>
      </c>
      <c r="G425" s="4">
        <v>0.40799999999999997</v>
      </c>
      <c r="H425" s="4">
        <v>0.29342723004694798</v>
      </c>
      <c r="I425" s="4">
        <v>0.70699999999999996</v>
      </c>
      <c r="J425" s="4">
        <v>0.47899999999999998</v>
      </c>
      <c r="K425" s="5">
        <v>100</v>
      </c>
      <c r="L425" s="5">
        <v>100</v>
      </c>
      <c r="M425" s="5">
        <v>0</v>
      </c>
      <c r="N425" s="5">
        <v>100</v>
      </c>
      <c r="O425" s="2">
        <v>0.52424864409813121</v>
      </c>
      <c r="P425" s="2">
        <v>0.34732908152049424</v>
      </c>
      <c r="Q425" s="2">
        <v>1.2275826699650696</v>
      </c>
      <c r="R425" s="2">
        <v>0.65200523722877013</v>
      </c>
    </row>
    <row r="426" spans="1:18" x14ac:dyDescent="0.3">
      <c r="A426" s="7">
        <v>468</v>
      </c>
      <c r="B426" s="7">
        <v>14</v>
      </c>
      <c r="C426" s="7">
        <v>0</v>
      </c>
      <c r="D426" s="7">
        <v>0</v>
      </c>
      <c r="E426" s="20" t="str">
        <f t="shared" si="6"/>
        <v>00</v>
      </c>
      <c r="F426" s="21">
        <v>2.0656867088063602</v>
      </c>
      <c r="G426" s="4">
        <v>0.64100000000000001</v>
      </c>
      <c r="H426" s="4">
        <v>0.565217391304348</v>
      </c>
      <c r="I426" s="4">
        <v>0.32700000000000001</v>
      </c>
      <c r="J426" s="4">
        <v>0.23100000000000001</v>
      </c>
      <c r="K426" s="5">
        <v>0</v>
      </c>
      <c r="L426" s="5">
        <v>0</v>
      </c>
      <c r="M426" s="5">
        <v>100</v>
      </c>
      <c r="N426" s="5">
        <v>100</v>
      </c>
      <c r="O426" s="2">
        <v>1.0244328904938582</v>
      </c>
      <c r="P426" s="2">
        <v>0.83290912293510444</v>
      </c>
      <c r="Q426" s="2">
        <v>0.39600994933740918</v>
      </c>
      <c r="R426" s="2">
        <v>0.26266430947649305</v>
      </c>
    </row>
    <row r="427" spans="1:18" x14ac:dyDescent="0.3">
      <c r="A427" s="7">
        <v>228</v>
      </c>
      <c r="B427" s="7">
        <v>7</v>
      </c>
      <c r="C427" s="7">
        <v>0</v>
      </c>
      <c r="D427" s="7">
        <v>0</v>
      </c>
      <c r="E427" s="20" t="str">
        <f t="shared" si="6"/>
        <v>00</v>
      </c>
      <c r="F427" s="21">
        <v>2.07464623828638</v>
      </c>
      <c r="G427" s="4">
        <v>0.61099999999999999</v>
      </c>
      <c r="H427" s="4">
        <v>0.5</v>
      </c>
      <c r="I427" s="4">
        <v>0.79600000000000004</v>
      </c>
      <c r="J427" s="4">
        <v>0.77600000000000002</v>
      </c>
      <c r="K427" s="5">
        <v>0</v>
      </c>
      <c r="L427" s="5">
        <v>0</v>
      </c>
      <c r="M427" s="5">
        <v>0</v>
      </c>
      <c r="N427" s="5">
        <v>0</v>
      </c>
      <c r="O427" s="2">
        <v>0.94417593536369071</v>
      </c>
      <c r="P427" s="2">
        <v>0.69314718055994529</v>
      </c>
      <c r="Q427" s="2">
        <v>1.589635285137921</v>
      </c>
      <c r="R427" s="2">
        <v>1.4961092271270973</v>
      </c>
    </row>
    <row r="428" spans="1:18" x14ac:dyDescent="0.3">
      <c r="A428" s="7">
        <v>193</v>
      </c>
      <c r="B428" s="7">
        <v>361</v>
      </c>
      <c r="C428" s="7">
        <v>0</v>
      </c>
      <c r="D428" s="7">
        <v>0</v>
      </c>
      <c r="E428" s="20" t="str">
        <f t="shared" si="6"/>
        <v>00</v>
      </c>
      <c r="F428" s="21">
        <v>2.15711905923675</v>
      </c>
      <c r="G428" s="4">
        <v>0.40699999999999997</v>
      </c>
      <c r="H428" s="4">
        <v>0.330808080808081</v>
      </c>
      <c r="I428" s="4">
        <v>0.28199999999999997</v>
      </c>
      <c r="J428" s="4">
        <v>0.29599999999999999</v>
      </c>
      <c r="K428" s="5">
        <v>100</v>
      </c>
      <c r="L428" s="5">
        <v>100</v>
      </c>
      <c r="M428" s="5">
        <v>100</v>
      </c>
      <c r="N428" s="5">
        <v>100</v>
      </c>
      <c r="O428" s="2">
        <v>0.5225608799844117</v>
      </c>
      <c r="P428" s="2">
        <v>0.40168438526825861</v>
      </c>
      <c r="Q428" s="2">
        <v>0.33128570993391293</v>
      </c>
      <c r="R428" s="2">
        <v>0.35097692282409471</v>
      </c>
    </row>
    <row r="429" spans="1:18" x14ac:dyDescent="0.3">
      <c r="A429" s="7">
        <v>939</v>
      </c>
      <c r="B429" s="7">
        <v>12</v>
      </c>
      <c r="C429" s="7">
        <v>0</v>
      </c>
      <c r="D429" s="7">
        <v>0</v>
      </c>
      <c r="E429" s="20" t="str">
        <f t="shared" si="6"/>
        <v>00</v>
      </c>
      <c r="F429" s="21">
        <v>2.23742757962725</v>
      </c>
      <c r="G429" s="4">
        <v>0.44500000000000001</v>
      </c>
      <c r="H429" s="4">
        <v>0.316176470588235</v>
      </c>
      <c r="I429" s="4">
        <v>0.28100000000000003</v>
      </c>
      <c r="J429" s="4">
        <v>0.26100000000000001</v>
      </c>
      <c r="K429" s="5">
        <v>100</v>
      </c>
      <c r="L429" s="5">
        <v>100</v>
      </c>
      <c r="M429" s="5">
        <v>100</v>
      </c>
      <c r="N429" s="5">
        <v>100</v>
      </c>
      <c r="O429" s="2">
        <v>0.58878716523570263</v>
      </c>
      <c r="P429" s="2">
        <v>0.38005539258279575</v>
      </c>
      <c r="Q429" s="2">
        <v>0.32989392126109041</v>
      </c>
      <c r="R429" s="2">
        <v>0.30245735803393531</v>
      </c>
    </row>
    <row r="430" spans="1:18" x14ac:dyDescent="0.3">
      <c r="A430" s="7">
        <v>534</v>
      </c>
      <c r="B430" s="7">
        <v>8</v>
      </c>
      <c r="C430" s="7">
        <v>0</v>
      </c>
      <c r="D430" s="7">
        <v>0</v>
      </c>
      <c r="E430" s="20" t="str">
        <f t="shared" si="6"/>
        <v>00</v>
      </c>
      <c r="F430" s="21">
        <v>2.2720452759433201</v>
      </c>
      <c r="G430" s="4">
        <v>0.69499999999999995</v>
      </c>
      <c r="H430" s="4">
        <v>0.50473186119873803</v>
      </c>
      <c r="I430" s="4">
        <v>0.38</v>
      </c>
      <c r="J430" s="4">
        <v>0.27100000000000002</v>
      </c>
      <c r="K430" s="5">
        <v>0</v>
      </c>
      <c r="L430" s="5">
        <v>0</v>
      </c>
      <c r="M430" s="5">
        <v>100</v>
      </c>
      <c r="N430" s="5">
        <v>100</v>
      </c>
      <c r="O430" s="2">
        <v>1.1874435023747252</v>
      </c>
      <c r="P430" s="2">
        <v>0.70265596852897227</v>
      </c>
      <c r="Q430" s="2">
        <v>0.4780358009429998</v>
      </c>
      <c r="R430" s="2">
        <v>0.31608154697347896</v>
      </c>
    </row>
    <row r="431" spans="1:18" x14ac:dyDescent="0.3">
      <c r="A431" s="7">
        <v>93</v>
      </c>
      <c r="B431" s="7">
        <v>410</v>
      </c>
      <c r="C431" s="7">
        <v>0</v>
      </c>
      <c r="D431" s="7">
        <v>0</v>
      </c>
      <c r="E431" s="20" t="str">
        <f t="shared" si="6"/>
        <v>00</v>
      </c>
      <c r="F431" s="21">
        <v>2.31793783546303</v>
      </c>
      <c r="G431" s="4">
        <v>0.56200000000000006</v>
      </c>
      <c r="H431" s="4">
        <v>0.430894308943089</v>
      </c>
      <c r="I431" s="4">
        <v>0.372</v>
      </c>
      <c r="J431" s="4">
        <v>0.31900000000000001</v>
      </c>
      <c r="K431" s="5">
        <v>0</v>
      </c>
      <c r="L431" s="5">
        <v>100</v>
      </c>
      <c r="M431" s="5">
        <v>100</v>
      </c>
      <c r="N431" s="5">
        <v>100</v>
      </c>
      <c r="O431" s="2">
        <v>0.82553636860569102</v>
      </c>
      <c r="P431" s="2">
        <v>0.56368911332305771</v>
      </c>
      <c r="Q431" s="2">
        <v>0.46521511251393838</v>
      </c>
      <c r="R431" s="2">
        <v>0.3841929728326246</v>
      </c>
    </row>
    <row r="432" spans="1:18" x14ac:dyDescent="0.3">
      <c r="A432" s="7">
        <v>631</v>
      </c>
      <c r="B432" s="7">
        <v>27</v>
      </c>
      <c r="C432" s="7">
        <v>0</v>
      </c>
      <c r="D432" s="7">
        <v>0</v>
      </c>
      <c r="E432" s="20" t="str">
        <f t="shared" si="6"/>
        <v>00</v>
      </c>
      <c r="F432" s="21">
        <v>2.4467587797108901</v>
      </c>
      <c r="G432" s="4">
        <v>0.57499999999999996</v>
      </c>
      <c r="H432" s="4">
        <v>0.46015424164524399</v>
      </c>
      <c r="I432" s="4">
        <v>0.32200000000000001</v>
      </c>
      <c r="J432" s="4">
        <v>0.375</v>
      </c>
      <c r="K432" s="5">
        <v>0</v>
      </c>
      <c r="L432" s="5">
        <v>100</v>
      </c>
      <c r="M432" s="5">
        <v>100</v>
      </c>
      <c r="N432" s="5">
        <v>100</v>
      </c>
      <c r="O432" s="2">
        <v>0.85566611005772009</v>
      </c>
      <c r="P432" s="2">
        <v>0.61647181290097719</v>
      </c>
      <c r="Q432" s="2">
        <v>0.3886079910417416</v>
      </c>
      <c r="R432" s="2">
        <v>0.47000362924573558</v>
      </c>
    </row>
    <row r="433" spans="1:18" x14ac:dyDescent="0.3">
      <c r="A433" s="7">
        <v>733</v>
      </c>
      <c r="B433" s="7">
        <v>9</v>
      </c>
      <c r="C433" s="7">
        <v>0</v>
      </c>
      <c r="D433" s="7">
        <v>0</v>
      </c>
      <c r="E433" s="20" t="str">
        <f t="shared" si="6"/>
        <v>00</v>
      </c>
      <c r="F433" s="21">
        <v>2.6123464770698401</v>
      </c>
      <c r="G433" s="4">
        <v>0.63</v>
      </c>
      <c r="H433" s="4">
        <v>0.54249999999999998</v>
      </c>
      <c r="I433" s="4">
        <v>0.68700000000000006</v>
      </c>
      <c r="J433" s="4">
        <v>0.626</v>
      </c>
      <c r="K433" s="5">
        <v>0</v>
      </c>
      <c r="L433" s="5">
        <v>0</v>
      </c>
      <c r="M433" s="5">
        <v>0</v>
      </c>
      <c r="N433" s="5">
        <v>0</v>
      </c>
      <c r="O433" s="2">
        <v>0.9942522733438669</v>
      </c>
      <c r="P433" s="2">
        <v>0.78197839426656102</v>
      </c>
      <c r="Q433" s="2">
        <v>1.1615520884419841</v>
      </c>
      <c r="R433" s="2">
        <v>0.98349948156760514</v>
      </c>
    </row>
    <row r="434" spans="1:18" x14ac:dyDescent="0.3">
      <c r="A434" s="7">
        <v>583</v>
      </c>
      <c r="B434" s="7">
        <v>12</v>
      </c>
      <c r="C434" s="7">
        <v>0</v>
      </c>
      <c r="D434" s="7">
        <v>0</v>
      </c>
      <c r="E434" s="20" t="str">
        <f t="shared" si="6"/>
        <v>00</v>
      </c>
      <c r="F434" s="21">
        <v>2.6772926036800602</v>
      </c>
      <c r="G434" s="4">
        <v>0.55900000000000005</v>
      </c>
      <c r="H434" s="4">
        <v>0.45077720207253902</v>
      </c>
      <c r="I434" s="4">
        <v>0.74399999999999999</v>
      </c>
      <c r="J434" s="4">
        <v>0.66600000000000004</v>
      </c>
      <c r="K434" s="5">
        <v>0</v>
      </c>
      <c r="L434" s="5">
        <v>100</v>
      </c>
      <c r="M434" s="5">
        <v>0</v>
      </c>
      <c r="N434" s="5">
        <v>0</v>
      </c>
      <c r="O434" s="2">
        <v>0.81871040353529123</v>
      </c>
      <c r="P434" s="2">
        <v>0.59925109479281868</v>
      </c>
      <c r="Q434" s="2">
        <v>1.3625778345025745</v>
      </c>
      <c r="R434" s="2">
        <v>1.0966142860054366</v>
      </c>
    </row>
    <row r="435" spans="1:18" x14ac:dyDescent="0.3">
      <c r="A435" s="7">
        <v>553</v>
      </c>
      <c r="B435" s="7">
        <v>132</v>
      </c>
      <c r="C435" s="7">
        <v>0</v>
      </c>
      <c r="D435" s="7">
        <v>0</v>
      </c>
      <c r="E435" s="20" t="str">
        <f t="shared" si="6"/>
        <v>00</v>
      </c>
      <c r="F435" s="21">
        <v>2.6854306608689198</v>
      </c>
      <c r="G435" s="4">
        <v>0.55400000000000005</v>
      </c>
      <c r="H435" s="4">
        <v>0.45410628019323701</v>
      </c>
      <c r="I435" s="4">
        <v>0.26</v>
      </c>
      <c r="J435" s="4">
        <v>0.25800000000000001</v>
      </c>
      <c r="K435" s="5">
        <v>0</v>
      </c>
      <c r="L435" s="5">
        <v>100</v>
      </c>
      <c r="M435" s="5">
        <v>100</v>
      </c>
      <c r="N435" s="5">
        <v>100</v>
      </c>
      <c r="O435" s="2">
        <v>0.80743632696207313</v>
      </c>
      <c r="P435" s="2">
        <v>0.60533097455302898</v>
      </c>
      <c r="Q435" s="2">
        <v>0.30110509278392161</v>
      </c>
      <c r="R435" s="2">
        <v>0.29840603581475661</v>
      </c>
    </row>
    <row r="436" spans="1:18" x14ac:dyDescent="0.3">
      <c r="A436" s="7">
        <v>420</v>
      </c>
      <c r="B436" s="7">
        <v>43</v>
      </c>
      <c r="C436" s="7">
        <v>0</v>
      </c>
      <c r="D436" s="7">
        <v>0</v>
      </c>
      <c r="E436" s="20" t="str">
        <f t="shared" si="6"/>
        <v>00</v>
      </c>
      <c r="F436" s="21">
        <v>2.73321712447955</v>
      </c>
      <c r="G436" s="4">
        <v>0.499</v>
      </c>
      <c r="H436" s="4">
        <v>0.38083538083538099</v>
      </c>
      <c r="I436" s="4">
        <v>0.25</v>
      </c>
      <c r="J436" s="4">
        <v>0.23400000000000001</v>
      </c>
      <c r="K436" s="5">
        <v>100</v>
      </c>
      <c r="L436" s="5">
        <v>100</v>
      </c>
      <c r="M436" s="5">
        <v>100</v>
      </c>
      <c r="N436" s="5">
        <v>100</v>
      </c>
      <c r="O436" s="2">
        <v>0.69114917789727226</v>
      </c>
      <c r="P436" s="2">
        <v>0.47938409793117204</v>
      </c>
      <c r="Q436" s="2">
        <v>0.2876820724517809</v>
      </c>
      <c r="R436" s="2">
        <v>0.26657310924154576</v>
      </c>
    </row>
    <row r="437" spans="1:18" x14ac:dyDescent="0.3">
      <c r="A437" s="7">
        <v>897</v>
      </c>
      <c r="B437" s="7">
        <v>31</v>
      </c>
      <c r="C437" s="7">
        <v>0</v>
      </c>
      <c r="D437" s="7">
        <v>0</v>
      </c>
      <c r="E437" s="20" t="str">
        <f t="shared" si="6"/>
        <v>00</v>
      </c>
      <c r="F437" s="21">
        <v>3.0129390646145402</v>
      </c>
      <c r="G437" s="4">
        <v>0.45700000000000002</v>
      </c>
      <c r="H437" s="4">
        <v>0.40963855421686701</v>
      </c>
      <c r="I437" s="4">
        <v>0.32700000000000001</v>
      </c>
      <c r="J437" s="4">
        <v>0.28999999999999998</v>
      </c>
      <c r="K437" s="5">
        <v>100</v>
      </c>
      <c r="L437" s="5">
        <v>100</v>
      </c>
      <c r="M437" s="5">
        <v>100</v>
      </c>
      <c r="N437" s="5">
        <v>100</v>
      </c>
      <c r="O437" s="2">
        <v>0.61064595904820174</v>
      </c>
      <c r="P437" s="2">
        <v>0.52702030968597058</v>
      </c>
      <c r="Q437" s="2">
        <v>0.39600994933740918</v>
      </c>
      <c r="R437" s="2">
        <v>0.34249030894677601</v>
      </c>
    </row>
    <row r="438" spans="1:18" x14ac:dyDescent="0.3">
      <c r="A438" s="7">
        <v>368</v>
      </c>
      <c r="B438" s="7">
        <v>379</v>
      </c>
      <c r="C438" s="7">
        <v>0</v>
      </c>
      <c r="D438" s="7">
        <v>0</v>
      </c>
      <c r="E438" s="20" t="str">
        <f t="shared" si="6"/>
        <v>00</v>
      </c>
      <c r="F438" s="21">
        <v>3.1478419961608699</v>
      </c>
      <c r="G438" s="4">
        <v>0.72699999999999998</v>
      </c>
      <c r="H438" s="4">
        <v>0.56507936507936496</v>
      </c>
      <c r="I438" s="4">
        <v>0.80700000000000005</v>
      </c>
      <c r="J438" s="4">
        <v>0.622</v>
      </c>
      <c r="K438" s="5">
        <v>0</v>
      </c>
      <c r="L438" s="5">
        <v>0</v>
      </c>
      <c r="M438" s="5">
        <v>0</v>
      </c>
      <c r="N438" s="5">
        <v>0</v>
      </c>
      <c r="O438" s="2">
        <v>1.2982834837971773</v>
      </c>
      <c r="P438" s="2">
        <v>0.83259171299750789</v>
      </c>
      <c r="Q438" s="2">
        <v>1.6450650900772517</v>
      </c>
      <c r="R438" s="2">
        <v>0.97286108336254939</v>
      </c>
    </row>
    <row r="439" spans="1:18" x14ac:dyDescent="0.3">
      <c r="A439" s="7">
        <v>585</v>
      </c>
      <c r="B439" s="7">
        <v>158</v>
      </c>
      <c r="C439" s="7">
        <v>0</v>
      </c>
      <c r="D439" s="7">
        <v>0</v>
      </c>
      <c r="E439" s="20" t="str">
        <f t="shared" si="6"/>
        <v>00</v>
      </c>
      <c r="F439" s="21">
        <v>3.3792591353641499</v>
      </c>
      <c r="G439" s="4">
        <v>0.60399999999999998</v>
      </c>
      <c r="H439" s="4">
        <v>0.50121065375302698</v>
      </c>
      <c r="I439" s="4">
        <v>0.47199999999999998</v>
      </c>
      <c r="J439" s="4">
        <v>0.311</v>
      </c>
      <c r="K439" s="5">
        <v>0</v>
      </c>
      <c r="L439" s="5">
        <v>0</v>
      </c>
      <c r="M439" s="5">
        <v>100</v>
      </c>
      <c r="N439" s="5">
        <v>100</v>
      </c>
      <c r="O439" s="2">
        <v>0.92634106772765645</v>
      </c>
      <c r="P439" s="2">
        <v>0.69557142417145235</v>
      </c>
      <c r="Q439" s="2">
        <v>0.63865899527587555</v>
      </c>
      <c r="R439" s="2">
        <v>0.37251400796847839</v>
      </c>
    </row>
    <row r="440" spans="1:18" x14ac:dyDescent="0.3">
      <c r="A440" s="7">
        <v>870</v>
      </c>
      <c r="B440" s="7">
        <v>2</v>
      </c>
      <c r="C440" s="7">
        <v>0</v>
      </c>
      <c r="D440" s="7">
        <v>0</v>
      </c>
      <c r="E440" s="20" t="str">
        <f t="shared" si="6"/>
        <v>00</v>
      </c>
      <c r="F440" s="21">
        <v>3.47355210602626</v>
      </c>
      <c r="G440" s="4">
        <v>0.47299999999999998</v>
      </c>
      <c r="H440" s="4">
        <v>0.35238095238095202</v>
      </c>
      <c r="I440" s="4">
        <v>0.33800000000000002</v>
      </c>
      <c r="J440" s="4">
        <v>0.31</v>
      </c>
      <c r="K440" s="5">
        <v>100</v>
      </c>
      <c r="L440" s="5">
        <v>100</v>
      </c>
      <c r="M440" s="5">
        <v>100</v>
      </c>
      <c r="N440" s="5">
        <v>100</v>
      </c>
      <c r="O440" s="2">
        <v>0.64055473044077471</v>
      </c>
      <c r="P440" s="2">
        <v>0.43445264498141611</v>
      </c>
      <c r="Q440" s="2">
        <v>0.41248972304512899</v>
      </c>
      <c r="R440" s="2">
        <v>0.37106368139083207</v>
      </c>
    </row>
    <row r="441" spans="1:18" x14ac:dyDescent="0.3">
      <c r="A441" s="7">
        <v>695</v>
      </c>
      <c r="B441" s="7">
        <v>140</v>
      </c>
      <c r="C441" s="7">
        <v>0</v>
      </c>
      <c r="D441" s="7">
        <v>0</v>
      </c>
      <c r="E441" s="20" t="str">
        <f t="shared" si="6"/>
        <v>00</v>
      </c>
      <c r="F441" s="21">
        <v>3.6004007644930498</v>
      </c>
      <c r="G441" s="4">
        <v>0.63400000000000001</v>
      </c>
      <c r="H441" s="4">
        <v>0.49575070821529699</v>
      </c>
      <c r="I441" s="4">
        <v>0.50900000000000001</v>
      </c>
      <c r="J441" s="4">
        <v>0.33800000000000002</v>
      </c>
      <c r="K441" s="5">
        <v>0</v>
      </c>
      <c r="L441" s="5">
        <v>100</v>
      </c>
      <c r="M441" s="5">
        <v>0</v>
      </c>
      <c r="N441" s="5">
        <v>100</v>
      </c>
      <c r="O441" s="2">
        <v>1.0051219455807707</v>
      </c>
      <c r="P441" s="2">
        <v>0.68468450664121072</v>
      </c>
      <c r="Q441" s="2">
        <v>0.71131115118761645</v>
      </c>
      <c r="R441" s="2">
        <v>0.41248972304512899</v>
      </c>
    </row>
    <row r="442" spans="1:18" x14ac:dyDescent="0.3">
      <c r="A442" s="7">
        <v>240</v>
      </c>
      <c r="B442" s="7">
        <v>1</v>
      </c>
      <c r="C442" s="7">
        <v>0</v>
      </c>
      <c r="D442" s="7">
        <v>0</v>
      </c>
      <c r="E442" s="20" t="str">
        <f t="shared" si="6"/>
        <v>00</v>
      </c>
      <c r="F442" s="21">
        <v>3.6423026400655698</v>
      </c>
      <c r="G442" s="4">
        <v>0.57399999999999995</v>
      </c>
      <c r="H442" s="4">
        <v>0.424157303370786</v>
      </c>
      <c r="I442" s="4">
        <v>0.59499999999999997</v>
      </c>
      <c r="J442" s="4">
        <v>0.41799999999999998</v>
      </c>
      <c r="K442" s="5">
        <v>0</v>
      </c>
      <c r="L442" s="5">
        <v>100</v>
      </c>
      <c r="M442" s="5">
        <v>0</v>
      </c>
      <c r="N442" s="5">
        <v>100</v>
      </c>
      <c r="O442" s="2">
        <v>0.85331593271276651</v>
      </c>
      <c r="P442" s="2">
        <v>0.55192075171362132</v>
      </c>
      <c r="Q442" s="2">
        <v>0.90386821187559785</v>
      </c>
      <c r="R442" s="2">
        <v>0.54128483125069915</v>
      </c>
    </row>
    <row r="443" spans="1:18" x14ac:dyDescent="0.3">
      <c r="A443" s="7">
        <v>882</v>
      </c>
      <c r="B443" s="7">
        <v>1</v>
      </c>
      <c r="C443" s="7">
        <v>0</v>
      </c>
      <c r="D443" s="7">
        <v>0</v>
      </c>
      <c r="E443" s="20" t="str">
        <f t="shared" si="6"/>
        <v>00</v>
      </c>
      <c r="F443" s="21">
        <v>3.7085609462773701</v>
      </c>
      <c r="G443" s="4">
        <v>0.77</v>
      </c>
      <c r="H443" s="4">
        <v>0.58865248226950395</v>
      </c>
      <c r="I443" s="4">
        <v>0.82899999999999996</v>
      </c>
      <c r="J443" s="4">
        <v>0.80600000000000005</v>
      </c>
      <c r="K443" s="5">
        <v>0</v>
      </c>
      <c r="L443" s="5">
        <v>0</v>
      </c>
      <c r="M443" s="5">
        <v>0</v>
      </c>
      <c r="N443" s="5">
        <v>0</v>
      </c>
      <c r="O443" s="2">
        <v>1.4696759700589417</v>
      </c>
      <c r="P443" s="2">
        <v>0.88831687983174989</v>
      </c>
      <c r="Q443" s="2">
        <v>1.766091722479477</v>
      </c>
      <c r="R443" s="2">
        <v>1.6398971199188093</v>
      </c>
    </row>
    <row r="444" spans="1:18" x14ac:dyDescent="0.3">
      <c r="A444" s="7">
        <v>190</v>
      </c>
      <c r="B444" s="7">
        <v>1</v>
      </c>
      <c r="C444" s="7">
        <v>0</v>
      </c>
      <c r="D444" s="7">
        <v>0</v>
      </c>
      <c r="E444" s="20" t="str">
        <f t="shared" si="6"/>
        <v>00</v>
      </c>
      <c r="F444" s="21">
        <v>4.1236517736651299</v>
      </c>
      <c r="G444" s="4">
        <v>0.47299999999999998</v>
      </c>
      <c r="H444" s="4">
        <v>0.35915492957746498</v>
      </c>
      <c r="I444" s="4">
        <v>0.36299999999999999</v>
      </c>
      <c r="J444" s="4">
        <v>0.30299999999999999</v>
      </c>
      <c r="K444" s="5">
        <v>100</v>
      </c>
      <c r="L444" s="5">
        <v>100</v>
      </c>
      <c r="M444" s="5">
        <v>100</v>
      </c>
      <c r="N444" s="5">
        <v>100</v>
      </c>
      <c r="O444" s="2">
        <v>0.64055473044077471</v>
      </c>
      <c r="P444" s="2">
        <v>0.44496755108441099</v>
      </c>
      <c r="Q444" s="2">
        <v>0.45098562340997367</v>
      </c>
      <c r="R444" s="2">
        <v>0.36096986822161309</v>
      </c>
    </row>
    <row r="445" spans="1:18" x14ac:dyDescent="0.3">
      <c r="A445" s="7">
        <v>717</v>
      </c>
      <c r="B445" s="7">
        <v>191</v>
      </c>
      <c r="C445" s="7">
        <v>0</v>
      </c>
      <c r="D445" s="7">
        <v>0</v>
      </c>
      <c r="E445" s="20" t="str">
        <f t="shared" si="6"/>
        <v>00</v>
      </c>
      <c r="F445" s="21">
        <v>4.4383178101215099</v>
      </c>
      <c r="G445" s="4">
        <v>0.51500000000000001</v>
      </c>
      <c r="H445" s="4">
        <v>0.37628865979381398</v>
      </c>
      <c r="I445" s="4">
        <v>0.47699999999999998</v>
      </c>
      <c r="J445" s="4">
        <v>0.4</v>
      </c>
      <c r="K445" s="5">
        <v>0</v>
      </c>
      <c r="L445" s="5">
        <v>100</v>
      </c>
      <c r="M445" s="5">
        <v>100</v>
      </c>
      <c r="N445" s="5">
        <v>100</v>
      </c>
      <c r="O445" s="2">
        <v>0.72360638804465394</v>
      </c>
      <c r="P445" s="2">
        <v>0.47206761346658632</v>
      </c>
      <c r="Q445" s="2">
        <v>0.64817381491721415</v>
      </c>
      <c r="R445" s="2">
        <v>0.51082562376599072</v>
      </c>
    </row>
    <row r="446" spans="1:18" x14ac:dyDescent="0.3">
      <c r="A446" s="7">
        <v>79</v>
      </c>
      <c r="B446" s="7">
        <v>1</v>
      </c>
      <c r="C446" s="7">
        <v>0</v>
      </c>
      <c r="D446" s="7">
        <v>0</v>
      </c>
      <c r="E446" s="20" t="str">
        <f t="shared" si="6"/>
        <v>00</v>
      </c>
      <c r="F446" s="21">
        <v>4.5046683854551501</v>
      </c>
      <c r="G446" s="4">
        <v>0.65800000000000003</v>
      </c>
      <c r="H446" s="4">
        <v>0.55291005291005302</v>
      </c>
      <c r="I446" s="4">
        <v>0.62</v>
      </c>
      <c r="J446" s="4">
        <v>0.44</v>
      </c>
      <c r="K446" s="5">
        <v>0</v>
      </c>
      <c r="L446" s="5">
        <v>0</v>
      </c>
      <c r="M446" s="5">
        <v>0</v>
      </c>
      <c r="N446" s="5">
        <v>100</v>
      </c>
      <c r="O446" s="2">
        <v>1.072944541919532</v>
      </c>
      <c r="P446" s="2">
        <v>0.8049954806965145</v>
      </c>
      <c r="Q446" s="2">
        <v>0.96758402626170559</v>
      </c>
      <c r="R446" s="2">
        <v>0.57981849525294205</v>
      </c>
    </row>
    <row r="447" spans="1:18" x14ac:dyDescent="0.3">
      <c r="A447" s="7">
        <v>991</v>
      </c>
      <c r="B447" s="7">
        <v>207</v>
      </c>
      <c r="C447" s="7">
        <v>0</v>
      </c>
      <c r="D447" s="7">
        <v>0</v>
      </c>
      <c r="E447" s="20" t="str">
        <f t="shared" si="6"/>
        <v>00</v>
      </c>
      <c r="F447" s="21">
        <v>5.1299675977976698</v>
      </c>
      <c r="G447" s="4">
        <v>0.54600000000000004</v>
      </c>
      <c r="H447" s="4">
        <v>0.463476070528967</v>
      </c>
      <c r="I447" s="4">
        <v>0.503</v>
      </c>
      <c r="J447" s="4">
        <v>0.40500000000000003</v>
      </c>
      <c r="K447" s="5">
        <v>0</v>
      </c>
      <c r="L447" s="5">
        <v>100</v>
      </c>
      <c r="M447" s="5">
        <v>0</v>
      </c>
      <c r="N447" s="5">
        <v>100</v>
      </c>
      <c r="O447" s="2">
        <v>0.78965808094078915</v>
      </c>
      <c r="P447" s="2">
        <v>0.62264411497776484</v>
      </c>
      <c r="Q447" s="2">
        <v>0.69916525288550835</v>
      </c>
      <c r="R447" s="2">
        <v>0.51919387343650736</v>
      </c>
    </row>
    <row r="448" spans="1:18" x14ac:dyDescent="0.3">
      <c r="A448" s="7">
        <v>210</v>
      </c>
      <c r="B448" s="7">
        <v>22</v>
      </c>
      <c r="C448" s="7">
        <v>0</v>
      </c>
      <c r="D448" s="7">
        <v>0</v>
      </c>
      <c r="E448" s="20" t="str">
        <f t="shared" si="6"/>
        <v>00</v>
      </c>
      <c r="F448" s="21">
        <v>5.4361618653498098</v>
      </c>
      <c r="G448" s="4">
        <v>0.49</v>
      </c>
      <c r="H448" s="4">
        <v>0.40481927710843402</v>
      </c>
      <c r="I448" s="4">
        <v>0.55600000000000005</v>
      </c>
      <c r="J448" s="4">
        <v>0.38500000000000001</v>
      </c>
      <c r="K448" s="5">
        <v>100</v>
      </c>
      <c r="L448" s="5">
        <v>100</v>
      </c>
      <c r="M448" s="5">
        <v>0</v>
      </c>
      <c r="N448" s="5">
        <v>100</v>
      </c>
      <c r="O448" s="2">
        <v>0.67334455326376563</v>
      </c>
      <c r="P448" s="2">
        <v>0.51889018360272154</v>
      </c>
      <c r="Q448" s="2">
        <v>0.81193071654991245</v>
      </c>
      <c r="R448" s="2">
        <v>0.48613301117561919</v>
      </c>
    </row>
    <row r="449" spans="1:18" x14ac:dyDescent="0.3">
      <c r="A449" s="7">
        <v>355</v>
      </c>
      <c r="B449" s="7">
        <v>499</v>
      </c>
      <c r="C449" s="7">
        <v>0</v>
      </c>
      <c r="D449" s="7">
        <v>1</v>
      </c>
      <c r="E449" s="20" t="str">
        <f t="shared" si="6"/>
        <v>01</v>
      </c>
      <c r="F449" s="21">
        <v>2.5991278149666897E-4</v>
      </c>
      <c r="G449" s="4">
        <v>0.44</v>
      </c>
      <c r="H449" s="4">
        <v>0.3718820861678</v>
      </c>
      <c r="I449" s="4">
        <v>1</v>
      </c>
      <c r="J449" s="4">
        <v>1</v>
      </c>
      <c r="K449" s="5">
        <v>0</v>
      </c>
      <c r="L449" s="5">
        <v>0</v>
      </c>
      <c r="M449" s="5">
        <v>100</v>
      </c>
      <c r="N449" s="5">
        <v>100</v>
      </c>
      <c r="O449" s="2">
        <v>0.82098055206983023</v>
      </c>
      <c r="P449" s="2">
        <v>0.98917844762264884</v>
      </c>
      <c r="Q449" s="2">
        <v>1.0000050000287824E-5</v>
      </c>
      <c r="R449" s="2">
        <v>1.0000050000287824E-5</v>
      </c>
    </row>
    <row r="450" spans="1:18" x14ac:dyDescent="0.3">
      <c r="A450" s="7">
        <v>976</v>
      </c>
      <c r="B450" s="7">
        <v>500</v>
      </c>
      <c r="C450" s="7">
        <v>0</v>
      </c>
      <c r="D450" s="7">
        <v>1</v>
      </c>
      <c r="E450" s="20" t="str">
        <f t="shared" ref="E450:E513" si="7">_xlfn.CONCAT(C450,D450)</f>
        <v>01</v>
      </c>
      <c r="F450" s="21">
        <v>4.0220818258353502E-4</v>
      </c>
      <c r="G450" s="4">
        <v>0.63800000000000001</v>
      </c>
      <c r="H450" s="4">
        <v>0.52356020942408399</v>
      </c>
      <c r="I450" s="4">
        <v>1</v>
      </c>
      <c r="J450" s="4">
        <v>1</v>
      </c>
      <c r="K450" s="5">
        <v>100</v>
      </c>
      <c r="L450" s="5">
        <v>100</v>
      </c>
      <c r="M450" s="5">
        <v>100</v>
      </c>
      <c r="N450" s="5">
        <v>100</v>
      </c>
      <c r="O450" s="2">
        <v>0.44941699563734716</v>
      </c>
      <c r="P450" s="2">
        <v>0.64710324205853809</v>
      </c>
      <c r="Q450" s="2">
        <v>1.0000050000287824E-5</v>
      </c>
      <c r="R450" s="2">
        <v>1.0000050000287824E-5</v>
      </c>
    </row>
    <row r="451" spans="1:18" x14ac:dyDescent="0.3">
      <c r="A451" s="7">
        <v>6</v>
      </c>
      <c r="B451" s="7">
        <v>497</v>
      </c>
      <c r="C451" s="7">
        <v>0</v>
      </c>
      <c r="D451" s="7">
        <v>1</v>
      </c>
      <c r="E451" s="20" t="str">
        <f t="shared" si="7"/>
        <v>01</v>
      </c>
      <c r="F451" s="21">
        <v>6.3565497207623497E-4</v>
      </c>
      <c r="G451" s="4">
        <v>0.71699999999999997</v>
      </c>
      <c r="H451" s="4">
        <v>0.52348993288590595</v>
      </c>
      <c r="I451" s="4">
        <v>1</v>
      </c>
      <c r="J451" s="4">
        <v>1</v>
      </c>
      <c r="K451" s="5">
        <v>100</v>
      </c>
      <c r="L451" s="5">
        <v>100</v>
      </c>
      <c r="M451" s="5">
        <v>100</v>
      </c>
      <c r="N451" s="5">
        <v>100</v>
      </c>
      <c r="O451" s="2">
        <v>0.33267943838251673</v>
      </c>
      <c r="P451" s="2">
        <v>0.64723747925586761</v>
      </c>
      <c r="Q451" s="2">
        <v>1.0000050000287824E-5</v>
      </c>
      <c r="R451" s="2">
        <v>1.0000050000287824E-5</v>
      </c>
    </row>
    <row r="452" spans="1:18" x14ac:dyDescent="0.3">
      <c r="A452" s="7">
        <v>943</v>
      </c>
      <c r="B452" s="7">
        <v>499</v>
      </c>
      <c r="C452" s="7">
        <v>0</v>
      </c>
      <c r="D452" s="7">
        <v>1</v>
      </c>
      <c r="E452" s="20" t="str">
        <f t="shared" si="7"/>
        <v>01</v>
      </c>
      <c r="F452" s="21">
        <v>1.04177587684494E-3</v>
      </c>
      <c r="G452" s="4">
        <v>0.61899999999999999</v>
      </c>
      <c r="H452" s="4">
        <v>0.44686648501362403</v>
      </c>
      <c r="I452" s="4">
        <v>1</v>
      </c>
      <c r="J452" s="4">
        <v>1</v>
      </c>
      <c r="K452" s="5">
        <v>100</v>
      </c>
      <c r="L452" s="5">
        <v>0</v>
      </c>
      <c r="M452" s="5">
        <v>100</v>
      </c>
      <c r="N452" s="5">
        <v>100</v>
      </c>
      <c r="O452" s="2">
        <v>0.47965000629754095</v>
      </c>
      <c r="P452" s="2">
        <v>0.80549542023037179</v>
      </c>
      <c r="Q452" s="2">
        <v>1.0000050000287824E-5</v>
      </c>
      <c r="R452" s="2">
        <v>1.0000050000287824E-5</v>
      </c>
    </row>
    <row r="453" spans="1:18" x14ac:dyDescent="0.3">
      <c r="A453" s="7">
        <v>621</v>
      </c>
      <c r="B453" s="7">
        <v>499</v>
      </c>
      <c r="C453" s="7">
        <v>0</v>
      </c>
      <c r="D453" s="7">
        <v>1</v>
      </c>
      <c r="E453" s="20" t="str">
        <f t="shared" si="7"/>
        <v>01</v>
      </c>
      <c r="F453" s="21">
        <v>2.4587617985904302E-3</v>
      </c>
      <c r="G453" s="4">
        <v>0.47</v>
      </c>
      <c r="H453" s="4">
        <v>0.340425531914894</v>
      </c>
      <c r="I453" s="4">
        <v>1</v>
      </c>
      <c r="J453" s="4">
        <v>1</v>
      </c>
      <c r="K453" s="5">
        <v>0</v>
      </c>
      <c r="L453" s="5">
        <v>0</v>
      </c>
      <c r="M453" s="5">
        <v>100</v>
      </c>
      <c r="N453" s="5">
        <v>100</v>
      </c>
      <c r="O453" s="2">
        <v>0.75502258427803282</v>
      </c>
      <c r="P453" s="2">
        <v>1.0775588794702762</v>
      </c>
      <c r="Q453" s="2">
        <v>1.0000050000287824E-5</v>
      </c>
      <c r="R453" s="2">
        <v>1.0000050000287824E-5</v>
      </c>
    </row>
    <row r="454" spans="1:18" x14ac:dyDescent="0.3">
      <c r="A454" s="7">
        <v>429</v>
      </c>
      <c r="B454" s="7">
        <v>496</v>
      </c>
      <c r="C454" s="7">
        <v>0</v>
      </c>
      <c r="D454" s="7">
        <v>1</v>
      </c>
      <c r="E454" s="20" t="str">
        <f t="shared" si="7"/>
        <v>01</v>
      </c>
      <c r="F454" s="21">
        <v>3.01670618575448E-3</v>
      </c>
      <c r="G454" s="4">
        <v>0.442</v>
      </c>
      <c r="H454" s="4">
        <v>0.31742243436754197</v>
      </c>
      <c r="I454" s="4">
        <v>1</v>
      </c>
      <c r="J454" s="4">
        <v>0.998</v>
      </c>
      <c r="K454" s="5">
        <v>0</v>
      </c>
      <c r="L454" s="5">
        <v>0</v>
      </c>
      <c r="M454" s="5">
        <v>100</v>
      </c>
      <c r="N454" s="5">
        <v>100</v>
      </c>
      <c r="O454" s="2">
        <v>0.81644539690443896</v>
      </c>
      <c r="P454" s="2">
        <v>1.1475217917003833</v>
      </c>
      <c r="Q454" s="2">
        <v>1.0000050000287824E-5</v>
      </c>
      <c r="R454" s="2">
        <v>2.0020026706730793E-3</v>
      </c>
    </row>
    <row r="455" spans="1:18" x14ac:dyDescent="0.3">
      <c r="A455" s="7">
        <v>930</v>
      </c>
      <c r="B455" s="7">
        <v>497</v>
      </c>
      <c r="C455" s="7">
        <v>0</v>
      </c>
      <c r="D455" s="7">
        <v>1</v>
      </c>
      <c r="E455" s="20" t="str">
        <f t="shared" si="7"/>
        <v>01</v>
      </c>
      <c r="F455" s="21">
        <v>3.1408950224285602E-3</v>
      </c>
      <c r="G455" s="4">
        <v>0.67600000000000005</v>
      </c>
      <c r="H455" s="4">
        <v>0.52857142857142903</v>
      </c>
      <c r="I455" s="4">
        <v>1</v>
      </c>
      <c r="J455" s="4">
        <v>1</v>
      </c>
      <c r="K455" s="5">
        <v>100</v>
      </c>
      <c r="L455" s="5">
        <v>100</v>
      </c>
      <c r="M455" s="5">
        <v>100</v>
      </c>
      <c r="N455" s="5">
        <v>100</v>
      </c>
      <c r="O455" s="2">
        <v>0.39156220293917288</v>
      </c>
      <c r="P455" s="2">
        <v>0.63757732940513367</v>
      </c>
      <c r="Q455" s="2">
        <v>1.0000050000287824E-5</v>
      </c>
      <c r="R455" s="2">
        <v>1.0000050000287824E-5</v>
      </c>
    </row>
    <row r="456" spans="1:18" x14ac:dyDescent="0.3">
      <c r="A456" s="7">
        <v>336</v>
      </c>
      <c r="B456" s="7">
        <v>494</v>
      </c>
      <c r="C456" s="7">
        <v>0</v>
      </c>
      <c r="D456" s="7">
        <v>1</v>
      </c>
      <c r="E456" s="20" t="str">
        <f t="shared" si="7"/>
        <v>01</v>
      </c>
      <c r="F456" s="21">
        <v>6.0320272642401303E-3</v>
      </c>
      <c r="G456" s="4">
        <v>0.495</v>
      </c>
      <c r="H456" s="4">
        <v>0.42032332563510399</v>
      </c>
      <c r="I456" s="4">
        <v>0.999</v>
      </c>
      <c r="J456" s="4">
        <v>1</v>
      </c>
      <c r="K456" s="5">
        <v>0</v>
      </c>
      <c r="L456" s="5">
        <v>0</v>
      </c>
      <c r="M456" s="5">
        <v>100</v>
      </c>
      <c r="N456" s="5">
        <v>100</v>
      </c>
      <c r="O456" s="2">
        <v>0.70319751641344674</v>
      </c>
      <c r="P456" s="2">
        <v>0.86673104092569431</v>
      </c>
      <c r="Q456" s="2">
        <v>1.0005003335835344E-3</v>
      </c>
      <c r="R456" s="2">
        <v>1.0000050000287824E-5</v>
      </c>
    </row>
    <row r="457" spans="1:18" x14ac:dyDescent="0.3">
      <c r="A457" s="7">
        <v>430</v>
      </c>
      <c r="B457" s="7">
        <v>490</v>
      </c>
      <c r="C457" s="7">
        <v>0</v>
      </c>
      <c r="D457" s="7">
        <v>1</v>
      </c>
      <c r="E457" s="20" t="str">
        <f t="shared" si="7"/>
        <v>01</v>
      </c>
      <c r="F457" s="21">
        <v>1.05567543106629E-2</v>
      </c>
      <c r="G457" s="4">
        <v>0.59299999999999997</v>
      </c>
      <c r="H457" s="4">
        <v>0.48724489795918402</v>
      </c>
      <c r="I457" s="4">
        <v>1</v>
      </c>
      <c r="J457" s="4">
        <v>0.999</v>
      </c>
      <c r="K457" s="5">
        <v>100</v>
      </c>
      <c r="L457" s="5">
        <v>0</v>
      </c>
      <c r="M457" s="5">
        <v>100</v>
      </c>
      <c r="N457" s="5">
        <v>100</v>
      </c>
      <c r="O457" s="2">
        <v>0.5225608799844117</v>
      </c>
      <c r="P457" s="2">
        <v>0.71898841174383199</v>
      </c>
      <c r="Q457" s="2">
        <v>1.0000050000287824E-5</v>
      </c>
      <c r="R457" s="2">
        <v>1.0005003335835344E-3</v>
      </c>
    </row>
    <row r="458" spans="1:18" x14ac:dyDescent="0.3">
      <c r="A458" s="7">
        <v>678</v>
      </c>
      <c r="B458" s="7">
        <v>483</v>
      </c>
      <c r="C458" s="7">
        <v>0</v>
      </c>
      <c r="D458" s="7">
        <v>1</v>
      </c>
      <c r="E458" s="20" t="str">
        <f t="shared" si="7"/>
        <v>01</v>
      </c>
      <c r="F458" s="21">
        <v>1.0881206566064399E-2</v>
      </c>
      <c r="G458" s="4">
        <v>0.63200000000000001</v>
      </c>
      <c r="H458" s="4">
        <v>0.48493150684931502</v>
      </c>
      <c r="I458" s="4">
        <v>0.999</v>
      </c>
      <c r="J458" s="4">
        <v>0.996</v>
      </c>
      <c r="K458" s="5">
        <v>100</v>
      </c>
      <c r="L458" s="5">
        <v>0</v>
      </c>
      <c r="M458" s="5">
        <v>100</v>
      </c>
      <c r="N458" s="5">
        <v>100</v>
      </c>
      <c r="O458" s="2">
        <v>0.45886588483527962</v>
      </c>
      <c r="P458" s="2">
        <v>0.72374762100866241</v>
      </c>
      <c r="Q458" s="2">
        <v>1.0005003335835344E-3</v>
      </c>
      <c r="R458" s="2">
        <v>4.0080213975388218E-3</v>
      </c>
    </row>
    <row r="459" spans="1:18" x14ac:dyDescent="0.3">
      <c r="A459" s="7">
        <v>223</v>
      </c>
      <c r="B459" s="7">
        <v>485</v>
      </c>
      <c r="C459" s="7">
        <v>0</v>
      </c>
      <c r="D459" s="7">
        <v>1</v>
      </c>
      <c r="E459" s="20" t="str">
        <f t="shared" si="7"/>
        <v>01</v>
      </c>
      <c r="F459" s="21">
        <v>1.3171374204288299E-2</v>
      </c>
      <c r="G459" s="4">
        <v>0.55200000000000005</v>
      </c>
      <c r="H459" s="4">
        <v>0.39265536723163802</v>
      </c>
      <c r="I459" s="4">
        <v>0.94699999999999995</v>
      </c>
      <c r="J459" s="4">
        <v>0.97099999999999997</v>
      </c>
      <c r="K459" s="5">
        <v>100</v>
      </c>
      <c r="L459" s="5">
        <v>0</v>
      </c>
      <c r="M459" s="5">
        <v>100</v>
      </c>
      <c r="N459" s="5">
        <v>100</v>
      </c>
      <c r="O459" s="2">
        <v>0.59420723270504161</v>
      </c>
      <c r="P459" s="2">
        <v>0.93482298000308373</v>
      </c>
      <c r="Q459" s="2">
        <v>5.4456185796058855E-2</v>
      </c>
      <c r="R459" s="2">
        <v>2.9428810690812168E-2</v>
      </c>
    </row>
    <row r="460" spans="1:18" x14ac:dyDescent="0.3">
      <c r="A460" s="7">
        <v>726</v>
      </c>
      <c r="B460" s="7">
        <v>484</v>
      </c>
      <c r="C460" s="7">
        <v>0</v>
      </c>
      <c r="D460" s="7">
        <v>1</v>
      </c>
      <c r="E460" s="20" t="str">
        <f t="shared" si="7"/>
        <v>01</v>
      </c>
      <c r="F460" s="21">
        <v>1.6997283822515499E-2</v>
      </c>
      <c r="G460" s="4">
        <v>0.51900000000000002</v>
      </c>
      <c r="H460" s="4">
        <v>0.371428571428571</v>
      </c>
      <c r="I460" s="4">
        <v>0.999</v>
      </c>
      <c r="J460" s="4">
        <v>0.995</v>
      </c>
      <c r="K460" s="5">
        <v>100</v>
      </c>
      <c r="L460" s="5">
        <v>0</v>
      </c>
      <c r="M460" s="5">
        <v>100</v>
      </c>
      <c r="N460" s="5">
        <v>100</v>
      </c>
      <c r="O460" s="2">
        <v>0.65585139581624841</v>
      </c>
      <c r="P460" s="2">
        <v>0.99039870402787811</v>
      </c>
      <c r="Q460" s="2">
        <v>1.0005003335835344E-3</v>
      </c>
      <c r="R460" s="2">
        <v>5.0125418235442863E-3</v>
      </c>
    </row>
    <row r="461" spans="1:18" x14ac:dyDescent="0.3">
      <c r="A461" s="7">
        <v>204</v>
      </c>
      <c r="B461" s="7">
        <v>477</v>
      </c>
      <c r="C461" s="7">
        <v>0</v>
      </c>
      <c r="D461" s="7">
        <v>1</v>
      </c>
      <c r="E461" s="20" t="str">
        <f t="shared" si="7"/>
        <v>01</v>
      </c>
      <c r="F461" s="21">
        <v>1.9545864605814599E-2</v>
      </c>
      <c r="G461" s="4">
        <v>0.51800000000000002</v>
      </c>
      <c r="H461" s="4">
        <v>0.39331619537275098</v>
      </c>
      <c r="I461" s="4">
        <v>1</v>
      </c>
      <c r="J461" s="4">
        <v>0.997</v>
      </c>
      <c r="K461" s="5">
        <v>100</v>
      </c>
      <c r="L461" s="5">
        <v>0</v>
      </c>
      <c r="M461" s="5">
        <v>100</v>
      </c>
      <c r="N461" s="5">
        <v>100</v>
      </c>
      <c r="O461" s="2">
        <v>0.65778003672265395</v>
      </c>
      <c r="P461" s="2">
        <v>0.93314142222600993</v>
      </c>
      <c r="Q461" s="2">
        <v>1.0000050000287824E-5</v>
      </c>
      <c r="R461" s="2">
        <v>3.0045090202987243E-3</v>
      </c>
    </row>
    <row r="462" spans="1:18" x14ac:dyDescent="0.3">
      <c r="A462" s="7">
        <v>30</v>
      </c>
      <c r="B462" s="7">
        <v>486</v>
      </c>
      <c r="C462" s="7">
        <v>0</v>
      </c>
      <c r="D462" s="7">
        <v>1</v>
      </c>
      <c r="E462" s="20" t="str">
        <f t="shared" si="7"/>
        <v>01</v>
      </c>
      <c r="F462" s="21">
        <v>2.42751294283408E-2</v>
      </c>
      <c r="G462" s="4">
        <v>0.60899999999999999</v>
      </c>
      <c r="H462" s="4">
        <v>0.50938337801608602</v>
      </c>
      <c r="I462" s="4">
        <v>0.99299999999999999</v>
      </c>
      <c r="J462" s="4">
        <v>0.98099999999999998</v>
      </c>
      <c r="K462" s="5">
        <v>100</v>
      </c>
      <c r="L462" s="5">
        <v>100</v>
      </c>
      <c r="M462" s="5">
        <v>100</v>
      </c>
      <c r="N462" s="5">
        <v>100</v>
      </c>
      <c r="O462" s="2">
        <v>0.49593701127224005</v>
      </c>
      <c r="P462" s="2">
        <v>0.67455434748332899</v>
      </c>
      <c r="Q462" s="2">
        <v>7.0246149369644663E-3</v>
      </c>
      <c r="R462" s="2">
        <v>1.9182819416773987E-2</v>
      </c>
    </row>
    <row r="463" spans="1:18" x14ac:dyDescent="0.3">
      <c r="A463" s="7">
        <v>78</v>
      </c>
      <c r="B463" s="7">
        <v>474</v>
      </c>
      <c r="C463" s="7">
        <v>0</v>
      </c>
      <c r="D463" s="7">
        <v>1</v>
      </c>
      <c r="E463" s="20" t="str">
        <f t="shared" si="7"/>
        <v>01</v>
      </c>
      <c r="F463" s="21">
        <v>2.5788174154123801E-2</v>
      </c>
      <c r="G463" s="4">
        <v>0.52</v>
      </c>
      <c r="H463" s="4">
        <v>0.41396508728179499</v>
      </c>
      <c r="I463" s="4">
        <v>0.95899999999999996</v>
      </c>
      <c r="J463" s="4">
        <v>0.95899999999999996</v>
      </c>
      <c r="K463" s="5">
        <v>100</v>
      </c>
      <c r="L463" s="5">
        <v>0</v>
      </c>
      <c r="M463" s="5">
        <v>100</v>
      </c>
      <c r="N463" s="5">
        <v>100</v>
      </c>
      <c r="O463" s="2">
        <v>0.65392646740666394</v>
      </c>
      <c r="P463" s="2">
        <v>0.88197363895002723</v>
      </c>
      <c r="Q463" s="2">
        <v>4.1864204098698871E-2</v>
      </c>
      <c r="R463" s="2">
        <v>4.1864204098698871E-2</v>
      </c>
    </row>
    <row r="464" spans="1:18" x14ac:dyDescent="0.3">
      <c r="A464" s="7">
        <v>371</v>
      </c>
      <c r="B464" s="7">
        <v>458</v>
      </c>
      <c r="C464" s="7">
        <v>0</v>
      </c>
      <c r="D464" s="7">
        <v>1</v>
      </c>
      <c r="E464" s="20" t="str">
        <f t="shared" si="7"/>
        <v>01</v>
      </c>
      <c r="F464" s="21">
        <v>2.6902709708120299E-2</v>
      </c>
      <c r="G464" s="4">
        <v>0.628</v>
      </c>
      <c r="H464" s="4">
        <v>0.468926553672316</v>
      </c>
      <c r="I464" s="4">
        <v>0.997</v>
      </c>
      <c r="J464" s="4">
        <v>0.996</v>
      </c>
      <c r="K464" s="5">
        <v>100</v>
      </c>
      <c r="L464" s="5">
        <v>0</v>
      </c>
      <c r="M464" s="5">
        <v>100</v>
      </c>
      <c r="N464" s="5">
        <v>100</v>
      </c>
      <c r="O464" s="2">
        <v>0.46521511251393838</v>
      </c>
      <c r="P464" s="2">
        <v>0.757309124777232</v>
      </c>
      <c r="Q464" s="2">
        <v>3.0045090202987243E-3</v>
      </c>
      <c r="R464" s="2">
        <v>4.0080213975388218E-3</v>
      </c>
    </row>
    <row r="465" spans="1:18" x14ac:dyDescent="0.3">
      <c r="A465" s="7">
        <v>814</v>
      </c>
      <c r="B465" s="7">
        <v>474</v>
      </c>
      <c r="C465" s="7">
        <v>0</v>
      </c>
      <c r="D465" s="7">
        <v>1</v>
      </c>
      <c r="E465" s="20" t="str">
        <f t="shared" si="7"/>
        <v>01</v>
      </c>
      <c r="F465" s="21">
        <v>2.72938940440293E-2</v>
      </c>
      <c r="G465" s="4">
        <v>0.49199999999999999</v>
      </c>
      <c r="H465" s="4">
        <v>0.40180586907449201</v>
      </c>
      <c r="I465" s="4">
        <v>0.95799999999999996</v>
      </c>
      <c r="J465" s="4">
        <v>0.95</v>
      </c>
      <c r="K465" s="5">
        <v>0</v>
      </c>
      <c r="L465" s="5">
        <v>0</v>
      </c>
      <c r="M465" s="5">
        <v>100</v>
      </c>
      <c r="N465" s="5">
        <v>100</v>
      </c>
      <c r="O465" s="2">
        <v>0.70927656248982895</v>
      </c>
      <c r="P465" s="2">
        <v>0.91178621975305074</v>
      </c>
      <c r="Q465" s="2">
        <v>4.290750101127655E-2</v>
      </c>
      <c r="R465" s="2">
        <v>5.1293294387550578E-2</v>
      </c>
    </row>
    <row r="466" spans="1:18" x14ac:dyDescent="0.3">
      <c r="A466" s="7">
        <v>383</v>
      </c>
      <c r="B466" s="7">
        <v>478</v>
      </c>
      <c r="C466" s="7">
        <v>0</v>
      </c>
      <c r="D466" s="7">
        <v>1</v>
      </c>
      <c r="E466" s="20" t="str">
        <f t="shared" si="7"/>
        <v>01</v>
      </c>
      <c r="F466" s="21">
        <v>2.9170883801500999E-2</v>
      </c>
      <c r="G466" s="4">
        <v>0.40100000000000002</v>
      </c>
      <c r="H466" s="4">
        <v>0.34004474272930701</v>
      </c>
      <c r="I466" s="4">
        <v>0.995</v>
      </c>
      <c r="J466" s="4">
        <v>0.98799999999999999</v>
      </c>
      <c r="K466" s="5">
        <v>0</v>
      </c>
      <c r="L466" s="5">
        <v>0</v>
      </c>
      <c r="M466" s="5">
        <v>100</v>
      </c>
      <c r="N466" s="5">
        <v>100</v>
      </c>
      <c r="O466" s="2">
        <v>0.91379385167556781</v>
      </c>
      <c r="P466" s="2">
        <v>1.078678073767291</v>
      </c>
      <c r="Q466" s="2">
        <v>5.0125418235442863E-3</v>
      </c>
      <c r="R466" s="2">
        <v>1.2072581234269249E-2</v>
      </c>
    </row>
    <row r="467" spans="1:18" x14ac:dyDescent="0.3">
      <c r="A467" s="7">
        <v>299</v>
      </c>
      <c r="B467" s="7">
        <v>460</v>
      </c>
      <c r="C467" s="7">
        <v>0</v>
      </c>
      <c r="D467" s="7">
        <v>1</v>
      </c>
      <c r="E467" s="20" t="str">
        <f t="shared" si="7"/>
        <v>01</v>
      </c>
      <c r="F467" s="21">
        <v>3.1620745993839697E-2</v>
      </c>
      <c r="G467" s="4">
        <v>0.57399999999999995</v>
      </c>
      <c r="H467" s="4">
        <v>0.44063324538258603</v>
      </c>
      <c r="I467" s="4">
        <v>0.996</v>
      </c>
      <c r="J467" s="4">
        <v>0.99299999999999999</v>
      </c>
      <c r="K467" s="5">
        <v>100</v>
      </c>
      <c r="L467" s="5">
        <v>0</v>
      </c>
      <c r="M467" s="5">
        <v>100</v>
      </c>
      <c r="N467" s="5">
        <v>100</v>
      </c>
      <c r="O467" s="2">
        <v>0.55512588266257068</v>
      </c>
      <c r="P467" s="2">
        <v>0.81954239266567064</v>
      </c>
      <c r="Q467" s="2">
        <v>4.0080213975388218E-3</v>
      </c>
      <c r="R467" s="2">
        <v>7.0246149369644663E-3</v>
      </c>
    </row>
    <row r="468" spans="1:18" x14ac:dyDescent="0.3">
      <c r="A468" s="7">
        <v>72</v>
      </c>
      <c r="B468" s="7">
        <v>474</v>
      </c>
      <c r="C468" s="7">
        <v>0</v>
      </c>
      <c r="D468" s="7">
        <v>1</v>
      </c>
      <c r="E468" s="20" t="str">
        <f t="shared" si="7"/>
        <v>01</v>
      </c>
      <c r="F468" s="21">
        <v>3.1888041112773602E-2</v>
      </c>
      <c r="G468" s="4">
        <v>0.46700000000000003</v>
      </c>
      <c r="H468" s="4">
        <v>0.33086419753086399</v>
      </c>
      <c r="I468" s="4">
        <v>0.99199999999999999</v>
      </c>
      <c r="J468" s="4">
        <v>0.996</v>
      </c>
      <c r="K468" s="5">
        <v>0</v>
      </c>
      <c r="L468" s="5">
        <v>0</v>
      </c>
      <c r="M468" s="5">
        <v>100</v>
      </c>
      <c r="N468" s="5">
        <v>100</v>
      </c>
      <c r="O468" s="2">
        <v>0.76142602131323966</v>
      </c>
      <c r="P468" s="2">
        <v>1.1060472671556283</v>
      </c>
      <c r="Q468" s="2">
        <v>8.0321716972642666E-3</v>
      </c>
      <c r="R468" s="2">
        <v>4.0080213975388218E-3</v>
      </c>
    </row>
    <row r="469" spans="1:18" x14ac:dyDescent="0.3">
      <c r="A469" s="7">
        <v>730</v>
      </c>
      <c r="B469" s="7">
        <v>478</v>
      </c>
      <c r="C469" s="7">
        <v>0</v>
      </c>
      <c r="D469" s="7">
        <v>1</v>
      </c>
      <c r="E469" s="20" t="str">
        <f t="shared" si="7"/>
        <v>01</v>
      </c>
      <c r="F469" s="21">
        <v>3.3861320663558001E-2</v>
      </c>
      <c r="G469" s="4">
        <v>0.44</v>
      </c>
      <c r="H469" s="4">
        <v>0.35897435897435898</v>
      </c>
      <c r="I469" s="4">
        <v>0.999</v>
      </c>
      <c r="J469" s="4">
        <v>0.99299999999999999</v>
      </c>
      <c r="K469" s="5">
        <v>0</v>
      </c>
      <c r="L469" s="5">
        <v>0</v>
      </c>
      <c r="M469" s="5">
        <v>100</v>
      </c>
      <c r="N469" s="5">
        <v>100</v>
      </c>
      <c r="O469" s="2">
        <v>0.82098055206983023</v>
      </c>
      <c r="P469" s="2">
        <v>1.0245043165143879</v>
      </c>
      <c r="Q469" s="2">
        <v>1.0005003335835344E-3</v>
      </c>
      <c r="R469" s="2">
        <v>7.0246149369644663E-3</v>
      </c>
    </row>
    <row r="470" spans="1:18" x14ac:dyDescent="0.3">
      <c r="A470" s="7">
        <v>834</v>
      </c>
      <c r="B470" s="7">
        <v>468</v>
      </c>
      <c r="C470" s="7">
        <v>0</v>
      </c>
      <c r="D470" s="7">
        <v>1</v>
      </c>
      <c r="E470" s="20" t="str">
        <f t="shared" si="7"/>
        <v>01</v>
      </c>
      <c r="F470" s="21">
        <v>3.5652510512124702E-2</v>
      </c>
      <c r="G470" s="4">
        <v>0.52500000000000002</v>
      </c>
      <c r="H470" s="4">
        <v>0.43614457831325298</v>
      </c>
      <c r="I470" s="4">
        <v>0.99299999999999999</v>
      </c>
      <c r="J470" s="4">
        <v>0.99</v>
      </c>
      <c r="K470" s="5">
        <v>100</v>
      </c>
      <c r="L470" s="5">
        <v>0</v>
      </c>
      <c r="M470" s="5">
        <v>100</v>
      </c>
      <c r="N470" s="5">
        <v>100</v>
      </c>
      <c r="O470" s="2">
        <v>0.64435701639051324</v>
      </c>
      <c r="P470" s="2">
        <v>0.82978148896487258</v>
      </c>
      <c r="Q470" s="2">
        <v>7.0246149369644663E-3</v>
      </c>
      <c r="R470" s="2">
        <v>1.0050335853501451E-2</v>
      </c>
    </row>
    <row r="471" spans="1:18" x14ac:dyDescent="0.3">
      <c r="A471" s="7">
        <v>86</v>
      </c>
      <c r="B471" s="7">
        <v>456</v>
      </c>
      <c r="C471" s="7">
        <v>0</v>
      </c>
      <c r="D471" s="7">
        <v>1</v>
      </c>
      <c r="E471" s="20" t="str">
        <f t="shared" si="7"/>
        <v>01</v>
      </c>
      <c r="F471" s="21">
        <v>3.7601678313867903E-2</v>
      </c>
      <c r="G471" s="4">
        <v>0.69199999999999995</v>
      </c>
      <c r="H471" s="4">
        <v>0.56097560975609795</v>
      </c>
      <c r="I471" s="4">
        <v>0.999</v>
      </c>
      <c r="J471" s="4">
        <v>0.996</v>
      </c>
      <c r="K471" s="5">
        <v>100</v>
      </c>
      <c r="L471" s="5">
        <v>100</v>
      </c>
      <c r="M471" s="5">
        <v>100</v>
      </c>
      <c r="N471" s="5">
        <v>100</v>
      </c>
      <c r="O471" s="2">
        <v>0.36816932336446756</v>
      </c>
      <c r="P471" s="2">
        <v>0.57807785077515739</v>
      </c>
      <c r="Q471" s="2">
        <v>1.0005003335835344E-3</v>
      </c>
      <c r="R471" s="2">
        <v>4.0080213975388218E-3</v>
      </c>
    </row>
    <row r="472" spans="1:18" x14ac:dyDescent="0.3">
      <c r="A472" s="7">
        <v>811</v>
      </c>
      <c r="B472" s="7">
        <v>474</v>
      </c>
      <c r="C472" s="7">
        <v>0</v>
      </c>
      <c r="D472" s="7">
        <v>1</v>
      </c>
      <c r="E472" s="20" t="str">
        <f t="shared" si="7"/>
        <v>01</v>
      </c>
      <c r="F472" s="21">
        <v>4.60298898497968E-2</v>
      </c>
      <c r="G472" s="4">
        <v>0.63100000000000001</v>
      </c>
      <c r="H472" s="4">
        <v>0.47660818713450298</v>
      </c>
      <c r="I472" s="4">
        <v>0.995</v>
      </c>
      <c r="J472" s="4">
        <v>0.99299999999999999</v>
      </c>
      <c r="K472" s="5">
        <v>100</v>
      </c>
      <c r="L472" s="5">
        <v>0</v>
      </c>
      <c r="M472" s="5">
        <v>100</v>
      </c>
      <c r="N472" s="5">
        <v>100</v>
      </c>
      <c r="O472" s="2">
        <v>0.46044941644092391</v>
      </c>
      <c r="P472" s="2">
        <v>0.74106053625584267</v>
      </c>
      <c r="Q472" s="2">
        <v>5.0125418235442863E-3</v>
      </c>
      <c r="R472" s="2">
        <v>7.0246149369644663E-3</v>
      </c>
    </row>
    <row r="473" spans="1:18" x14ac:dyDescent="0.3">
      <c r="A473" s="7">
        <v>791</v>
      </c>
      <c r="B473" s="7">
        <v>429</v>
      </c>
      <c r="C473" s="7">
        <v>0</v>
      </c>
      <c r="D473" s="7">
        <v>1</v>
      </c>
      <c r="E473" s="20" t="str">
        <f t="shared" si="7"/>
        <v>01</v>
      </c>
      <c r="F473" s="21">
        <v>5.5699034078513197E-2</v>
      </c>
      <c r="G473" s="4">
        <v>0.70699999999999996</v>
      </c>
      <c r="H473" s="4">
        <v>0.54227405247813398</v>
      </c>
      <c r="I473" s="4">
        <v>0.92900000000000005</v>
      </c>
      <c r="J473" s="4">
        <v>0.91200000000000003</v>
      </c>
      <c r="K473" s="5">
        <v>100</v>
      </c>
      <c r="L473" s="5">
        <v>100</v>
      </c>
      <c r="M473" s="5">
        <v>100</v>
      </c>
      <c r="N473" s="5">
        <v>100</v>
      </c>
      <c r="O473" s="2">
        <v>0.34672461308556435</v>
      </c>
      <c r="P473" s="2">
        <v>0.61198377345273891</v>
      </c>
      <c r="Q473" s="2">
        <v>7.3646540168298483E-2</v>
      </c>
      <c r="R473" s="2">
        <v>9.2115288907805626E-2</v>
      </c>
    </row>
    <row r="474" spans="1:18" x14ac:dyDescent="0.3">
      <c r="A474" s="7">
        <v>850</v>
      </c>
      <c r="B474" s="7">
        <v>456</v>
      </c>
      <c r="C474" s="7">
        <v>0</v>
      </c>
      <c r="D474" s="7">
        <v>1</v>
      </c>
      <c r="E474" s="20" t="str">
        <f t="shared" si="7"/>
        <v>01</v>
      </c>
      <c r="F474" s="21">
        <v>5.5819909619304303E-2</v>
      </c>
      <c r="G474" s="4">
        <v>0.53900000000000003</v>
      </c>
      <c r="H474" s="4">
        <v>0.41734417344173402</v>
      </c>
      <c r="I474" s="4">
        <v>0.999</v>
      </c>
      <c r="J474" s="4">
        <v>0.996</v>
      </c>
      <c r="K474" s="5">
        <v>100</v>
      </c>
      <c r="L474" s="5">
        <v>0</v>
      </c>
      <c r="M474" s="5">
        <v>100</v>
      </c>
      <c r="N474" s="5">
        <v>100</v>
      </c>
      <c r="O474" s="2">
        <v>0.61803970807313979</v>
      </c>
      <c r="P474" s="2">
        <v>0.87384404162689899</v>
      </c>
      <c r="Q474" s="2">
        <v>1.0005003335835344E-3</v>
      </c>
      <c r="R474" s="2">
        <v>4.0080213975388218E-3</v>
      </c>
    </row>
    <row r="475" spans="1:18" x14ac:dyDescent="0.3">
      <c r="A475" s="7">
        <v>679</v>
      </c>
      <c r="B475" s="7">
        <v>454</v>
      </c>
      <c r="C475" s="7">
        <v>0</v>
      </c>
      <c r="D475" s="7">
        <v>1</v>
      </c>
      <c r="E475" s="20" t="str">
        <f t="shared" si="7"/>
        <v>01</v>
      </c>
      <c r="F475" s="21">
        <v>5.59127412250362E-2</v>
      </c>
      <c r="G475" s="4">
        <v>0.45400000000000001</v>
      </c>
      <c r="H475" s="4">
        <v>0.36596736596736601</v>
      </c>
      <c r="I475" s="4">
        <v>0.98599999999999999</v>
      </c>
      <c r="J475" s="4">
        <v>0.98899999999999999</v>
      </c>
      <c r="K475" s="5">
        <v>0</v>
      </c>
      <c r="L475" s="5">
        <v>0</v>
      </c>
      <c r="M475" s="5">
        <v>100</v>
      </c>
      <c r="N475" s="5">
        <v>100</v>
      </c>
      <c r="O475" s="2">
        <v>0.78965808094078904</v>
      </c>
      <c r="P475" s="2">
        <v>1.0052111135797088</v>
      </c>
      <c r="Q475" s="2">
        <v>1.4098924379501648E-2</v>
      </c>
      <c r="R475" s="2">
        <v>1.1060947359424948E-2</v>
      </c>
    </row>
    <row r="476" spans="1:18" x14ac:dyDescent="0.3">
      <c r="A476" s="7">
        <v>622</v>
      </c>
      <c r="B476" s="7">
        <v>449</v>
      </c>
      <c r="C476" s="7">
        <v>0</v>
      </c>
      <c r="D476" s="7">
        <v>1</v>
      </c>
      <c r="E476" s="20" t="str">
        <f t="shared" si="7"/>
        <v>01</v>
      </c>
      <c r="F476" s="21">
        <v>5.7564182350999402E-2</v>
      </c>
      <c r="G476" s="4">
        <v>0.65100000000000002</v>
      </c>
      <c r="H476" s="4">
        <v>0.474683544303797</v>
      </c>
      <c r="I476" s="4">
        <v>0.997</v>
      </c>
      <c r="J476" s="4">
        <v>0.98799999999999999</v>
      </c>
      <c r="K476" s="5">
        <v>100</v>
      </c>
      <c r="L476" s="5">
        <v>0</v>
      </c>
      <c r="M476" s="5">
        <v>100</v>
      </c>
      <c r="N476" s="5">
        <v>100</v>
      </c>
      <c r="O476" s="2">
        <v>0.42924563677356775</v>
      </c>
      <c r="P476" s="2">
        <v>0.74510691949065733</v>
      </c>
      <c r="Q476" s="2">
        <v>3.0045090202987243E-3</v>
      </c>
      <c r="R476" s="2">
        <v>1.2072581234269249E-2</v>
      </c>
    </row>
    <row r="477" spans="1:18" x14ac:dyDescent="0.3">
      <c r="A477" s="7">
        <v>4</v>
      </c>
      <c r="B477" s="7">
        <v>457</v>
      </c>
      <c r="C477" s="7">
        <v>0</v>
      </c>
      <c r="D477" s="7">
        <v>1</v>
      </c>
      <c r="E477" s="20" t="str">
        <f t="shared" si="7"/>
        <v>01</v>
      </c>
      <c r="F477" s="21">
        <v>5.8138408747246698E-2</v>
      </c>
      <c r="G477" s="4">
        <v>0.39400000000000002</v>
      </c>
      <c r="H477" s="4">
        <v>0.304740406320542</v>
      </c>
      <c r="I477" s="4">
        <v>0.98199999999999998</v>
      </c>
      <c r="J477" s="4">
        <v>0.99</v>
      </c>
      <c r="K477" s="5">
        <v>0</v>
      </c>
      <c r="L477" s="5">
        <v>0</v>
      </c>
      <c r="M477" s="5">
        <v>100</v>
      </c>
      <c r="N477" s="5">
        <v>100</v>
      </c>
      <c r="O477" s="2">
        <v>0.93140436968420315</v>
      </c>
      <c r="P477" s="2">
        <v>1.1882949916067054</v>
      </c>
      <c r="Q477" s="2">
        <v>1.816397062767118E-2</v>
      </c>
      <c r="R477" s="2">
        <v>1.0050335853501451E-2</v>
      </c>
    </row>
    <row r="478" spans="1:18" x14ac:dyDescent="0.3">
      <c r="A478" s="7">
        <v>296</v>
      </c>
      <c r="B478" s="7">
        <v>440</v>
      </c>
      <c r="C478" s="7">
        <v>0</v>
      </c>
      <c r="D478" s="7">
        <v>1</v>
      </c>
      <c r="E478" s="20" t="str">
        <f t="shared" si="7"/>
        <v>01</v>
      </c>
      <c r="F478" s="21">
        <v>6.0091478203701899E-2</v>
      </c>
      <c r="G478" s="4">
        <v>0.57099999999999995</v>
      </c>
      <c r="H478" s="4">
        <v>0.439393939393939</v>
      </c>
      <c r="I478" s="4">
        <v>0.96699999999999997</v>
      </c>
      <c r="J478" s="4">
        <v>0.94899999999999995</v>
      </c>
      <c r="K478" s="5">
        <v>100</v>
      </c>
      <c r="L478" s="5">
        <v>0</v>
      </c>
      <c r="M478" s="5">
        <v>100</v>
      </c>
      <c r="N478" s="5">
        <v>100</v>
      </c>
      <c r="O478" s="2">
        <v>0.56036606932612687</v>
      </c>
      <c r="P478" s="2">
        <v>0.82235891203995237</v>
      </c>
      <c r="Q478" s="2">
        <v>3.3556783528842754E-2</v>
      </c>
      <c r="R478" s="2">
        <v>5.2346480372209236E-2</v>
      </c>
    </row>
    <row r="479" spans="1:18" x14ac:dyDescent="0.3">
      <c r="A479" s="7">
        <v>905</v>
      </c>
      <c r="B479" s="7">
        <v>441</v>
      </c>
      <c r="C479" s="7">
        <v>0</v>
      </c>
      <c r="D479" s="7">
        <v>1</v>
      </c>
      <c r="E479" s="20" t="str">
        <f t="shared" si="7"/>
        <v>01</v>
      </c>
      <c r="F479" s="21">
        <v>6.2539789936852705E-2</v>
      </c>
      <c r="G479" s="4">
        <v>0.85</v>
      </c>
      <c r="H479" s="4">
        <v>0.71264367816092</v>
      </c>
      <c r="I479" s="4">
        <v>0.998</v>
      </c>
      <c r="J479" s="4">
        <v>0.99299999999999999</v>
      </c>
      <c r="K479" s="5">
        <v>100</v>
      </c>
      <c r="L479" s="5">
        <v>100</v>
      </c>
      <c r="M479" s="5">
        <v>100</v>
      </c>
      <c r="N479" s="5">
        <v>100</v>
      </c>
      <c r="O479" s="2">
        <v>0.16251892949777494</v>
      </c>
      <c r="P479" s="2">
        <v>0.33877373360949153</v>
      </c>
      <c r="Q479" s="2">
        <v>2.0020026706730793E-3</v>
      </c>
      <c r="R479" s="2">
        <v>7.0246149369644663E-3</v>
      </c>
    </row>
    <row r="480" spans="1:18" x14ac:dyDescent="0.3">
      <c r="A480" s="7">
        <v>107</v>
      </c>
      <c r="B480" s="7">
        <v>446</v>
      </c>
      <c r="C480" s="7">
        <v>0</v>
      </c>
      <c r="D480" s="7">
        <v>1</v>
      </c>
      <c r="E480" s="20" t="str">
        <f t="shared" si="7"/>
        <v>01</v>
      </c>
      <c r="F480" s="21">
        <v>6.3866970463792194E-2</v>
      </c>
      <c r="G480" s="4">
        <v>0.64100000000000001</v>
      </c>
      <c r="H480" s="4">
        <v>0.55990220048899797</v>
      </c>
      <c r="I480" s="4">
        <v>0.98899999999999999</v>
      </c>
      <c r="J480" s="4">
        <v>0.99</v>
      </c>
      <c r="K480" s="5">
        <v>100</v>
      </c>
      <c r="L480" s="5">
        <v>100</v>
      </c>
      <c r="M480" s="5">
        <v>100</v>
      </c>
      <c r="N480" s="5">
        <v>100</v>
      </c>
      <c r="O480" s="2">
        <v>0.44472582206146699</v>
      </c>
      <c r="P480" s="2">
        <v>0.57999315248856131</v>
      </c>
      <c r="Q480" s="2">
        <v>1.1060947359424948E-2</v>
      </c>
      <c r="R480" s="2">
        <v>1.0050335853501451E-2</v>
      </c>
    </row>
    <row r="481" spans="1:18" x14ac:dyDescent="0.3">
      <c r="A481" s="7">
        <v>297</v>
      </c>
      <c r="B481" s="7">
        <v>445</v>
      </c>
      <c r="C481" s="7">
        <v>0</v>
      </c>
      <c r="D481" s="7">
        <v>1</v>
      </c>
      <c r="E481" s="20" t="str">
        <f t="shared" si="7"/>
        <v>01</v>
      </c>
      <c r="F481" s="21">
        <v>6.4560439608422004E-2</v>
      </c>
      <c r="G481" s="4">
        <v>0.64200000000000002</v>
      </c>
      <c r="H481" s="4">
        <v>0.560606060606061</v>
      </c>
      <c r="I481" s="4">
        <v>0.98299999999999998</v>
      </c>
      <c r="J481" s="4">
        <v>0.97699999999999998</v>
      </c>
      <c r="K481" s="5">
        <v>100</v>
      </c>
      <c r="L481" s="5">
        <v>100</v>
      </c>
      <c r="M481" s="5">
        <v>100</v>
      </c>
      <c r="N481" s="5">
        <v>100</v>
      </c>
      <c r="O481" s="2">
        <v>0.44316697529217586</v>
      </c>
      <c r="P481" s="2">
        <v>0.57873682938220039</v>
      </c>
      <c r="Q481" s="2">
        <v>1.7146158834970514E-2</v>
      </c>
      <c r="R481" s="2">
        <v>2.3268626939354331E-2</v>
      </c>
    </row>
    <row r="482" spans="1:18" x14ac:dyDescent="0.3">
      <c r="A482" s="7">
        <v>412</v>
      </c>
      <c r="B482" s="7">
        <v>435</v>
      </c>
      <c r="C482" s="7">
        <v>0</v>
      </c>
      <c r="D482" s="7">
        <v>1</v>
      </c>
      <c r="E482" s="20" t="str">
        <f t="shared" si="7"/>
        <v>01</v>
      </c>
      <c r="F482" s="21">
        <v>6.5215199578964503E-2</v>
      </c>
      <c r="G482" s="4">
        <v>0.57599999999999996</v>
      </c>
      <c r="H482" s="4">
        <v>0.47012987012987001</v>
      </c>
      <c r="I482" s="4">
        <v>0.98</v>
      </c>
      <c r="J482" s="4">
        <v>0.96799999999999997</v>
      </c>
      <c r="K482" s="5">
        <v>100</v>
      </c>
      <c r="L482" s="5">
        <v>0</v>
      </c>
      <c r="M482" s="5">
        <v>100</v>
      </c>
      <c r="N482" s="5">
        <v>100</v>
      </c>
      <c r="O482" s="2">
        <v>0.55164761828624587</v>
      </c>
      <c r="P482" s="2">
        <v>0.75474630302195878</v>
      </c>
      <c r="Q482" s="2">
        <v>2.0202707317519466E-2</v>
      </c>
      <c r="R482" s="2">
        <v>3.2523191705560062E-2</v>
      </c>
    </row>
    <row r="483" spans="1:18" x14ac:dyDescent="0.3">
      <c r="A483" s="7">
        <v>493</v>
      </c>
      <c r="B483" s="7">
        <v>431</v>
      </c>
      <c r="C483" s="7">
        <v>0</v>
      </c>
      <c r="D483" s="7">
        <v>1</v>
      </c>
      <c r="E483" s="20" t="str">
        <f t="shared" si="7"/>
        <v>01</v>
      </c>
      <c r="F483" s="21">
        <v>6.5942011556974697E-2</v>
      </c>
      <c r="G483" s="4">
        <v>0.45100000000000001</v>
      </c>
      <c r="H483" s="4">
        <v>0.355392156862745</v>
      </c>
      <c r="I483" s="4">
        <v>0.99399999999999999</v>
      </c>
      <c r="J483" s="4">
        <v>0.98899999999999999</v>
      </c>
      <c r="K483" s="5">
        <v>0</v>
      </c>
      <c r="L483" s="5">
        <v>0</v>
      </c>
      <c r="M483" s="5">
        <v>100</v>
      </c>
      <c r="N483" s="5">
        <v>100</v>
      </c>
      <c r="O483" s="2">
        <v>0.79628793947945864</v>
      </c>
      <c r="P483" s="2">
        <v>1.0345334319835875</v>
      </c>
      <c r="Q483" s="2">
        <v>6.0180723255630212E-3</v>
      </c>
      <c r="R483" s="2">
        <v>1.1060947359424948E-2</v>
      </c>
    </row>
    <row r="484" spans="1:18" x14ac:dyDescent="0.3">
      <c r="A484" s="7">
        <v>272</v>
      </c>
      <c r="B484" s="7">
        <v>443</v>
      </c>
      <c r="C484" s="7">
        <v>0</v>
      </c>
      <c r="D484" s="7">
        <v>1</v>
      </c>
      <c r="E484" s="20" t="str">
        <f t="shared" si="7"/>
        <v>01</v>
      </c>
      <c r="F484" s="21">
        <v>6.6026036275994293E-2</v>
      </c>
      <c r="G484" s="4">
        <v>0.70699999999999996</v>
      </c>
      <c r="H484" s="4">
        <v>0.57142857142857095</v>
      </c>
      <c r="I484" s="4">
        <v>0.998</v>
      </c>
      <c r="J484" s="4">
        <v>0.99199999999999999</v>
      </c>
      <c r="K484" s="5">
        <v>100</v>
      </c>
      <c r="L484" s="5">
        <v>100</v>
      </c>
      <c r="M484" s="5">
        <v>100</v>
      </c>
      <c r="N484" s="5">
        <v>100</v>
      </c>
      <c r="O484" s="2">
        <v>0.34672461308556435</v>
      </c>
      <c r="P484" s="2">
        <v>0.55961578793542355</v>
      </c>
      <c r="Q484" s="2">
        <v>2.0020026706730793E-3</v>
      </c>
      <c r="R484" s="2">
        <v>8.0321716972642666E-3</v>
      </c>
    </row>
    <row r="485" spans="1:18" x14ac:dyDescent="0.3">
      <c r="A485" s="7">
        <v>628</v>
      </c>
      <c r="B485" s="7">
        <v>439</v>
      </c>
      <c r="C485" s="7">
        <v>0</v>
      </c>
      <c r="D485" s="7">
        <v>1</v>
      </c>
      <c r="E485" s="20" t="str">
        <f t="shared" si="7"/>
        <v>01</v>
      </c>
      <c r="F485" s="21">
        <v>6.6524880425930605E-2</v>
      </c>
      <c r="G485" s="4">
        <v>0.44400000000000001</v>
      </c>
      <c r="H485" s="4">
        <v>0.35786802030456899</v>
      </c>
      <c r="I485" s="4">
        <v>0.98599999999999999</v>
      </c>
      <c r="J485" s="4">
        <v>0.97899999999999998</v>
      </c>
      <c r="K485" s="5">
        <v>0</v>
      </c>
      <c r="L485" s="5">
        <v>0</v>
      </c>
      <c r="M485" s="5">
        <v>100</v>
      </c>
      <c r="N485" s="5">
        <v>100</v>
      </c>
      <c r="O485" s="2">
        <v>0.81193071654991233</v>
      </c>
      <c r="P485" s="2">
        <v>1.0275910189197643</v>
      </c>
      <c r="Q485" s="2">
        <v>1.4098924379501648E-2</v>
      </c>
      <c r="R485" s="2">
        <v>2.1223636451626688E-2</v>
      </c>
    </row>
    <row r="486" spans="1:18" x14ac:dyDescent="0.3">
      <c r="A486" s="7">
        <v>983</v>
      </c>
      <c r="B486" s="7">
        <v>436</v>
      </c>
      <c r="C486" s="7">
        <v>0</v>
      </c>
      <c r="D486" s="7">
        <v>1</v>
      </c>
      <c r="E486" s="20" t="str">
        <f t="shared" si="7"/>
        <v>01</v>
      </c>
      <c r="F486" s="21">
        <v>6.7623407152331103E-2</v>
      </c>
      <c r="G486" s="4">
        <v>0.54100000000000004</v>
      </c>
      <c r="H486" s="4">
        <v>0.39522546419098098</v>
      </c>
      <c r="I486" s="4">
        <v>0.97</v>
      </c>
      <c r="J486" s="4">
        <v>0.94799999999999995</v>
      </c>
      <c r="K486" s="5">
        <v>100</v>
      </c>
      <c r="L486" s="5">
        <v>0</v>
      </c>
      <c r="M486" s="5">
        <v>100</v>
      </c>
      <c r="N486" s="5">
        <v>100</v>
      </c>
      <c r="O486" s="2">
        <v>0.61433600013565548</v>
      </c>
      <c r="P486" s="2">
        <v>0.9282988815025528</v>
      </c>
      <c r="Q486" s="2">
        <v>3.0459207484708574E-2</v>
      </c>
      <c r="R486" s="2">
        <v>5.3400776727115296E-2</v>
      </c>
    </row>
    <row r="487" spans="1:18" x14ac:dyDescent="0.3">
      <c r="A487" s="7">
        <v>984</v>
      </c>
      <c r="B487" s="7">
        <v>458</v>
      </c>
      <c r="C487" s="7">
        <v>0</v>
      </c>
      <c r="D487" s="7">
        <v>1</v>
      </c>
      <c r="E487" s="20" t="str">
        <f t="shared" si="7"/>
        <v>01</v>
      </c>
      <c r="F487" s="21">
        <v>6.8291474196613897E-2</v>
      </c>
      <c r="G487" s="4">
        <v>0.443</v>
      </c>
      <c r="H487" s="4">
        <v>0.35036496350364998</v>
      </c>
      <c r="I487" s="4">
        <v>0.995</v>
      </c>
      <c r="J487" s="4">
        <v>0.99099999999999999</v>
      </c>
      <c r="K487" s="5">
        <v>0</v>
      </c>
      <c r="L487" s="5">
        <v>0</v>
      </c>
      <c r="M487" s="5">
        <v>100</v>
      </c>
      <c r="N487" s="5">
        <v>100</v>
      </c>
      <c r="O487" s="2">
        <v>0.81418550893700137</v>
      </c>
      <c r="P487" s="2">
        <v>1.048779914920233</v>
      </c>
      <c r="Q487" s="2">
        <v>5.0125418235442863E-3</v>
      </c>
      <c r="R487" s="2">
        <v>9.0407446521490707E-3</v>
      </c>
    </row>
    <row r="488" spans="1:18" x14ac:dyDescent="0.3">
      <c r="A488" s="7">
        <v>459</v>
      </c>
      <c r="B488" s="7">
        <v>462</v>
      </c>
      <c r="C488" s="7">
        <v>0</v>
      </c>
      <c r="D488" s="7">
        <v>1</v>
      </c>
      <c r="E488" s="20" t="str">
        <f t="shared" si="7"/>
        <v>01</v>
      </c>
      <c r="F488" s="21">
        <v>6.8454801219102496E-2</v>
      </c>
      <c r="G488" s="4">
        <v>0.70699999999999996</v>
      </c>
      <c r="H488" s="4">
        <v>0.59195402298850597</v>
      </c>
      <c r="I488" s="4">
        <v>0.98299999999999998</v>
      </c>
      <c r="J488" s="4">
        <v>0.98499999999999999</v>
      </c>
      <c r="K488" s="5">
        <v>100</v>
      </c>
      <c r="L488" s="5">
        <v>100</v>
      </c>
      <c r="M488" s="5">
        <v>100</v>
      </c>
      <c r="N488" s="5">
        <v>100</v>
      </c>
      <c r="O488" s="2">
        <v>0.34672461308556435</v>
      </c>
      <c r="P488" s="2">
        <v>0.52432631098489291</v>
      </c>
      <c r="Q488" s="2">
        <v>1.7146158834970514E-2</v>
      </c>
      <c r="R488" s="2">
        <v>1.5113637810048184E-2</v>
      </c>
    </row>
    <row r="489" spans="1:18" x14ac:dyDescent="0.3">
      <c r="A489" s="7">
        <v>273</v>
      </c>
      <c r="B489" s="7">
        <v>444</v>
      </c>
      <c r="C489" s="7">
        <v>0</v>
      </c>
      <c r="D489" s="7">
        <v>1</v>
      </c>
      <c r="E489" s="20" t="str">
        <f t="shared" si="7"/>
        <v>01</v>
      </c>
      <c r="F489" s="21">
        <v>6.8507599135026201E-2</v>
      </c>
      <c r="G489" s="4">
        <v>0.60199999999999998</v>
      </c>
      <c r="H489" s="4">
        <v>0.47671232876712299</v>
      </c>
      <c r="I489" s="4">
        <v>0.996</v>
      </c>
      <c r="J489" s="4">
        <v>0.98699999999999999</v>
      </c>
      <c r="K489" s="5">
        <v>100</v>
      </c>
      <c r="L489" s="5">
        <v>0</v>
      </c>
      <c r="M489" s="5">
        <v>100</v>
      </c>
      <c r="N489" s="5">
        <v>100</v>
      </c>
      <c r="O489" s="2">
        <v>0.50749783367331602</v>
      </c>
      <c r="P489" s="2">
        <v>0.74084205436796313</v>
      </c>
      <c r="Q489" s="2">
        <v>4.0080213975388218E-3</v>
      </c>
      <c r="R489" s="2">
        <v>1.3085239548655481E-2</v>
      </c>
    </row>
    <row r="490" spans="1:18" x14ac:dyDescent="0.3">
      <c r="A490" s="7">
        <v>43</v>
      </c>
      <c r="B490" s="7">
        <v>464</v>
      </c>
      <c r="C490" s="7">
        <v>0</v>
      </c>
      <c r="D490" s="7">
        <v>1</v>
      </c>
      <c r="E490" s="20" t="str">
        <f t="shared" si="7"/>
        <v>01</v>
      </c>
      <c r="F490" s="21">
        <v>6.8753038983838E-2</v>
      </c>
      <c r="G490" s="4">
        <v>0.47299999999999998</v>
      </c>
      <c r="H490" s="4">
        <v>0.33418367346938799</v>
      </c>
      <c r="I490" s="4">
        <v>0.996</v>
      </c>
      <c r="J490" s="4">
        <v>0.98499999999999999</v>
      </c>
      <c r="K490" s="5">
        <v>0</v>
      </c>
      <c r="L490" s="5">
        <v>0</v>
      </c>
      <c r="M490" s="5">
        <v>100</v>
      </c>
      <c r="N490" s="5">
        <v>100</v>
      </c>
      <c r="O490" s="2">
        <v>0.74865989049020409</v>
      </c>
      <c r="P490" s="2">
        <v>1.0960645165893104</v>
      </c>
      <c r="Q490" s="2">
        <v>4.0080213975388218E-3</v>
      </c>
      <c r="R490" s="2">
        <v>1.5113637810048184E-2</v>
      </c>
    </row>
    <row r="491" spans="1:18" x14ac:dyDescent="0.3">
      <c r="A491" s="7">
        <v>643</v>
      </c>
      <c r="B491" s="7">
        <v>435</v>
      </c>
      <c r="C491" s="7">
        <v>0</v>
      </c>
      <c r="D491" s="7">
        <v>1</v>
      </c>
      <c r="E491" s="20" t="str">
        <f t="shared" si="7"/>
        <v>01</v>
      </c>
      <c r="F491" s="21">
        <v>7.3034118341829296E-2</v>
      </c>
      <c r="G491" s="4">
        <v>0.70199999999999996</v>
      </c>
      <c r="H491" s="4">
        <v>0.557184750733138</v>
      </c>
      <c r="I491" s="4">
        <v>0.99199999999999999</v>
      </c>
      <c r="J491" s="4">
        <v>0.98899999999999999</v>
      </c>
      <c r="K491" s="5">
        <v>100</v>
      </c>
      <c r="L491" s="5">
        <v>100</v>
      </c>
      <c r="M491" s="5">
        <v>100</v>
      </c>
      <c r="N491" s="5">
        <v>100</v>
      </c>
      <c r="O491" s="2">
        <v>0.353821874956326</v>
      </c>
      <c r="P491" s="2">
        <v>0.58485840512303033</v>
      </c>
      <c r="Q491" s="2">
        <v>8.0321716972642666E-3</v>
      </c>
      <c r="R491" s="2">
        <v>1.1060947359424948E-2</v>
      </c>
    </row>
    <row r="492" spans="1:18" x14ac:dyDescent="0.3">
      <c r="A492" s="7">
        <v>445</v>
      </c>
      <c r="B492" s="7">
        <v>408</v>
      </c>
      <c r="C492" s="7">
        <v>0</v>
      </c>
      <c r="D492" s="7">
        <v>1</v>
      </c>
      <c r="E492" s="20" t="str">
        <f t="shared" si="7"/>
        <v>01</v>
      </c>
      <c r="F492" s="21">
        <v>7.5043808107966306E-2</v>
      </c>
      <c r="G492" s="4">
        <v>0.47899999999999998</v>
      </c>
      <c r="H492" s="4">
        <v>0.413566739606127</v>
      </c>
      <c r="I492" s="4">
        <v>0.99</v>
      </c>
      <c r="J492" s="4">
        <v>0.97899999999999998</v>
      </c>
      <c r="K492" s="5">
        <v>0</v>
      </c>
      <c r="L492" s="5">
        <v>0</v>
      </c>
      <c r="M492" s="5">
        <v>100</v>
      </c>
      <c r="N492" s="5">
        <v>100</v>
      </c>
      <c r="O492" s="2">
        <v>0.73605468157122189</v>
      </c>
      <c r="P492" s="2">
        <v>0.88293637583456208</v>
      </c>
      <c r="Q492" s="2">
        <v>1.0050335853501451E-2</v>
      </c>
      <c r="R492" s="2">
        <v>2.1223636451626688E-2</v>
      </c>
    </row>
    <row r="493" spans="1:18" x14ac:dyDescent="0.3">
      <c r="A493" s="7">
        <v>267</v>
      </c>
      <c r="B493" s="7">
        <v>436</v>
      </c>
      <c r="C493" s="7">
        <v>0</v>
      </c>
      <c r="D493" s="7">
        <v>1</v>
      </c>
      <c r="E493" s="20" t="str">
        <f t="shared" si="7"/>
        <v>01</v>
      </c>
      <c r="F493" s="21">
        <v>7.6193451118256803E-2</v>
      </c>
      <c r="G493" s="4">
        <v>0.65800000000000003</v>
      </c>
      <c r="H493" s="4">
        <v>0.49142857142857099</v>
      </c>
      <c r="I493" s="4">
        <v>2.8000000000000001E-2</v>
      </c>
      <c r="J493" s="4">
        <v>2.5999999999999999E-2</v>
      </c>
      <c r="K493" s="5">
        <v>100</v>
      </c>
      <c r="L493" s="5">
        <v>0</v>
      </c>
      <c r="M493" s="5">
        <v>0</v>
      </c>
      <c r="N493" s="5">
        <v>0</v>
      </c>
      <c r="O493" s="2">
        <v>0.41855034765681981</v>
      </c>
      <c r="P493" s="2">
        <v>0.71043867767000723</v>
      </c>
      <c r="Q493" s="2">
        <v>3.575550768806933</v>
      </c>
      <c r="R493" s="2">
        <v>3.6496587409606551</v>
      </c>
    </row>
    <row r="494" spans="1:18" x14ac:dyDescent="0.3">
      <c r="A494" s="7">
        <v>538</v>
      </c>
      <c r="B494" s="7">
        <v>444</v>
      </c>
      <c r="C494" s="7">
        <v>0</v>
      </c>
      <c r="D494" s="7">
        <v>1</v>
      </c>
      <c r="E494" s="20" t="str">
        <f t="shared" si="7"/>
        <v>01</v>
      </c>
      <c r="F494" s="21">
        <v>7.8498896220160694E-2</v>
      </c>
      <c r="G494" s="4">
        <v>0.57999999999999996</v>
      </c>
      <c r="H494" s="4">
        <v>0.39215686274509798</v>
      </c>
      <c r="I494" s="4">
        <v>0.99399999999999999</v>
      </c>
      <c r="J494" s="4">
        <v>0.97899999999999998</v>
      </c>
      <c r="K494" s="5">
        <v>100</v>
      </c>
      <c r="L494" s="5">
        <v>0</v>
      </c>
      <c r="M494" s="5">
        <v>100</v>
      </c>
      <c r="N494" s="5">
        <v>100</v>
      </c>
      <c r="O494" s="2">
        <v>0.54472717544167215</v>
      </c>
      <c r="P494" s="2">
        <v>0.93609335917033498</v>
      </c>
      <c r="Q494" s="2">
        <v>6.0180723255630212E-3</v>
      </c>
      <c r="R494" s="2">
        <v>2.1223636451626688E-2</v>
      </c>
    </row>
    <row r="495" spans="1:18" x14ac:dyDescent="0.3">
      <c r="A495" s="7">
        <v>966</v>
      </c>
      <c r="B495" s="7">
        <v>433</v>
      </c>
      <c r="C495" s="7">
        <v>0</v>
      </c>
      <c r="D495" s="7">
        <v>1</v>
      </c>
      <c r="E495" s="20" t="str">
        <f t="shared" si="7"/>
        <v>01</v>
      </c>
      <c r="F495" s="21">
        <v>8.1816444066740407E-2</v>
      </c>
      <c r="G495" s="4">
        <v>0.60899999999999999</v>
      </c>
      <c r="H495" s="4">
        <v>0.506329113924051</v>
      </c>
      <c r="I495" s="4">
        <v>0.996</v>
      </c>
      <c r="J495" s="4">
        <v>0.98399999999999999</v>
      </c>
      <c r="K495" s="5">
        <v>100</v>
      </c>
      <c r="L495" s="5">
        <v>100</v>
      </c>
      <c r="M495" s="5">
        <v>100</v>
      </c>
      <c r="N495" s="5">
        <v>100</v>
      </c>
      <c r="O495" s="2">
        <v>0.49593701127224005</v>
      </c>
      <c r="P495" s="2">
        <v>0.68056839835308447</v>
      </c>
      <c r="Q495" s="2">
        <v>4.0080213975388218E-3</v>
      </c>
      <c r="R495" s="2">
        <v>1.6129381929883644E-2</v>
      </c>
    </row>
    <row r="496" spans="1:18" x14ac:dyDescent="0.3">
      <c r="A496" s="7">
        <v>859</v>
      </c>
      <c r="B496" s="7">
        <v>433</v>
      </c>
      <c r="C496" s="7">
        <v>0</v>
      </c>
      <c r="D496" s="7">
        <v>1</v>
      </c>
      <c r="E496" s="20" t="str">
        <f t="shared" si="7"/>
        <v>01</v>
      </c>
      <c r="F496" s="21">
        <v>8.4812630210978998E-2</v>
      </c>
      <c r="G496" s="4">
        <v>0.58899999999999997</v>
      </c>
      <c r="H496" s="4">
        <v>0.47780678851174901</v>
      </c>
      <c r="I496" s="4">
        <v>0.95</v>
      </c>
      <c r="J496" s="4">
        <v>0.92600000000000005</v>
      </c>
      <c r="K496" s="5">
        <v>100</v>
      </c>
      <c r="L496" s="5">
        <v>0</v>
      </c>
      <c r="M496" s="5">
        <v>100</v>
      </c>
      <c r="N496" s="5">
        <v>100</v>
      </c>
      <c r="O496" s="2">
        <v>0.52932909533055039</v>
      </c>
      <c r="P496" s="2">
        <v>0.73854883633922574</v>
      </c>
      <c r="Q496" s="2">
        <v>5.1293294387550578E-2</v>
      </c>
      <c r="R496" s="2">
        <v>7.6881044335957618E-2</v>
      </c>
    </row>
    <row r="497" spans="1:18" x14ac:dyDescent="0.3">
      <c r="A497" s="7">
        <v>977</v>
      </c>
      <c r="B497" s="7">
        <v>428</v>
      </c>
      <c r="C497" s="7">
        <v>0</v>
      </c>
      <c r="D497" s="7">
        <v>1</v>
      </c>
      <c r="E497" s="20" t="str">
        <f t="shared" si="7"/>
        <v>01</v>
      </c>
      <c r="F497" s="21">
        <v>8.7023411419394597E-2</v>
      </c>
      <c r="G497" s="4">
        <v>0.38400000000000001</v>
      </c>
      <c r="H497" s="4">
        <v>0.30201342281879201</v>
      </c>
      <c r="I497" s="4">
        <v>0.89100000000000001</v>
      </c>
      <c r="J497" s="4">
        <v>0.91400000000000003</v>
      </c>
      <c r="K497" s="5">
        <v>0</v>
      </c>
      <c r="L497" s="5">
        <v>0</v>
      </c>
      <c r="M497" s="5">
        <v>100</v>
      </c>
      <c r="N497" s="5">
        <v>100</v>
      </c>
      <c r="O497" s="2">
        <v>0.95711272639441014</v>
      </c>
      <c r="P497" s="2">
        <v>1.1972838161751391</v>
      </c>
      <c r="Q497" s="2">
        <v>0.11541085151132773</v>
      </c>
      <c r="R497" s="2">
        <v>8.9924707527987008E-2</v>
      </c>
    </row>
    <row r="498" spans="1:18" x14ac:dyDescent="0.3">
      <c r="A498" s="7">
        <v>402</v>
      </c>
      <c r="B498" s="7">
        <v>422</v>
      </c>
      <c r="C498" s="7">
        <v>0</v>
      </c>
      <c r="D498" s="7">
        <v>1</v>
      </c>
      <c r="E498" s="20" t="str">
        <f t="shared" si="7"/>
        <v>01</v>
      </c>
      <c r="F498" s="21">
        <v>9.1409087600238401E-2</v>
      </c>
      <c r="G498" s="4">
        <v>0.79900000000000004</v>
      </c>
      <c r="H498" s="4">
        <v>0.65573770491803296</v>
      </c>
      <c r="I498" s="4">
        <v>0.99099999999999999</v>
      </c>
      <c r="J498" s="4">
        <v>0.98599999999999999</v>
      </c>
      <c r="K498" s="5">
        <v>100</v>
      </c>
      <c r="L498" s="5">
        <v>100</v>
      </c>
      <c r="M498" s="5">
        <v>100</v>
      </c>
      <c r="N498" s="5">
        <v>100</v>
      </c>
      <c r="O498" s="2">
        <v>0.22439433321586233</v>
      </c>
      <c r="P498" s="2">
        <v>0.42199441005937466</v>
      </c>
      <c r="Q498" s="2">
        <v>9.0407446521490707E-3</v>
      </c>
      <c r="R498" s="2">
        <v>1.4098924379501648E-2</v>
      </c>
    </row>
    <row r="499" spans="1:18" x14ac:dyDescent="0.3">
      <c r="A499" s="7">
        <v>372</v>
      </c>
      <c r="B499" s="7">
        <v>426</v>
      </c>
      <c r="C499" s="7">
        <v>0</v>
      </c>
      <c r="D499" s="7">
        <v>1</v>
      </c>
      <c r="E499" s="20" t="str">
        <f t="shared" si="7"/>
        <v>01</v>
      </c>
      <c r="F499" s="21">
        <v>9.2012201949446398E-2</v>
      </c>
      <c r="G499" s="4">
        <v>0.56799999999999995</v>
      </c>
      <c r="H499" s="4">
        <v>0.39882697947214102</v>
      </c>
      <c r="I499" s="4">
        <v>0.99299999999999999</v>
      </c>
      <c r="J499" s="4">
        <v>0.98699999999999999</v>
      </c>
      <c r="K499" s="5">
        <v>100</v>
      </c>
      <c r="L499" s="5">
        <v>0</v>
      </c>
      <c r="M499" s="5">
        <v>100</v>
      </c>
      <c r="N499" s="5">
        <v>100</v>
      </c>
      <c r="O499" s="2">
        <v>0.56563386026098583</v>
      </c>
      <c r="P499" s="2">
        <v>0.91922759154746414</v>
      </c>
      <c r="Q499" s="2">
        <v>7.0246149369644663E-3</v>
      </c>
      <c r="R499" s="2">
        <v>1.3085239548655481E-2</v>
      </c>
    </row>
    <row r="500" spans="1:18" x14ac:dyDescent="0.3">
      <c r="A500" s="7">
        <v>186</v>
      </c>
      <c r="B500" s="7">
        <v>412</v>
      </c>
      <c r="C500" s="7">
        <v>0</v>
      </c>
      <c r="D500" s="7">
        <v>1</v>
      </c>
      <c r="E500" s="20" t="str">
        <f t="shared" si="7"/>
        <v>01</v>
      </c>
      <c r="F500" s="21">
        <v>9.3948315909686206E-2</v>
      </c>
      <c r="G500" s="4">
        <v>0.40400000000000003</v>
      </c>
      <c r="H500" s="4">
        <v>0.30930232558139498</v>
      </c>
      <c r="I500" s="4">
        <v>0.97799999999999998</v>
      </c>
      <c r="J500" s="4">
        <v>0.96499999999999997</v>
      </c>
      <c r="K500" s="5">
        <v>0</v>
      </c>
      <c r="L500" s="5">
        <v>0</v>
      </c>
      <c r="M500" s="5">
        <v>100</v>
      </c>
      <c r="N500" s="5">
        <v>100</v>
      </c>
      <c r="O500" s="2">
        <v>0.9063404010209869</v>
      </c>
      <c r="P500" s="2">
        <v>1.1734360804658555</v>
      </c>
      <c r="Q500" s="2">
        <v>2.2245608947319737E-2</v>
      </c>
      <c r="R500" s="2">
        <v>3.562717764315116E-2</v>
      </c>
    </row>
    <row r="501" spans="1:18" x14ac:dyDescent="0.3">
      <c r="A501" s="7">
        <v>485</v>
      </c>
      <c r="B501" s="7">
        <v>421</v>
      </c>
      <c r="C501" s="7">
        <v>0</v>
      </c>
      <c r="D501" s="7">
        <v>1</v>
      </c>
      <c r="E501" s="20" t="str">
        <f t="shared" si="7"/>
        <v>01</v>
      </c>
      <c r="F501" s="21">
        <v>9.4332889110094104E-2</v>
      </c>
      <c r="G501" s="4">
        <v>0.55700000000000005</v>
      </c>
      <c r="H501" s="4">
        <v>0.44086021505376299</v>
      </c>
      <c r="I501" s="4">
        <v>0.997</v>
      </c>
      <c r="J501" s="4">
        <v>0.97899999999999998</v>
      </c>
      <c r="K501" s="5">
        <v>100</v>
      </c>
      <c r="L501" s="5">
        <v>0</v>
      </c>
      <c r="M501" s="5">
        <v>100</v>
      </c>
      <c r="N501" s="5">
        <v>100</v>
      </c>
      <c r="O501" s="2">
        <v>0.5851900390548529</v>
      </c>
      <c r="P501" s="2">
        <v>0.8190274264489491</v>
      </c>
      <c r="Q501" s="2">
        <v>3.0045090202987243E-3</v>
      </c>
      <c r="R501" s="2">
        <v>2.1223636451626688E-2</v>
      </c>
    </row>
    <row r="502" spans="1:18" x14ac:dyDescent="0.3">
      <c r="A502" s="7">
        <v>909</v>
      </c>
      <c r="B502" s="7">
        <v>426</v>
      </c>
      <c r="C502" s="7">
        <v>0</v>
      </c>
      <c r="D502" s="7">
        <v>1</v>
      </c>
      <c r="E502" s="20" t="str">
        <f t="shared" si="7"/>
        <v>01</v>
      </c>
      <c r="F502" s="21">
        <v>9.7290512069825197E-2</v>
      </c>
      <c r="G502" s="4">
        <v>0.45</v>
      </c>
      <c r="H502" s="4">
        <v>0.397701149425287</v>
      </c>
      <c r="I502" s="4">
        <v>0.98099999999999998</v>
      </c>
      <c r="J502" s="4">
        <v>0.97599999999999998</v>
      </c>
      <c r="K502" s="5">
        <v>0</v>
      </c>
      <c r="L502" s="5">
        <v>0</v>
      </c>
      <c r="M502" s="5">
        <v>100</v>
      </c>
      <c r="N502" s="5">
        <v>100</v>
      </c>
      <c r="O502" s="2">
        <v>0.79850769621777162</v>
      </c>
      <c r="P502" s="2">
        <v>0.92205443659090602</v>
      </c>
      <c r="Q502" s="2">
        <v>1.9182819416773987E-2</v>
      </c>
      <c r="R502" s="2">
        <v>2.4292692569044587E-2</v>
      </c>
    </row>
    <row r="503" spans="1:18" x14ac:dyDescent="0.3">
      <c r="A503" s="7">
        <v>403</v>
      </c>
      <c r="B503" s="7">
        <v>413</v>
      </c>
      <c r="C503" s="7">
        <v>0</v>
      </c>
      <c r="D503" s="7">
        <v>1</v>
      </c>
      <c r="E503" s="20" t="str">
        <f t="shared" si="7"/>
        <v>01</v>
      </c>
      <c r="F503" s="21">
        <v>0.10059285518627301</v>
      </c>
      <c r="G503" s="4">
        <v>0.53300000000000003</v>
      </c>
      <c r="H503" s="4">
        <v>0.41794871794871802</v>
      </c>
      <c r="I503" s="4">
        <v>0.90900000000000003</v>
      </c>
      <c r="J503" s="4">
        <v>0.89200000000000002</v>
      </c>
      <c r="K503" s="5">
        <v>100</v>
      </c>
      <c r="L503" s="5">
        <v>0</v>
      </c>
      <c r="M503" s="5">
        <v>100</v>
      </c>
      <c r="N503" s="5">
        <v>100</v>
      </c>
      <c r="O503" s="2">
        <v>0.62923385481629246</v>
      </c>
      <c r="P503" s="2">
        <v>0.87239653831692965</v>
      </c>
      <c r="Q503" s="2">
        <v>9.5410184804658182E-2</v>
      </c>
      <c r="R503" s="2">
        <v>0.11428914640212766</v>
      </c>
    </row>
    <row r="504" spans="1:18" x14ac:dyDescent="0.3">
      <c r="A504" s="7">
        <v>996</v>
      </c>
      <c r="B504" s="7">
        <v>422</v>
      </c>
      <c r="C504" s="7">
        <v>0</v>
      </c>
      <c r="D504" s="7">
        <v>1</v>
      </c>
      <c r="E504" s="20" t="str">
        <f t="shared" si="7"/>
        <v>01</v>
      </c>
      <c r="F504" s="21">
        <v>0.102781067123752</v>
      </c>
      <c r="G504" s="4">
        <v>0.65500000000000003</v>
      </c>
      <c r="H504" s="4">
        <v>0.54089709762533</v>
      </c>
      <c r="I504" s="4">
        <v>0.99399999999999999</v>
      </c>
      <c r="J504" s="4">
        <v>0.98599999999999999</v>
      </c>
      <c r="K504" s="5">
        <v>100</v>
      </c>
      <c r="L504" s="5">
        <v>100</v>
      </c>
      <c r="M504" s="5">
        <v>100</v>
      </c>
      <c r="N504" s="5">
        <v>100</v>
      </c>
      <c r="O504" s="2">
        <v>0.42312004334688508</v>
      </c>
      <c r="P504" s="2">
        <v>0.61452622594401785</v>
      </c>
      <c r="Q504" s="2">
        <v>6.0180723255630212E-3</v>
      </c>
      <c r="R504" s="2">
        <v>1.4098924379501648E-2</v>
      </c>
    </row>
    <row r="505" spans="1:18" x14ac:dyDescent="0.3">
      <c r="A505" s="7">
        <v>192</v>
      </c>
      <c r="B505" s="7">
        <v>407</v>
      </c>
      <c r="C505" s="7">
        <v>0</v>
      </c>
      <c r="D505" s="7">
        <v>1</v>
      </c>
      <c r="E505" s="20" t="str">
        <f t="shared" si="7"/>
        <v>01</v>
      </c>
      <c r="F505" s="21">
        <v>0.10509236208859001</v>
      </c>
      <c r="G505" s="4">
        <v>0.49299999999999999</v>
      </c>
      <c r="H505" s="4">
        <v>0.39036144578313298</v>
      </c>
      <c r="I505" s="4">
        <v>0.92400000000000004</v>
      </c>
      <c r="J505" s="4">
        <v>0.91300000000000003</v>
      </c>
      <c r="K505" s="5">
        <v>0</v>
      </c>
      <c r="L505" s="5">
        <v>0</v>
      </c>
      <c r="M505" s="5">
        <v>100</v>
      </c>
      <c r="N505" s="5">
        <v>100</v>
      </c>
      <c r="O505" s="2">
        <v>0.70724610493944695</v>
      </c>
      <c r="P505" s="2">
        <v>0.94068218499831313</v>
      </c>
      <c r="Q505" s="2">
        <v>7.9043207340452851E-2</v>
      </c>
      <c r="R505" s="2">
        <v>9.1019398387168549E-2</v>
      </c>
    </row>
    <row r="506" spans="1:18" x14ac:dyDescent="0.3">
      <c r="A506" s="7">
        <v>54</v>
      </c>
      <c r="B506" s="7">
        <v>410</v>
      </c>
      <c r="C506" s="7">
        <v>0</v>
      </c>
      <c r="D506" s="7">
        <v>1</v>
      </c>
      <c r="E506" s="20" t="str">
        <f t="shared" si="7"/>
        <v>01</v>
      </c>
      <c r="F506" s="21">
        <v>0.106459715706735</v>
      </c>
      <c r="G506" s="4">
        <v>0.82799999999999996</v>
      </c>
      <c r="H506" s="4">
        <v>0.65467625899280601</v>
      </c>
      <c r="I506" s="4">
        <v>0.99299999999999999</v>
      </c>
      <c r="J506" s="4">
        <v>0.98199999999999998</v>
      </c>
      <c r="K506" s="5">
        <v>100</v>
      </c>
      <c r="L506" s="5">
        <v>100</v>
      </c>
      <c r="M506" s="5">
        <v>100</v>
      </c>
      <c r="N506" s="5">
        <v>100</v>
      </c>
      <c r="O506" s="2">
        <v>0.18874212459687742</v>
      </c>
      <c r="P506" s="2">
        <v>0.4236144266138413</v>
      </c>
      <c r="Q506" s="2">
        <v>7.0246149369644663E-3</v>
      </c>
      <c r="R506" s="2">
        <v>1.816397062767118E-2</v>
      </c>
    </row>
    <row r="507" spans="1:18" x14ac:dyDescent="0.3">
      <c r="A507" s="7">
        <v>41</v>
      </c>
      <c r="B507" s="7">
        <v>417</v>
      </c>
      <c r="C507" s="7">
        <v>0</v>
      </c>
      <c r="D507" s="7">
        <v>1</v>
      </c>
      <c r="E507" s="20" t="str">
        <f t="shared" si="7"/>
        <v>01</v>
      </c>
      <c r="F507" s="21">
        <v>0.11345542705271899</v>
      </c>
      <c r="G507" s="4">
        <v>0.65800000000000003</v>
      </c>
      <c r="H507" s="4">
        <v>0.55643044619422599</v>
      </c>
      <c r="I507" s="4">
        <v>0.98099999999999998</v>
      </c>
      <c r="J507" s="4">
        <v>0.96699999999999997</v>
      </c>
      <c r="K507" s="5">
        <v>100</v>
      </c>
      <c r="L507" s="5">
        <v>100</v>
      </c>
      <c r="M507" s="5">
        <v>100</v>
      </c>
      <c r="N507" s="5">
        <v>100</v>
      </c>
      <c r="O507" s="2">
        <v>0.41855034765681981</v>
      </c>
      <c r="P507" s="2">
        <v>0.586213100454688</v>
      </c>
      <c r="Q507" s="2">
        <v>1.9182819416773987E-2</v>
      </c>
      <c r="R507" s="2">
        <v>3.3556783528842754E-2</v>
      </c>
    </row>
    <row r="508" spans="1:18" x14ac:dyDescent="0.3">
      <c r="A508" s="7">
        <v>437</v>
      </c>
      <c r="B508" s="7">
        <v>415</v>
      </c>
      <c r="C508" s="7">
        <v>0</v>
      </c>
      <c r="D508" s="7">
        <v>1</v>
      </c>
      <c r="E508" s="20" t="str">
        <f t="shared" si="7"/>
        <v>01</v>
      </c>
      <c r="F508" s="21">
        <v>0.114567486075265</v>
      </c>
      <c r="G508" s="4">
        <v>0.54700000000000004</v>
      </c>
      <c r="H508" s="4">
        <v>0.420792079207921</v>
      </c>
      <c r="I508" s="4">
        <v>0.99099999999999999</v>
      </c>
      <c r="J508" s="4">
        <v>0.97499999999999998</v>
      </c>
      <c r="K508" s="5">
        <v>100</v>
      </c>
      <c r="L508" s="5">
        <v>0</v>
      </c>
      <c r="M508" s="5">
        <v>100</v>
      </c>
      <c r="N508" s="5">
        <v>100</v>
      </c>
      <c r="O508" s="2">
        <v>0.60330647656015579</v>
      </c>
      <c r="P508" s="2">
        <v>0.86561644091088785</v>
      </c>
      <c r="Q508" s="2">
        <v>9.0407446521490707E-3</v>
      </c>
      <c r="R508" s="2">
        <v>2.5317807984289897E-2</v>
      </c>
    </row>
    <row r="509" spans="1:18" x14ac:dyDescent="0.3">
      <c r="A509" s="7">
        <v>881</v>
      </c>
      <c r="B509" s="7">
        <v>410</v>
      </c>
      <c r="C509" s="7">
        <v>0</v>
      </c>
      <c r="D509" s="7">
        <v>1</v>
      </c>
      <c r="E509" s="20" t="str">
        <f t="shared" si="7"/>
        <v>01</v>
      </c>
      <c r="F509" s="21">
        <v>0.11896828369625199</v>
      </c>
      <c r="G509" s="4">
        <v>0.59899999999999998</v>
      </c>
      <c r="H509" s="4">
        <v>0.42535211267605599</v>
      </c>
      <c r="I509" s="4">
        <v>0.996</v>
      </c>
      <c r="J509" s="4">
        <v>0.98</v>
      </c>
      <c r="K509" s="5">
        <v>100</v>
      </c>
      <c r="L509" s="5">
        <v>0</v>
      </c>
      <c r="M509" s="5">
        <v>100</v>
      </c>
      <c r="N509" s="5">
        <v>100</v>
      </c>
      <c r="O509" s="2">
        <v>0.51249368086668778</v>
      </c>
      <c r="P509" s="2">
        <v>0.85483795266049223</v>
      </c>
      <c r="Q509" s="2">
        <v>4.0080213975388218E-3</v>
      </c>
      <c r="R509" s="2">
        <v>2.0202707317519466E-2</v>
      </c>
    </row>
    <row r="510" spans="1:18" x14ac:dyDescent="0.3">
      <c r="A510" s="7">
        <v>413</v>
      </c>
      <c r="B510" s="7">
        <v>377</v>
      </c>
      <c r="C510" s="7">
        <v>0</v>
      </c>
      <c r="D510" s="7">
        <v>1</v>
      </c>
      <c r="E510" s="20" t="str">
        <f t="shared" si="7"/>
        <v>01</v>
      </c>
      <c r="F510" s="21">
        <v>0.11978677664795601</v>
      </c>
      <c r="G510" s="4">
        <v>0.52</v>
      </c>
      <c r="H510" s="4">
        <v>0.40246913580246901</v>
      </c>
      <c r="I510" s="4">
        <v>0.99199999999999999</v>
      </c>
      <c r="J510" s="4">
        <v>0.98399999999999999</v>
      </c>
      <c r="K510" s="5">
        <v>100</v>
      </c>
      <c r="L510" s="5">
        <v>0</v>
      </c>
      <c r="M510" s="5">
        <v>100</v>
      </c>
      <c r="N510" s="5">
        <v>100</v>
      </c>
      <c r="O510" s="2">
        <v>0.65392646740666394</v>
      </c>
      <c r="P510" s="2">
        <v>0.91013686629977708</v>
      </c>
      <c r="Q510" s="2">
        <v>8.0321716972642666E-3</v>
      </c>
      <c r="R510" s="2">
        <v>1.6129381929883644E-2</v>
      </c>
    </row>
    <row r="511" spans="1:18" x14ac:dyDescent="0.3">
      <c r="A511" s="7">
        <v>565</v>
      </c>
      <c r="B511" s="7">
        <v>394</v>
      </c>
      <c r="C511" s="7">
        <v>0</v>
      </c>
      <c r="D511" s="7">
        <v>1</v>
      </c>
      <c r="E511" s="20" t="str">
        <f t="shared" si="7"/>
        <v>01</v>
      </c>
      <c r="F511" s="21">
        <v>0.12100744485217001</v>
      </c>
      <c r="G511" s="4">
        <v>0.36499999999999999</v>
      </c>
      <c r="H511" s="4">
        <v>0.30172413793103398</v>
      </c>
      <c r="I511" s="4">
        <v>0.17</v>
      </c>
      <c r="J511" s="4">
        <v>0.19400000000000001</v>
      </c>
      <c r="K511" s="5">
        <v>0</v>
      </c>
      <c r="L511" s="5">
        <v>0</v>
      </c>
      <c r="M511" s="5">
        <v>0</v>
      </c>
      <c r="N511" s="5">
        <v>0</v>
      </c>
      <c r="O511" s="2">
        <v>1.0078579253996456</v>
      </c>
      <c r="P511" s="2">
        <v>1.1982421296169528</v>
      </c>
      <c r="Q511" s="2">
        <v>1.7719568419318752</v>
      </c>
      <c r="R511" s="2">
        <v>1.6398971199188088</v>
      </c>
    </row>
    <row r="512" spans="1:18" x14ac:dyDescent="0.3">
      <c r="A512" s="7">
        <v>903</v>
      </c>
      <c r="B512" s="7">
        <v>411</v>
      </c>
      <c r="C512" s="7">
        <v>0</v>
      </c>
      <c r="D512" s="7">
        <v>1</v>
      </c>
      <c r="E512" s="20" t="str">
        <f t="shared" si="7"/>
        <v>01</v>
      </c>
      <c r="F512" s="21">
        <v>0.123663714614085</v>
      </c>
      <c r="G512" s="4">
        <v>0.59799999999999998</v>
      </c>
      <c r="H512" s="4">
        <v>0.375</v>
      </c>
      <c r="I512" s="4">
        <v>0.98199999999999998</v>
      </c>
      <c r="J512" s="4">
        <v>0.97199999999999998</v>
      </c>
      <c r="K512" s="5">
        <v>100</v>
      </c>
      <c r="L512" s="5">
        <v>0</v>
      </c>
      <c r="M512" s="5">
        <v>100</v>
      </c>
      <c r="N512" s="5">
        <v>100</v>
      </c>
      <c r="O512" s="2">
        <v>0.51416452503150534</v>
      </c>
      <c r="P512" s="2">
        <v>0.98082925301172619</v>
      </c>
      <c r="Q512" s="2">
        <v>1.816397062767118E-2</v>
      </c>
      <c r="R512" s="2">
        <v>2.8399474521698002E-2</v>
      </c>
    </row>
    <row r="513" spans="1:18" x14ac:dyDescent="0.3">
      <c r="A513" s="7">
        <v>917</v>
      </c>
      <c r="B513" s="7">
        <v>404</v>
      </c>
      <c r="C513" s="7">
        <v>0</v>
      </c>
      <c r="D513" s="7">
        <v>1</v>
      </c>
      <c r="E513" s="20" t="str">
        <f t="shared" si="7"/>
        <v>01</v>
      </c>
      <c r="F513" s="21">
        <v>0.124206489628801</v>
      </c>
      <c r="G513" s="4">
        <v>0.43</v>
      </c>
      <c r="H513" s="4">
        <v>0.36951501154734401</v>
      </c>
      <c r="I513" s="4">
        <v>0.98399999999999999</v>
      </c>
      <c r="J513" s="4">
        <v>0.97899999999999998</v>
      </c>
      <c r="K513" s="5">
        <v>0</v>
      </c>
      <c r="L513" s="5">
        <v>0</v>
      </c>
      <c r="M513" s="5">
        <v>100</v>
      </c>
      <c r="N513" s="5">
        <v>100</v>
      </c>
      <c r="O513" s="2">
        <v>0.84397007029452897</v>
      </c>
      <c r="P513" s="2">
        <v>0.99556391276866318</v>
      </c>
      <c r="Q513" s="2">
        <v>1.6129381929883644E-2</v>
      </c>
      <c r="R513" s="2">
        <v>2.1223636451626688E-2</v>
      </c>
    </row>
    <row r="514" spans="1:18" x14ac:dyDescent="0.3">
      <c r="A514" s="7">
        <v>138</v>
      </c>
      <c r="B514" s="7">
        <v>409</v>
      </c>
      <c r="C514" s="7">
        <v>0</v>
      </c>
      <c r="D514" s="7">
        <v>1</v>
      </c>
      <c r="E514" s="20" t="str">
        <f t="shared" ref="E514:E577" si="8">_xlfn.CONCAT(C514,D514)</f>
        <v>01</v>
      </c>
      <c r="F514" s="21">
        <v>0.12592138594369301</v>
      </c>
      <c r="G514" s="4">
        <v>0.65600000000000003</v>
      </c>
      <c r="H514" s="4">
        <v>0.45454545454545497</v>
      </c>
      <c r="I514" s="4">
        <v>0.98699999999999999</v>
      </c>
      <c r="J514" s="4">
        <v>0.95599999999999996</v>
      </c>
      <c r="K514" s="5">
        <v>100</v>
      </c>
      <c r="L514" s="5">
        <v>0</v>
      </c>
      <c r="M514" s="5">
        <v>100</v>
      </c>
      <c r="N514" s="5">
        <v>100</v>
      </c>
      <c r="O514" s="2">
        <v>0.42159449003804794</v>
      </c>
      <c r="P514" s="2">
        <v>0.78845736036426928</v>
      </c>
      <c r="Q514" s="2">
        <v>1.3085239548655481E-2</v>
      </c>
      <c r="R514" s="2">
        <v>4.4997365930735805E-2</v>
      </c>
    </row>
    <row r="515" spans="1:18" x14ac:dyDescent="0.3">
      <c r="A515" s="7">
        <v>275</v>
      </c>
      <c r="B515" s="7">
        <v>411</v>
      </c>
      <c r="C515" s="7">
        <v>0</v>
      </c>
      <c r="D515" s="7">
        <v>1</v>
      </c>
      <c r="E515" s="20" t="str">
        <f t="shared" si="8"/>
        <v>01</v>
      </c>
      <c r="F515" s="21">
        <v>0.12744667058468401</v>
      </c>
      <c r="G515" s="4">
        <v>0.55700000000000005</v>
      </c>
      <c r="H515" s="4">
        <v>0.45232273838630799</v>
      </c>
      <c r="I515" s="4">
        <v>0.90100000000000002</v>
      </c>
      <c r="J515" s="4">
        <v>0.871</v>
      </c>
      <c r="K515" s="5">
        <v>100</v>
      </c>
      <c r="L515" s="5">
        <v>0</v>
      </c>
      <c r="M515" s="5">
        <v>100</v>
      </c>
      <c r="N515" s="5">
        <v>100</v>
      </c>
      <c r="O515" s="2">
        <v>0.5851900390548529</v>
      </c>
      <c r="P515" s="2">
        <v>0.79335933096447708</v>
      </c>
      <c r="Q515" s="2">
        <v>0.10425002137379911</v>
      </c>
      <c r="R515" s="2">
        <v>0.13811330212963427</v>
      </c>
    </row>
    <row r="516" spans="1:18" x14ac:dyDescent="0.3">
      <c r="A516" s="7">
        <v>405</v>
      </c>
      <c r="B516" s="7">
        <v>401</v>
      </c>
      <c r="C516" s="7">
        <v>0</v>
      </c>
      <c r="D516" s="7">
        <v>1</v>
      </c>
      <c r="E516" s="20" t="str">
        <f t="shared" si="8"/>
        <v>01</v>
      </c>
      <c r="F516" s="21">
        <v>0.12895642113619599</v>
      </c>
      <c r="G516" s="4">
        <v>0.504</v>
      </c>
      <c r="H516" s="4">
        <v>0.36</v>
      </c>
      <c r="I516" s="4">
        <v>0.98699999999999999</v>
      </c>
      <c r="J516" s="4">
        <v>0.96699999999999997</v>
      </c>
      <c r="K516" s="5">
        <v>100</v>
      </c>
      <c r="L516" s="5">
        <v>0</v>
      </c>
      <c r="M516" s="5">
        <v>100</v>
      </c>
      <c r="N516" s="5">
        <v>100</v>
      </c>
      <c r="O516" s="2">
        <v>0.68517901091076838</v>
      </c>
      <c r="P516" s="2">
        <v>1.0216512475319814</v>
      </c>
      <c r="Q516" s="2">
        <v>1.3085239548655481E-2</v>
      </c>
      <c r="R516" s="2">
        <v>3.3556783528842754E-2</v>
      </c>
    </row>
    <row r="517" spans="1:18" x14ac:dyDescent="0.3">
      <c r="A517" s="7">
        <v>408</v>
      </c>
      <c r="B517" s="7">
        <v>407</v>
      </c>
      <c r="C517" s="7">
        <v>0</v>
      </c>
      <c r="D517" s="7">
        <v>1</v>
      </c>
      <c r="E517" s="20" t="str">
        <f t="shared" si="8"/>
        <v>01</v>
      </c>
      <c r="F517" s="21">
        <v>0.13072760130463601</v>
      </c>
      <c r="G517" s="4">
        <v>0.55200000000000005</v>
      </c>
      <c r="H517" s="4">
        <v>0.42564102564102602</v>
      </c>
      <c r="I517" s="4">
        <v>2.1999999999999999E-2</v>
      </c>
      <c r="J517" s="4">
        <v>2.5000000000000001E-2</v>
      </c>
      <c r="K517" s="5">
        <v>100</v>
      </c>
      <c r="L517" s="5">
        <v>0</v>
      </c>
      <c r="M517" s="5">
        <v>0</v>
      </c>
      <c r="N517" s="5">
        <v>0</v>
      </c>
      <c r="O517" s="2">
        <v>0.59420723270504161</v>
      </c>
      <c r="P517" s="2">
        <v>0.85415895076714798</v>
      </c>
      <c r="Q517" s="2">
        <v>3.8167128256238212</v>
      </c>
      <c r="R517" s="2">
        <v>3.6888794541139363</v>
      </c>
    </row>
    <row r="518" spans="1:18" x14ac:dyDescent="0.3">
      <c r="A518" s="7">
        <v>531</v>
      </c>
      <c r="B518" s="7">
        <v>403</v>
      </c>
      <c r="C518" s="7">
        <v>0</v>
      </c>
      <c r="D518" s="7">
        <v>1</v>
      </c>
      <c r="E518" s="20" t="str">
        <f t="shared" si="8"/>
        <v>01</v>
      </c>
      <c r="F518" s="21">
        <v>0.131494788822133</v>
      </c>
      <c r="G518" s="4">
        <v>0.52200000000000002</v>
      </c>
      <c r="H518" s="4">
        <v>0.33611111111111103</v>
      </c>
      <c r="I518" s="4">
        <v>0.99399999999999999</v>
      </c>
      <c r="J518" s="4">
        <v>0.97</v>
      </c>
      <c r="K518" s="5">
        <v>100</v>
      </c>
      <c r="L518" s="5">
        <v>0</v>
      </c>
      <c r="M518" s="5">
        <v>100</v>
      </c>
      <c r="N518" s="5">
        <v>100</v>
      </c>
      <c r="O518" s="2">
        <v>0.65008769109949827</v>
      </c>
      <c r="P518" s="2">
        <v>1.0903134858534149</v>
      </c>
      <c r="Q518" s="2">
        <v>6.0180723255630212E-3</v>
      </c>
      <c r="R518" s="2">
        <v>3.0459207484708574E-2</v>
      </c>
    </row>
    <row r="519" spans="1:18" x14ac:dyDescent="0.3">
      <c r="A519" s="7">
        <v>303</v>
      </c>
      <c r="B519" s="7">
        <v>392</v>
      </c>
      <c r="C519" s="7">
        <v>0</v>
      </c>
      <c r="D519" s="7">
        <v>1</v>
      </c>
      <c r="E519" s="20" t="str">
        <f t="shared" si="8"/>
        <v>01</v>
      </c>
      <c r="F519" s="21">
        <v>0.13486139136499201</v>
      </c>
      <c r="G519" s="4">
        <v>0.60199999999999998</v>
      </c>
      <c r="H519" s="4">
        <v>0.50381679389313005</v>
      </c>
      <c r="I519" s="4">
        <v>0.90200000000000002</v>
      </c>
      <c r="J519" s="4">
        <v>0.85599999999999998</v>
      </c>
      <c r="K519" s="5">
        <v>100</v>
      </c>
      <c r="L519" s="5">
        <v>100</v>
      </c>
      <c r="M519" s="5">
        <v>100</v>
      </c>
      <c r="N519" s="5">
        <v>100</v>
      </c>
      <c r="O519" s="2">
        <v>0.50749783367331602</v>
      </c>
      <c r="P519" s="2">
        <v>0.68554258117472544</v>
      </c>
      <c r="Q519" s="2">
        <v>0.10314075891951337</v>
      </c>
      <c r="R519" s="2">
        <v>0.15548490284039498</v>
      </c>
    </row>
    <row r="520" spans="1:18" x14ac:dyDescent="0.3">
      <c r="A520" s="7">
        <v>157</v>
      </c>
      <c r="B520" s="7">
        <v>398</v>
      </c>
      <c r="C520" s="7">
        <v>0</v>
      </c>
      <c r="D520" s="7">
        <v>1</v>
      </c>
      <c r="E520" s="20" t="str">
        <f t="shared" si="8"/>
        <v>01</v>
      </c>
      <c r="F520" s="21">
        <v>0.13562819040472701</v>
      </c>
      <c r="G520" s="4">
        <v>0.53700000000000003</v>
      </c>
      <c r="H520" s="4">
        <v>0.42892768079800497</v>
      </c>
      <c r="I520" s="4">
        <v>0.95799999999999996</v>
      </c>
      <c r="J520" s="4">
        <v>0.92700000000000005</v>
      </c>
      <c r="K520" s="5">
        <v>100</v>
      </c>
      <c r="L520" s="5">
        <v>0</v>
      </c>
      <c r="M520" s="5">
        <v>100</v>
      </c>
      <c r="N520" s="5">
        <v>100</v>
      </c>
      <c r="O520" s="2">
        <v>0.62175718447327233</v>
      </c>
      <c r="P520" s="2">
        <v>0.84646695049311615</v>
      </c>
      <c r="Q520" s="2">
        <v>4.290750101127655E-2</v>
      </c>
      <c r="R520" s="2">
        <v>7.5801713416281849E-2</v>
      </c>
    </row>
    <row r="521" spans="1:18" x14ac:dyDescent="0.3">
      <c r="A521" s="7">
        <v>588</v>
      </c>
      <c r="B521" s="7">
        <v>355</v>
      </c>
      <c r="C521" s="7">
        <v>0</v>
      </c>
      <c r="D521" s="7">
        <v>1</v>
      </c>
      <c r="E521" s="20" t="str">
        <f t="shared" si="8"/>
        <v>01</v>
      </c>
      <c r="F521" s="21">
        <v>0.13622277130763899</v>
      </c>
      <c r="G521" s="4">
        <v>0.33</v>
      </c>
      <c r="H521" s="4">
        <v>0.27861771058315299</v>
      </c>
      <c r="I521" s="4">
        <v>0.98199999999999998</v>
      </c>
      <c r="J521" s="4">
        <v>0.97399999999999998</v>
      </c>
      <c r="K521" s="5">
        <v>0</v>
      </c>
      <c r="L521" s="5">
        <v>0</v>
      </c>
      <c r="M521" s="5">
        <v>100</v>
      </c>
      <c r="N521" s="5">
        <v>100</v>
      </c>
      <c r="O521" s="2">
        <v>1.1086626245216111</v>
      </c>
      <c r="P521" s="2">
        <v>1.2779146497245633</v>
      </c>
      <c r="Q521" s="2">
        <v>1.816397062767118E-2</v>
      </c>
      <c r="R521" s="2">
        <v>2.6343975339601977E-2</v>
      </c>
    </row>
    <row r="522" spans="1:18" x14ac:dyDescent="0.3">
      <c r="A522" s="7">
        <v>806</v>
      </c>
      <c r="B522" s="7">
        <v>409</v>
      </c>
      <c r="C522" s="7">
        <v>0</v>
      </c>
      <c r="D522" s="7">
        <v>1</v>
      </c>
      <c r="E522" s="20" t="str">
        <f t="shared" si="8"/>
        <v>01</v>
      </c>
      <c r="F522" s="21">
        <v>0.14060689564693399</v>
      </c>
      <c r="G522" s="4">
        <v>0.73199999999999998</v>
      </c>
      <c r="H522" s="4">
        <v>0.55692307692307697</v>
      </c>
      <c r="I522" s="4">
        <v>0.98199999999999998</v>
      </c>
      <c r="J522" s="4">
        <v>0.96299999999999997</v>
      </c>
      <c r="K522" s="5">
        <v>100</v>
      </c>
      <c r="L522" s="5">
        <v>100</v>
      </c>
      <c r="M522" s="5">
        <v>100</v>
      </c>
      <c r="N522" s="5">
        <v>100</v>
      </c>
      <c r="O522" s="2">
        <v>0.3119747650208255</v>
      </c>
      <c r="P522" s="2">
        <v>0.58532815106391167</v>
      </c>
      <c r="Q522" s="2">
        <v>1.816397062767118E-2</v>
      </c>
      <c r="R522" s="2">
        <v>3.7701867184011528E-2</v>
      </c>
    </row>
    <row r="523" spans="1:18" x14ac:dyDescent="0.3">
      <c r="A523" s="7">
        <v>938</v>
      </c>
      <c r="B523" s="7">
        <v>400</v>
      </c>
      <c r="C523" s="7">
        <v>0</v>
      </c>
      <c r="D523" s="7">
        <v>1</v>
      </c>
      <c r="E523" s="20" t="str">
        <f t="shared" si="8"/>
        <v>01</v>
      </c>
      <c r="F523" s="21">
        <v>0.15259375722163501</v>
      </c>
      <c r="G523" s="4">
        <v>0.627</v>
      </c>
      <c r="H523" s="4">
        <v>0.51912568306010898</v>
      </c>
      <c r="I523" s="4">
        <v>0.98199999999999998</v>
      </c>
      <c r="J523" s="4">
        <v>0.97599999999999998</v>
      </c>
      <c r="K523" s="5">
        <v>100</v>
      </c>
      <c r="L523" s="5">
        <v>100</v>
      </c>
      <c r="M523" s="5">
        <v>100</v>
      </c>
      <c r="N523" s="5">
        <v>100</v>
      </c>
      <c r="O523" s="2">
        <v>0.46680873834921638</v>
      </c>
      <c r="P523" s="2">
        <v>0.6556092612408807</v>
      </c>
      <c r="Q523" s="2">
        <v>1.816397062767118E-2</v>
      </c>
      <c r="R523" s="2">
        <v>2.4292692569044587E-2</v>
      </c>
    </row>
    <row r="524" spans="1:18" x14ac:dyDescent="0.3">
      <c r="A524" s="7">
        <v>75</v>
      </c>
      <c r="B524" s="7">
        <v>363</v>
      </c>
      <c r="C524" s="7">
        <v>0</v>
      </c>
      <c r="D524" s="7">
        <v>1</v>
      </c>
      <c r="E524" s="20" t="str">
        <f t="shared" si="8"/>
        <v>01</v>
      </c>
      <c r="F524" s="21">
        <v>0.15272372156068001</v>
      </c>
      <c r="G524" s="4">
        <v>0.55800000000000005</v>
      </c>
      <c r="H524" s="4">
        <v>0.419689119170984</v>
      </c>
      <c r="I524" s="4">
        <v>0.96099999999999997</v>
      </c>
      <c r="J524" s="4">
        <v>0.94499999999999995</v>
      </c>
      <c r="K524" s="5">
        <v>100</v>
      </c>
      <c r="L524" s="5">
        <v>0</v>
      </c>
      <c r="M524" s="5">
        <v>100</v>
      </c>
      <c r="N524" s="5">
        <v>100</v>
      </c>
      <c r="O524" s="2">
        <v>0.58339631660082603</v>
      </c>
      <c r="P524" s="2">
        <v>0.86824103423244792</v>
      </c>
      <c r="Q524" s="2">
        <v>3.9780870011844598E-2</v>
      </c>
      <c r="R524" s="2">
        <v>5.6570351488394351E-2</v>
      </c>
    </row>
    <row r="525" spans="1:18" x14ac:dyDescent="0.3">
      <c r="A525" s="7">
        <v>165</v>
      </c>
      <c r="B525" s="7">
        <v>382</v>
      </c>
      <c r="C525" s="7">
        <v>0</v>
      </c>
      <c r="D525" s="7">
        <v>1</v>
      </c>
      <c r="E525" s="20" t="str">
        <f t="shared" si="8"/>
        <v>01</v>
      </c>
      <c r="F525" s="21">
        <v>0.15286538927120599</v>
      </c>
      <c r="G525" s="4">
        <v>0.73599999999999999</v>
      </c>
      <c r="H525" s="4">
        <v>0.60486322188449804</v>
      </c>
      <c r="I525" s="4">
        <v>0.99</v>
      </c>
      <c r="J525" s="4">
        <v>0.96299999999999997</v>
      </c>
      <c r="K525" s="5">
        <v>100</v>
      </c>
      <c r="L525" s="5">
        <v>100</v>
      </c>
      <c r="M525" s="5">
        <v>100</v>
      </c>
      <c r="N525" s="5">
        <v>100</v>
      </c>
      <c r="O525" s="2">
        <v>0.30652516025326082</v>
      </c>
      <c r="P525" s="2">
        <v>0.50275292604088018</v>
      </c>
      <c r="Q525" s="2">
        <v>1.0050335853501451E-2</v>
      </c>
      <c r="R525" s="2">
        <v>3.7701867184011528E-2</v>
      </c>
    </row>
    <row r="526" spans="1:18" x14ac:dyDescent="0.3">
      <c r="A526" s="7">
        <v>295</v>
      </c>
      <c r="B526" s="7">
        <v>415</v>
      </c>
      <c r="C526" s="7">
        <v>0</v>
      </c>
      <c r="D526" s="7">
        <v>1</v>
      </c>
      <c r="E526" s="20" t="str">
        <f t="shared" si="8"/>
        <v>01</v>
      </c>
      <c r="F526" s="21">
        <v>0.15358361435989901</v>
      </c>
      <c r="G526" s="4">
        <v>0.42799999999999999</v>
      </c>
      <c r="H526" s="4">
        <v>0.335632183908046</v>
      </c>
      <c r="I526" s="4">
        <v>0.7</v>
      </c>
      <c r="J526" s="4">
        <v>0.68899999999999995</v>
      </c>
      <c r="K526" s="5">
        <v>0</v>
      </c>
      <c r="L526" s="5">
        <v>0</v>
      </c>
      <c r="M526" s="5">
        <v>100</v>
      </c>
      <c r="N526" s="5">
        <v>100</v>
      </c>
      <c r="O526" s="2">
        <v>0.84863208340034024</v>
      </c>
      <c r="P526" s="2">
        <v>1.0917394093803476</v>
      </c>
      <c r="Q526" s="2">
        <v>0.35667494393873245</v>
      </c>
      <c r="R526" s="2">
        <v>0.37251400796847856</v>
      </c>
    </row>
    <row r="527" spans="1:18" x14ac:dyDescent="0.3">
      <c r="A527" s="7">
        <v>816</v>
      </c>
      <c r="B527" s="7">
        <v>374</v>
      </c>
      <c r="C527" s="7">
        <v>0</v>
      </c>
      <c r="D527" s="7">
        <v>1</v>
      </c>
      <c r="E527" s="20" t="str">
        <f t="shared" si="8"/>
        <v>01</v>
      </c>
      <c r="F527" s="21">
        <v>0.15955708045698799</v>
      </c>
      <c r="G527" s="4">
        <v>0.64100000000000001</v>
      </c>
      <c r="H527" s="4">
        <v>0.43202416918428999</v>
      </c>
      <c r="I527" s="4">
        <v>0.99</v>
      </c>
      <c r="J527" s="4">
        <v>0.95199999999999996</v>
      </c>
      <c r="K527" s="5">
        <v>100</v>
      </c>
      <c r="L527" s="5">
        <v>0</v>
      </c>
      <c r="M527" s="5">
        <v>100</v>
      </c>
      <c r="N527" s="5">
        <v>100</v>
      </c>
      <c r="O527" s="2">
        <v>0.44472582206146699</v>
      </c>
      <c r="P527" s="2">
        <v>0.83927374511715569</v>
      </c>
      <c r="Q527" s="2">
        <v>1.0050335853501451E-2</v>
      </c>
      <c r="R527" s="2">
        <v>4.9190244190771781E-2</v>
      </c>
    </row>
    <row r="528" spans="1:18" x14ac:dyDescent="0.3">
      <c r="A528" s="7">
        <v>441</v>
      </c>
      <c r="B528" s="7">
        <v>361</v>
      </c>
      <c r="C528" s="7">
        <v>0</v>
      </c>
      <c r="D528" s="7">
        <v>1</v>
      </c>
      <c r="E528" s="20" t="str">
        <f t="shared" si="8"/>
        <v>01</v>
      </c>
      <c r="F528" s="21">
        <v>0.160294878939752</v>
      </c>
      <c r="G528" s="4">
        <v>0.67500000000000004</v>
      </c>
      <c r="H528" s="4">
        <v>0.49262536873156298</v>
      </c>
      <c r="I528" s="4">
        <v>0.997</v>
      </c>
      <c r="J528" s="4">
        <v>0.96699999999999997</v>
      </c>
      <c r="K528" s="5">
        <v>100</v>
      </c>
      <c r="L528" s="5">
        <v>0</v>
      </c>
      <c r="M528" s="5">
        <v>100</v>
      </c>
      <c r="N528" s="5">
        <v>100</v>
      </c>
      <c r="O528" s="2">
        <v>0.39304258810960718</v>
      </c>
      <c r="P528" s="2">
        <v>0.70800629496369605</v>
      </c>
      <c r="Q528" s="2">
        <v>3.0045090202987243E-3</v>
      </c>
      <c r="R528" s="2">
        <v>3.3556783528842754E-2</v>
      </c>
    </row>
    <row r="529" spans="1:18" x14ac:dyDescent="0.3">
      <c r="A529" s="7">
        <v>98</v>
      </c>
      <c r="B529" s="7">
        <v>371</v>
      </c>
      <c r="C529" s="7">
        <v>0</v>
      </c>
      <c r="D529" s="7">
        <v>1</v>
      </c>
      <c r="E529" s="20" t="str">
        <f t="shared" si="8"/>
        <v>01</v>
      </c>
      <c r="F529" s="21">
        <v>0.16059296142530999</v>
      </c>
      <c r="G529" s="4">
        <v>0.51900000000000002</v>
      </c>
      <c r="H529" s="4">
        <v>0.36760925449871501</v>
      </c>
      <c r="I529" s="4">
        <v>0.99</v>
      </c>
      <c r="J529" s="4">
        <v>0.96299999999999997</v>
      </c>
      <c r="K529" s="5">
        <v>100</v>
      </c>
      <c r="L529" s="5">
        <v>0</v>
      </c>
      <c r="M529" s="5">
        <v>100</v>
      </c>
      <c r="N529" s="5">
        <v>100</v>
      </c>
      <c r="O529" s="2">
        <v>0.65585139581624841</v>
      </c>
      <c r="P529" s="2">
        <v>1.000734713358538</v>
      </c>
      <c r="Q529" s="2">
        <v>1.0050335853501451E-2</v>
      </c>
      <c r="R529" s="2">
        <v>3.7701867184011528E-2</v>
      </c>
    </row>
    <row r="530" spans="1:18" x14ac:dyDescent="0.3">
      <c r="A530" s="7">
        <v>248</v>
      </c>
      <c r="B530" s="7">
        <v>376</v>
      </c>
      <c r="C530" s="7">
        <v>0</v>
      </c>
      <c r="D530" s="7">
        <v>1</v>
      </c>
      <c r="E530" s="20" t="str">
        <f t="shared" si="8"/>
        <v>01</v>
      </c>
      <c r="F530" s="21">
        <v>0.16164356025580201</v>
      </c>
      <c r="G530" s="4">
        <v>0.63</v>
      </c>
      <c r="H530" s="4">
        <v>0.52876712328767095</v>
      </c>
      <c r="I530" s="4">
        <v>0.95799999999999996</v>
      </c>
      <c r="J530" s="4">
        <v>0.93</v>
      </c>
      <c r="K530" s="5">
        <v>100</v>
      </c>
      <c r="L530" s="5">
        <v>100</v>
      </c>
      <c r="M530" s="5">
        <v>100</v>
      </c>
      <c r="N530" s="5">
        <v>100</v>
      </c>
      <c r="O530" s="2">
        <v>0.46203545959655867</v>
      </c>
      <c r="P530" s="2">
        <v>0.63720716467760652</v>
      </c>
      <c r="Q530" s="2">
        <v>4.290750101127655E-2</v>
      </c>
      <c r="R530" s="2">
        <v>7.2570692834835374E-2</v>
      </c>
    </row>
    <row r="531" spans="1:18" x14ac:dyDescent="0.3">
      <c r="A531" s="7">
        <v>504</v>
      </c>
      <c r="B531" s="7">
        <v>381</v>
      </c>
      <c r="C531" s="7">
        <v>0</v>
      </c>
      <c r="D531" s="7">
        <v>1</v>
      </c>
      <c r="E531" s="20" t="str">
        <f t="shared" si="8"/>
        <v>01</v>
      </c>
      <c r="F531" s="21">
        <v>0.16256423995168601</v>
      </c>
      <c r="G531" s="4">
        <v>0.48099999999999998</v>
      </c>
      <c r="H531" s="4">
        <v>0.41441441441441401</v>
      </c>
      <c r="I531" s="4">
        <v>0.97599999999999998</v>
      </c>
      <c r="J531" s="4">
        <v>0.96499999999999997</v>
      </c>
      <c r="K531" s="5">
        <v>0</v>
      </c>
      <c r="L531" s="5">
        <v>0</v>
      </c>
      <c r="M531" s="5">
        <v>100</v>
      </c>
      <c r="N531" s="5">
        <v>100</v>
      </c>
      <c r="O531" s="2">
        <v>0.73188800887637595</v>
      </c>
      <c r="P531" s="2">
        <v>0.88088880482324006</v>
      </c>
      <c r="Q531" s="2">
        <v>2.4292692569044587E-2</v>
      </c>
      <c r="R531" s="2">
        <v>3.562717764315116E-2</v>
      </c>
    </row>
    <row r="532" spans="1:18" x14ac:dyDescent="0.3">
      <c r="A532" s="7">
        <v>691</v>
      </c>
      <c r="B532" s="7">
        <v>379</v>
      </c>
      <c r="C532" s="7">
        <v>0</v>
      </c>
      <c r="D532" s="7">
        <v>1</v>
      </c>
      <c r="E532" s="20" t="str">
        <f t="shared" si="8"/>
        <v>01</v>
      </c>
      <c r="F532" s="21">
        <v>0.166383451471036</v>
      </c>
      <c r="G532" s="4">
        <v>0.57199999999999995</v>
      </c>
      <c r="H532" s="4">
        <v>0.41282051282051302</v>
      </c>
      <c r="I532" s="4">
        <v>0.71899999999999997</v>
      </c>
      <c r="J532" s="4">
        <v>0.70399999999999996</v>
      </c>
      <c r="K532" s="5">
        <v>100</v>
      </c>
      <c r="L532" s="5">
        <v>0</v>
      </c>
      <c r="M532" s="5">
        <v>100</v>
      </c>
      <c r="N532" s="5">
        <v>100</v>
      </c>
      <c r="O532" s="2">
        <v>0.55861628760233928</v>
      </c>
      <c r="P532" s="2">
        <v>0.88474237413922863</v>
      </c>
      <c r="Q532" s="2">
        <v>0.32989392126109041</v>
      </c>
      <c r="R532" s="2">
        <v>0.35097692282409471</v>
      </c>
    </row>
    <row r="533" spans="1:18" x14ac:dyDescent="0.3">
      <c r="A533" s="7">
        <v>46</v>
      </c>
      <c r="B533" s="7">
        <v>381</v>
      </c>
      <c r="C533" s="7">
        <v>0</v>
      </c>
      <c r="D533" s="7">
        <v>1</v>
      </c>
      <c r="E533" s="20" t="str">
        <f t="shared" si="8"/>
        <v>01</v>
      </c>
      <c r="F533" s="21">
        <v>0.16716210015010599</v>
      </c>
      <c r="G533" s="4">
        <v>0.54600000000000004</v>
      </c>
      <c r="H533" s="4">
        <v>0.428934010152284</v>
      </c>
      <c r="I533" s="4">
        <v>0.96499999999999997</v>
      </c>
      <c r="J533" s="4">
        <v>0.95399999999999996</v>
      </c>
      <c r="K533" s="5">
        <v>100</v>
      </c>
      <c r="L533" s="5">
        <v>0</v>
      </c>
      <c r="M533" s="5">
        <v>100</v>
      </c>
      <c r="N533" s="5">
        <v>100</v>
      </c>
      <c r="O533" s="2">
        <v>0.60513630323723189</v>
      </c>
      <c r="P533" s="2">
        <v>0.84645219437486097</v>
      </c>
      <c r="Q533" s="2">
        <v>3.562717764315116E-2</v>
      </c>
      <c r="R533" s="2">
        <v>4.7091607533850569E-2</v>
      </c>
    </row>
    <row r="534" spans="1:18" x14ac:dyDescent="0.3">
      <c r="A534" s="7">
        <v>116</v>
      </c>
      <c r="B534" s="7">
        <v>391</v>
      </c>
      <c r="C534" s="7">
        <v>0</v>
      </c>
      <c r="D534" s="7">
        <v>1</v>
      </c>
      <c r="E534" s="20" t="str">
        <f t="shared" si="8"/>
        <v>01</v>
      </c>
      <c r="F534" s="21">
        <v>0.16728920675953601</v>
      </c>
      <c r="G534" s="4">
        <v>0.5</v>
      </c>
      <c r="H534" s="4">
        <v>0.34594594594594602</v>
      </c>
      <c r="I534" s="4">
        <v>0.98099999999999998</v>
      </c>
      <c r="J534" s="4">
        <v>0.96899999999999997</v>
      </c>
      <c r="K534" s="5">
        <v>0</v>
      </c>
      <c r="L534" s="5">
        <v>0</v>
      </c>
      <c r="M534" s="5">
        <v>100</v>
      </c>
      <c r="N534" s="5">
        <v>100</v>
      </c>
      <c r="O534" s="2">
        <v>0.69314718055994529</v>
      </c>
      <c r="P534" s="2">
        <v>1.0614727417186527</v>
      </c>
      <c r="Q534" s="2">
        <v>1.9182819416773987E-2</v>
      </c>
      <c r="R534" s="2">
        <v>3.1490667091370848E-2</v>
      </c>
    </row>
    <row r="535" spans="1:18" x14ac:dyDescent="0.3">
      <c r="A535" s="7">
        <v>704</v>
      </c>
      <c r="B535" s="7">
        <v>380</v>
      </c>
      <c r="C535" s="7">
        <v>0</v>
      </c>
      <c r="D535" s="7">
        <v>1</v>
      </c>
      <c r="E535" s="20" t="str">
        <f t="shared" si="8"/>
        <v>01</v>
      </c>
      <c r="F535" s="21">
        <v>0.17304833533622199</v>
      </c>
      <c r="G535" s="4">
        <v>0.55700000000000005</v>
      </c>
      <c r="H535" s="4">
        <v>0.34986225895316803</v>
      </c>
      <c r="I535" s="4">
        <v>0.99199999999999999</v>
      </c>
      <c r="J535" s="4">
        <v>0.96599999999999997</v>
      </c>
      <c r="K535" s="5">
        <v>100</v>
      </c>
      <c r="L535" s="5">
        <v>0</v>
      </c>
      <c r="M535" s="5">
        <v>100</v>
      </c>
      <c r="N535" s="5">
        <v>100</v>
      </c>
      <c r="O535" s="2">
        <v>0.5851900390548529</v>
      </c>
      <c r="P535" s="2">
        <v>1.0502157478062595</v>
      </c>
      <c r="Q535" s="2">
        <v>8.0321716972642666E-3</v>
      </c>
      <c r="R535" s="2">
        <v>3.459144476961909E-2</v>
      </c>
    </row>
    <row r="536" spans="1:18" x14ac:dyDescent="0.3">
      <c r="A536" s="7">
        <v>38</v>
      </c>
      <c r="B536" s="7">
        <v>380</v>
      </c>
      <c r="C536" s="7">
        <v>0</v>
      </c>
      <c r="D536" s="7">
        <v>1</v>
      </c>
      <c r="E536" s="20" t="str">
        <f t="shared" si="8"/>
        <v>01</v>
      </c>
      <c r="F536" s="21">
        <v>0.17527197327625299</v>
      </c>
      <c r="G536" s="4">
        <v>0.41299999999999998</v>
      </c>
      <c r="H536" s="4">
        <v>0.33410672853828299</v>
      </c>
      <c r="I536" s="4">
        <v>0.97099999999999997</v>
      </c>
      <c r="J536" s="4">
        <v>0.96099999999999997</v>
      </c>
      <c r="K536" s="5">
        <v>0</v>
      </c>
      <c r="L536" s="5">
        <v>0</v>
      </c>
      <c r="M536" s="5">
        <v>100</v>
      </c>
      <c r="N536" s="5">
        <v>100</v>
      </c>
      <c r="O536" s="2">
        <v>0.88430768602110432</v>
      </c>
      <c r="P536" s="2">
        <v>1.0962947905277474</v>
      </c>
      <c r="Q536" s="2">
        <v>2.9428810690812168E-2</v>
      </c>
      <c r="R536" s="2">
        <v>3.9780870011844598E-2</v>
      </c>
    </row>
    <row r="537" spans="1:18" x14ac:dyDescent="0.3">
      <c r="A537" s="7">
        <v>516</v>
      </c>
      <c r="B537" s="7">
        <v>354</v>
      </c>
      <c r="C537" s="7">
        <v>0</v>
      </c>
      <c r="D537" s="7">
        <v>1</v>
      </c>
      <c r="E537" s="20" t="str">
        <f t="shared" si="8"/>
        <v>01</v>
      </c>
      <c r="F537" s="21">
        <v>0.178569828391798</v>
      </c>
      <c r="G537" s="4">
        <v>0.59199999999999997</v>
      </c>
      <c r="H537" s="4">
        <v>0.489247311827957</v>
      </c>
      <c r="I537" s="4">
        <v>0.97599999999999998</v>
      </c>
      <c r="J537" s="4">
        <v>0.95</v>
      </c>
      <c r="K537" s="5">
        <v>100</v>
      </c>
      <c r="L537" s="5">
        <v>0</v>
      </c>
      <c r="M537" s="5">
        <v>100</v>
      </c>
      <c r="N537" s="5">
        <v>100</v>
      </c>
      <c r="O537" s="2">
        <v>0.52424864409813143</v>
      </c>
      <c r="P537" s="2">
        <v>0.71488716719635115</v>
      </c>
      <c r="Q537" s="2">
        <v>2.4292692569044587E-2</v>
      </c>
      <c r="R537" s="2">
        <v>5.1293294387550578E-2</v>
      </c>
    </row>
    <row r="538" spans="1:18" x14ac:dyDescent="0.3">
      <c r="A538" s="7">
        <v>169</v>
      </c>
      <c r="B538" s="7">
        <v>382</v>
      </c>
      <c r="C538" s="7">
        <v>0</v>
      </c>
      <c r="D538" s="7">
        <v>1</v>
      </c>
      <c r="E538" s="20" t="str">
        <f t="shared" si="8"/>
        <v>01</v>
      </c>
      <c r="F538" s="21">
        <v>0.184706113058896</v>
      </c>
      <c r="G538" s="4">
        <v>0.76400000000000001</v>
      </c>
      <c r="H538" s="4">
        <v>0.61073825503355705</v>
      </c>
      <c r="I538" s="4">
        <v>0.97899999999999998</v>
      </c>
      <c r="J538" s="4">
        <v>0.96099999999999997</v>
      </c>
      <c r="K538" s="5">
        <v>100</v>
      </c>
      <c r="L538" s="5">
        <v>100</v>
      </c>
      <c r="M538" s="5">
        <v>100</v>
      </c>
      <c r="N538" s="5">
        <v>100</v>
      </c>
      <c r="O538" s="2">
        <v>0.26918748981561652</v>
      </c>
      <c r="P538" s="2">
        <v>0.49308679942860911</v>
      </c>
      <c r="Q538" s="2">
        <v>2.1223636451626688E-2</v>
      </c>
      <c r="R538" s="2">
        <v>3.9780870011844598E-2</v>
      </c>
    </row>
    <row r="539" spans="1:18" x14ac:dyDescent="0.3">
      <c r="A539" s="7">
        <v>690</v>
      </c>
      <c r="B539" s="7">
        <v>342</v>
      </c>
      <c r="C539" s="7">
        <v>0</v>
      </c>
      <c r="D539" s="7">
        <v>1</v>
      </c>
      <c r="E539" s="20" t="str">
        <f t="shared" si="8"/>
        <v>01</v>
      </c>
      <c r="F539" s="21">
        <v>0.18502940108891</v>
      </c>
      <c r="G539" s="4">
        <v>0.61699999999999999</v>
      </c>
      <c r="H539" s="4">
        <v>0.425655976676385</v>
      </c>
      <c r="I539" s="4">
        <v>0.98599999999999999</v>
      </c>
      <c r="J539" s="4">
        <v>0.96</v>
      </c>
      <c r="K539" s="5">
        <v>100</v>
      </c>
      <c r="L539" s="5">
        <v>0</v>
      </c>
      <c r="M539" s="5">
        <v>100</v>
      </c>
      <c r="N539" s="5">
        <v>100</v>
      </c>
      <c r="O539" s="2">
        <v>0.48288625507674926</v>
      </c>
      <c r="P539" s="2">
        <v>0.85412382545760313</v>
      </c>
      <c r="Q539" s="2">
        <v>1.4098924379501648E-2</v>
      </c>
      <c r="R539" s="2">
        <v>4.0821994520255166E-2</v>
      </c>
    </row>
    <row r="540" spans="1:18" x14ac:dyDescent="0.3">
      <c r="A540" s="7">
        <v>419</v>
      </c>
      <c r="B540" s="7">
        <v>373</v>
      </c>
      <c r="C540" s="7">
        <v>0</v>
      </c>
      <c r="D540" s="7">
        <v>1</v>
      </c>
      <c r="E540" s="20" t="str">
        <f t="shared" si="8"/>
        <v>01</v>
      </c>
      <c r="F540" s="21">
        <v>0.19078907365387801</v>
      </c>
      <c r="G540" s="4">
        <v>0.67300000000000004</v>
      </c>
      <c r="H540" s="4">
        <v>0.50750750750750795</v>
      </c>
      <c r="I540" s="4">
        <v>0.98399999999999999</v>
      </c>
      <c r="J540" s="4">
        <v>0.94199999999999995</v>
      </c>
      <c r="K540" s="5">
        <v>100</v>
      </c>
      <c r="L540" s="5">
        <v>100</v>
      </c>
      <c r="M540" s="5">
        <v>100</v>
      </c>
      <c r="N540" s="5">
        <v>100</v>
      </c>
      <c r="O540" s="2">
        <v>0.39600994933740918</v>
      </c>
      <c r="P540" s="2">
        <v>0.67824377505736944</v>
      </c>
      <c r="Q540" s="2">
        <v>1.6129381929883644E-2</v>
      </c>
      <c r="R540" s="2">
        <v>5.9750004405774049E-2</v>
      </c>
    </row>
    <row r="541" spans="1:18" x14ac:dyDescent="0.3">
      <c r="A541" s="7">
        <v>66</v>
      </c>
      <c r="B541" s="7">
        <v>356</v>
      </c>
      <c r="C541" s="7">
        <v>0</v>
      </c>
      <c r="D541" s="7">
        <v>1</v>
      </c>
      <c r="E541" s="20" t="str">
        <f t="shared" si="8"/>
        <v>01</v>
      </c>
      <c r="F541" s="21">
        <v>0.19254309684614199</v>
      </c>
      <c r="G541" s="4">
        <v>0.62</v>
      </c>
      <c r="H541" s="4">
        <v>0.47554347826087001</v>
      </c>
      <c r="I541" s="4">
        <v>0.98899999999999999</v>
      </c>
      <c r="J541" s="4">
        <v>0.95899999999999996</v>
      </c>
      <c r="K541" s="5">
        <v>100</v>
      </c>
      <c r="L541" s="5">
        <v>0</v>
      </c>
      <c r="M541" s="5">
        <v>100</v>
      </c>
      <c r="N541" s="5">
        <v>100</v>
      </c>
      <c r="O541" s="2">
        <v>0.4780358009429998</v>
      </c>
      <c r="P541" s="2">
        <v>0.74329696424541591</v>
      </c>
      <c r="Q541" s="2">
        <v>1.1060947359424948E-2</v>
      </c>
      <c r="R541" s="2">
        <v>4.1864204098698871E-2</v>
      </c>
    </row>
    <row r="542" spans="1:18" x14ac:dyDescent="0.3">
      <c r="A542" s="7">
        <v>491</v>
      </c>
      <c r="B542" s="7">
        <v>351</v>
      </c>
      <c r="C542" s="7">
        <v>0</v>
      </c>
      <c r="D542" s="7">
        <v>1</v>
      </c>
      <c r="E542" s="20" t="str">
        <f t="shared" si="8"/>
        <v>01</v>
      </c>
      <c r="F542" s="21">
        <v>0.193304063734344</v>
      </c>
      <c r="G542" s="4">
        <v>0.81599999999999995</v>
      </c>
      <c r="H542" s="4">
        <v>0.72222222222222199</v>
      </c>
      <c r="I542" s="4">
        <v>0.99199999999999999</v>
      </c>
      <c r="J542" s="4">
        <v>0.96099999999999997</v>
      </c>
      <c r="K542" s="5">
        <v>100</v>
      </c>
      <c r="L542" s="5">
        <v>100</v>
      </c>
      <c r="M542" s="5">
        <v>100</v>
      </c>
      <c r="N542" s="5">
        <v>100</v>
      </c>
      <c r="O542" s="2">
        <v>0.20334092401803011</v>
      </c>
      <c r="P542" s="2">
        <v>0.32542240043462828</v>
      </c>
      <c r="Q542" s="2">
        <v>8.0321716972642666E-3</v>
      </c>
      <c r="R542" s="2">
        <v>3.9780870011844598E-2</v>
      </c>
    </row>
    <row r="543" spans="1:18" x14ac:dyDescent="0.3">
      <c r="A543" s="7">
        <v>361</v>
      </c>
      <c r="B543" s="7">
        <v>371</v>
      </c>
      <c r="C543" s="7">
        <v>0</v>
      </c>
      <c r="D543" s="7">
        <v>1</v>
      </c>
      <c r="E543" s="20" t="str">
        <f t="shared" si="8"/>
        <v>01</v>
      </c>
      <c r="F543" s="21">
        <v>0.193356770838016</v>
      </c>
      <c r="G543" s="4">
        <v>0.70899999999999996</v>
      </c>
      <c r="H543" s="4">
        <v>0.50853242320819103</v>
      </c>
      <c r="I543" s="4">
        <v>0.98799999999999999</v>
      </c>
      <c r="J543" s="4">
        <v>0.96299999999999997</v>
      </c>
      <c r="K543" s="5">
        <v>100</v>
      </c>
      <c r="L543" s="5">
        <v>100</v>
      </c>
      <c r="M543" s="5">
        <v>100</v>
      </c>
      <c r="N543" s="5">
        <v>100</v>
      </c>
      <c r="O543" s="2">
        <v>0.34389975245000959</v>
      </c>
      <c r="P543" s="2">
        <v>0.67622630307160836</v>
      </c>
      <c r="Q543" s="2">
        <v>1.2072581234269249E-2</v>
      </c>
      <c r="R543" s="2">
        <v>3.7701867184011528E-2</v>
      </c>
    </row>
    <row r="544" spans="1:18" x14ac:dyDescent="0.3">
      <c r="A544" s="7">
        <v>175</v>
      </c>
      <c r="B544" s="7">
        <v>361</v>
      </c>
      <c r="C544" s="7">
        <v>0</v>
      </c>
      <c r="D544" s="7">
        <v>1</v>
      </c>
      <c r="E544" s="20" t="str">
        <f t="shared" si="8"/>
        <v>01</v>
      </c>
      <c r="F544" s="21">
        <v>0.19459122873885701</v>
      </c>
      <c r="G544" s="4">
        <v>0.55200000000000005</v>
      </c>
      <c r="H544" s="4">
        <v>0.45542168674698802</v>
      </c>
      <c r="I544" s="4">
        <v>0.98099999999999998</v>
      </c>
      <c r="J544" s="4">
        <v>0.96899999999999997</v>
      </c>
      <c r="K544" s="5">
        <v>100</v>
      </c>
      <c r="L544" s="5">
        <v>0</v>
      </c>
      <c r="M544" s="5">
        <v>100</v>
      </c>
      <c r="N544" s="5">
        <v>100</v>
      </c>
      <c r="O544" s="2">
        <v>0.59420723270504161</v>
      </c>
      <c r="P544" s="2">
        <v>0.78653150517105574</v>
      </c>
      <c r="Q544" s="2">
        <v>1.9182819416773987E-2</v>
      </c>
      <c r="R544" s="2">
        <v>3.1490667091370848E-2</v>
      </c>
    </row>
    <row r="545" spans="1:18" x14ac:dyDescent="0.3">
      <c r="A545" s="7">
        <v>340</v>
      </c>
      <c r="B545" s="7">
        <v>341</v>
      </c>
      <c r="C545" s="7">
        <v>0</v>
      </c>
      <c r="D545" s="7">
        <v>1</v>
      </c>
      <c r="E545" s="20" t="str">
        <f t="shared" si="8"/>
        <v>01</v>
      </c>
      <c r="F545" s="21">
        <v>0.19960530790874101</v>
      </c>
      <c r="G545" s="4">
        <v>0.57899999999999996</v>
      </c>
      <c r="H545" s="4">
        <v>0.49271844660194197</v>
      </c>
      <c r="I545" s="4">
        <v>0.67600000000000005</v>
      </c>
      <c r="J545" s="4">
        <v>0.65700000000000003</v>
      </c>
      <c r="K545" s="5">
        <v>100</v>
      </c>
      <c r="L545" s="5">
        <v>0</v>
      </c>
      <c r="M545" s="5">
        <v>100</v>
      </c>
      <c r="N545" s="5">
        <v>100</v>
      </c>
      <c r="O545" s="2">
        <v>0.54645280140914188</v>
      </c>
      <c r="P545" s="2">
        <v>0.70781737030773861</v>
      </c>
      <c r="Q545" s="2">
        <v>0.39156220293917288</v>
      </c>
      <c r="R545" s="2">
        <v>0.42007126049752652</v>
      </c>
    </row>
    <row r="546" spans="1:18" x14ac:dyDescent="0.3">
      <c r="A546" s="7">
        <v>993</v>
      </c>
      <c r="B546" s="7">
        <v>355</v>
      </c>
      <c r="C546" s="7">
        <v>0</v>
      </c>
      <c r="D546" s="7">
        <v>1</v>
      </c>
      <c r="E546" s="20" t="str">
        <f t="shared" si="8"/>
        <v>01</v>
      </c>
      <c r="F546" s="21">
        <v>0.203572383528179</v>
      </c>
      <c r="G546" s="4">
        <v>0.373</v>
      </c>
      <c r="H546" s="4">
        <v>0.33257918552036198</v>
      </c>
      <c r="I546" s="4">
        <v>0.96599999999999997</v>
      </c>
      <c r="J546" s="4">
        <v>0.95899999999999996</v>
      </c>
      <c r="K546" s="5">
        <v>0</v>
      </c>
      <c r="L546" s="5">
        <v>0</v>
      </c>
      <c r="M546" s="5">
        <v>100</v>
      </c>
      <c r="N546" s="5">
        <v>100</v>
      </c>
      <c r="O546" s="2">
        <v>0.98617685933832155</v>
      </c>
      <c r="P546" s="2">
        <v>1.1008772952989618</v>
      </c>
      <c r="Q546" s="2">
        <v>3.459144476961909E-2</v>
      </c>
      <c r="R546" s="2">
        <v>4.1864204098698871E-2</v>
      </c>
    </row>
    <row r="547" spans="1:18" x14ac:dyDescent="0.3">
      <c r="A547" s="7">
        <v>576</v>
      </c>
      <c r="B547" s="7">
        <v>373</v>
      </c>
      <c r="C547" s="7">
        <v>0</v>
      </c>
      <c r="D547" s="7">
        <v>1</v>
      </c>
      <c r="E547" s="20" t="str">
        <f t="shared" si="8"/>
        <v>01</v>
      </c>
      <c r="F547" s="21">
        <v>0.21398639757764501</v>
      </c>
      <c r="G547" s="4">
        <v>0.48899999999999999</v>
      </c>
      <c r="H547" s="4">
        <v>0.41230068337129799</v>
      </c>
      <c r="I547" s="4">
        <v>0.95899999999999996</v>
      </c>
      <c r="J547" s="4">
        <v>0.95899999999999996</v>
      </c>
      <c r="K547" s="5">
        <v>0</v>
      </c>
      <c r="L547" s="5">
        <v>0</v>
      </c>
      <c r="M547" s="5">
        <v>100</v>
      </c>
      <c r="N547" s="5">
        <v>100</v>
      </c>
      <c r="O547" s="2">
        <v>0.71539278950726504</v>
      </c>
      <c r="P547" s="2">
        <v>0.88600238180934665</v>
      </c>
      <c r="Q547" s="2">
        <v>4.1864204098698871E-2</v>
      </c>
      <c r="R547" s="2">
        <v>4.1864204098698871E-2</v>
      </c>
    </row>
    <row r="548" spans="1:18" x14ac:dyDescent="0.3">
      <c r="A548" s="7">
        <v>614</v>
      </c>
      <c r="B548" s="7">
        <v>328</v>
      </c>
      <c r="C548" s="7">
        <v>0</v>
      </c>
      <c r="D548" s="7">
        <v>1</v>
      </c>
      <c r="E548" s="20" t="str">
        <f t="shared" si="8"/>
        <v>01</v>
      </c>
      <c r="F548" s="21">
        <v>0.21769303073552501</v>
      </c>
      <c r="G548" s="4">
        <v>0.622</v>
      </c>
      <c r="H548" s="4">
        <v>0.43067846607669602</v>
      </c>
      <c r="I548" s="4">
        <v>3.2000000000000001E-2</v>
      </c>
      <c r="J548" s="4">
        <v>2.7E-2</v>
      </c>
      <c r="K548" s="5">
        <v>100</v>
      </c>
      <c r="L548" s="5">
        <v>0</v>
      </c>
      <c r="M548" s="5">
        <v>0</v>
      </c>
      <c r="N548" s="5">
        <v>0</v>
      </c>
      <c r="O548" s="2">
        <v>0.4748151862429576</v>
      </c>
      <c r="P548" s="2">
        <v>0.84239348567211414</v>
      </c>
      <c r="Q548" s="2">
        <v>3.4420193761824103</v>
      </c>
      <c r="R548" s="2">
        <v>3.6119184129778081</v>
      </c>
    </row>
    <row r="549" spans="1:18" x14ac:dyDescent="0.3">
      <c r="A549" s="7">
        <v>280</v>
      </c>
      <c r="B549" s="7">
        <v>339</v>
      </c>
      <c r="C549" s="7">
        <v>0</v>
      </c>
      <c r="D549" s="7">
        <v>1</v>
      </c>
      <c r="E549" s="20" t="str">
        <f t="shared" si="8"/>
        <v>01</v>
      </c>
      <c r="F549" s="21">
        <v>0.21889822925034899</v>
      </c>
      <c r="G549" s="4">
        <v>0.51900000000000002</v>
      </c>
      <c r="H549" s="4">
        <v>0.40270270270270297</v>
      </c>
      <c r="I549" s="4">
        <v>0.97</v>
      </c>
      <c r="J549" s="4">
        <v>0.93</v>
      </c>
      <c r="K549" s="5">
        <v>100</v>
      </c>
      <c r="L549" s="5">
        <v>0</v>
      </c>
      <c r="M549" s="5">
        <v>100</v>
      </c>
      <c r="N549" s="5">
        <v>100</v>
      </c>
      <c r="O549" s="2">
        <v>0.65585139581624841</v>
      </c>
      <c r="P549" s="2">
        <v>0.90955669969281028</v>
      </c>
      <c r="Q549" s="2">
        <v>3.0459207484708574E-2</v>
      </c>
      <c r="R549" s="2">
        <v>7.2570692834835374E-2</v>
      </c>
    </row>
    <row r="550" spans="1:18" x14ac:dyDescent="0.3">
      <c r="A550" s="7">
        <v>972</v>
      </c>
      <c r="B550" s="7">
        <v>363</v>
      </c>
      <c r="C550" s="7">
        <v>0</v>
      </c>
      <c r="D550" s="7">
        <v>1</v>
      </c>
      <c r="E550" s="20" t="str">
        <f t="shared" si="8"/>
        <v>01</v>
      </c>
      <c r="F550" s="21">
        <v>0.222831181434583</v>
      </c>
      <c r="G550" s="4">
        <v>0.57899999999999996</v>
      </c>
      <c r="H550" s="4">
        <v>0.44568245125348199</v>
      </c>
      <c r="I550" s="4">
        <v>0.98599999999999999</v>
      </c>
      <c r="J550" s="4">
        <v>0.96199999999999997</v>
      </c>
      <c r="K550" s="5">
        <v>100</v>
      </c>
      <c r="L550" s="5">
        <v>0</v>
      </c>
      <c r="M550" s="5">
        <v>100</v>
      </c>
      <c r="N550" s="5">
        <v>100</v>
      </c>
      <c r="O550" s="2">
        <v>0.54645280140914188</v>
      </c>
      <c r="P550" s="2">
        <v>0.80814857325445177</v>
      </c>
      <c r="Q550" s="2">
        <v>1.4098924379501648E-2</v>
      </c>
      <c r="R550" s="2">
        <v>3.8740828316430595E-2</v>
      </c>
    </row>
    <row r="551" spans="1:18" x14ac:dyDescent="0.3">
      <c r="A551" s="7">
        <v>112</v>
      </c>
      <c r="B551" s="7">
        <v>343</v>
      </c>
      <c r="C551" s="7">
        <v>0</v>
      </c>
      <c r="D551" s="7">
        <v>1</v>
      </c>
      <c r="E551" s="20" t="str">
        <f t="shared" si="8"/>
        <v>01</v>
      </c>
      <c r="F551" s="21">
        <v>0.225087762044619</v>
      </c>
      <c r="G551" s="4">
        <v>0.46500000000000002</v>
      </c>
      <c r="H551" s="4">
        <v>0.35820895522388102</v>
      </c>
      <c r="I551" s="4">
        <v>0.99299999999999999</v>
      </c>
      <c r="J551" s="4">
        <v>0.96899999999999997</v>
      </c>
      <c r="K551" s="5">
        <v>0</v>
      </c>
      <c r="L551" s="5">
        <v>0</v>
      </c>
      <c r="M551" s="5">
        <v>100</v>
      </c>
      <c r="N551" s="5">
        <v>100</v>
      </c>
      <c r="O551" s="2">
        <v>0.7657178733947807</v>
      </c>
      <c r="P551" s="2">
        <v>1.0266387890430193</v>
      </c>
      <c r="Q551" s="2">
        <v>7.0246149369644663E-3</v>
      </c>
      <c r="R551" s="2">
        <v>3.1490667091370848E-2</v>
      </c>
    </row>
    <row r="552" spans="1:18" x14ac:dyDescent="0.3">
      <c r="A552" s="7">
        <v>916</v>
      </c>
      <c r="B552" s="7">
        <v>344</v>
      </c>
      <c r="C552" s="7">
        <v>0</v>
      </c>
      <c r="D552" s="7">
        <v>1</v>
      </c>
      <c r="E552" s="20" t="str">
        <f t="shared" si="8"/>
        <v>01</v>
      </c>
      <c r="F552" s="21">
        <v>0.22597169963654101</v>
      </c>
      <c r="G552" s="4">
        <v>0.747</v>
      </c>
      <c r="H552" s="4">
        <v>0.60060060060060105</v>
      </c>
      <c r="I552" s="4">
        <v>0.98199999999999998</v>
      </c>
      <c r="J552" s="4">
        <v>0.95799999999999996</v>
      </c>
      <c r="K552" s="5">
        <v>100</v>
      </c>
      <c r="L552" s="5">
        <v>100</v>
      </c>
      <c r="M552" s="5">
        <v>100</v>
      </c>
      <c r="N552" s="5">
        <v>100</v>
      </c>
      <c r="O552" s="2">
        <v>0.29169009384931976</v>
      </c>
      <c r="P552" s="2">
        <v>0.50982512343240638</v>
      </c>
      <c r="Q552" s="2">
        <v>1.816397062767118E-2</v>
      </c>
      <c r="R552" s="2">
        <v>4.290750101127655E-2</v>
      </c>
    </row>
    <row r="553" spans="1:18" x14ac:dyDescent="0.3">
      <c r="A553" s="7">
        <v>658</v>
      </c>
      <c r="B553" s="7">
        <v>339</v>
      </c>
      <c r="C553" s="7">
        <v>0</v>
      </c>
      <c r="D553" s="7">
        <v>1</v>
      </c>
      <c r="E553" s="20" t="str">
        <f t="shared" si="8"/>
        <v>01</v>
      </c>
      <c r="F553" s="21">
        <v>0.227168994814341</v>
      </c>
      <c r="G553" s="4">
        <v>0.4</v>
      </c>
      <c r="H553" s="4">
        <v>0.30681818181818199</v>
      </c>
      <c r="I553" s="4">
        <v>0.94499999999999995</v>
      </c>
      <c r="J553" s="4">
        <v>0.95599999999999996</v>
      </c>
      <c r="K553" s="5">
        <v>0</v>
      </c>
      <c r="L553" s="5">
        <v>0</v>
      </c>
      <c r="M553" s="5">
        <v>100</v>
      </c>
      <c r="N553" s="5">
        <v>100</v>
      </c>
      <c r="O553" s="2">
        <v>0.916290731874155</v>
      </c>
      <c r="P553" s="2">
        <v>1.1814999484738768</v>
      </c>
      <c r="Q553" s="2">
        <v>5.6570351488394351E-2</v>
      </c>
      <c r="R553" s="2">
        <v>4.4997365930735805E-2</v>
      </c>
    </row>
    <row r="554" spans="1:18" x14ac:dyDescent="0.3">
      <c r="A554" s="7">
        <v>941</v>
      </c>
      <c r="B554" s="7">
        <v>335</v>
      </c>
      <c r="C554" s="7">
        <v>0</v>
      </c>
      <c r="D554" s="7">
        <v>1</v>
      </c>
      <c r="E554" s="20" t="str">
        <f t="shared" si="8"/>
        <v>01</v>
      </c>
      <c r="F554" s="21">
        <v>0.230127745802159</v>
      </c>
      <c r="G554" s="4">
        <v>0.33300000000000002</v>
      </c>
      <c r="H554" s="4">
        <v>0.28322440087146</v>
      </c>
      <c r="I554" s="4">
        <v>0.86</v>
      </c>
      <c r="J554" s="4">
        <v>0.82299999999999995</v>
      </c>
      <c r="K554" s="5">
        <v>0</v>
      </c>
      <c r="L554" s="5">
        <v>0</v>
      </c>
      <c r="M554" s="5">
        <v>100</v>
      </c>
      <c r="N554" s="5">
        <v>100</v>
      </c>
      <c r="O554" s="2">
        <v>1.0996127890016931</v>
      </c>
      <c r="P554" s="2">
        <v>1.2615157596049615</v>
      </c>
      <c r="Q554" s="2">
        <v>0.15082288973458366</v>
      </c>
      <c r="R554" s="2">
        <v>0.19479907830506729</v>
      </c>
    </row>
    <row r="555" spans="1:18" x14ac:dyDescent="0.3">
      <c r="A555" s="7">
        <v>398</v>
      </c>
      <c r="B555" s="7">
        <v>331</v>
      </c>
      <c r="C555" s="7">
        <v>0</v>
      </c>
      <c r="D555" s="7">
        <v>1</v>
      </c>
      <c r="E555" s="20" t="str">
        <f t="shared" si="8"/>
        <v>01</v>
      </c>
      <c r="F555" s="21">
        <v>0.23054223409554001</v>
      </c>
      <c r="G555" s="4">
        <v>0.54900000000000004</v>
      </c>
      <c r="H555" s="4">
        <v>0.47596153846153799</v>
      </c>
      <c r="I555" s="4">
        <v>0.98199999999999998</v>
      </c>
      <c r="J555" s="4">
        <v>0.97499999999999998</v>
      </c>
      <c r="K555" s="5">
        <v>100</v>
      </c>
      <c r="L555" s="5">
        <v>0</v>
      </c>
      <c r="M555" s="5">
        <v>100</v>
      </c>
      <c r="N555" s="5">
        <v>100</v>
      </c>
      <c r="O555" s="2">
        <v>0.59965683747260634</v>
      </c>
      <c r="P555" s="2">
        <v>0.74241822956672898</v>
      </c>
      <c r="Q555" s="2">
        <v>1.816397062767118E-2</v>
      </c>
      <c r="R555" s="2">
        <v>2.5317807984289897E-2</v>
      </c>
    </row>
    <row r="556" spans="1:18" x14ac:dyDescent="0.3">
      <c r="A556" s="7">
        <v>90</v>
      </c>
      <c r="B556" s="7">
        <v>347</v>
      </c>
      <c r="C556" s="7">
        <v>0</v>
      </c>
      <c r="D556" s="7">
        <v>1</v>
      </c>
      <c r="E556" s="20" t="str">
        <f t="shared" si="8"/>
        <v>01</v>
      </c>
      <c r="F556" s="21">
        <v>0.232743900832133</v>
      </c>
      <c r="G556" s="4">
        <v>0.40699999999999997</v>
      </c>
      <c r="H556" s="4">
        <v>0.33109619686800901</v>
      </c>
      <c r="I556" s="4">
        <v>0.96699999999999997</v>
      </c>
      <c r="J556" s="4">
        <v>0.96499999999999997</v>
      </c>
      <c r="K556" s="5">
        <v>0</v>
      </c>
      <c r="L556" s="5">
        <v>0</v>
      </c>
      <c r="M556" s="5">
        <v>100</v>
      </c>
      <c r="N556" s="5">
        <v>100</v>
      </c>
      <c r="O556" s="2">
        <v>0.89894209353954213</v>
      </c>
      <c r="P556" s="2">
        <v>1.1053463208494536</v>
      </c>
      <c r="Q556" s="2">
        <v>3.3556783528842754E-2</v>
      </c>
      <c r="R556" s="2">
        <v>3.562717764315116E-2</v>
      </c>
    </row>
    <row r="557" spans="1:18" x14ac:dyDescent="0.3">
      <c r="A557" s="7">
        <v>673</v>
      </c>
      <c r="B557" s="7">
        <v>331</v>
      </c>
      <c r="C557" s="7">
        <v>0</v>
      </c>
      <c r="D557" s="7">
        <v>1</v>
      </c>
      <c r="E557" s="20" t="str">
        <f t="shared" si="8"/>
        <v>01</v>
      </c>
      <c r="F557" s="21">
        <v>0.236363682942517</v>
      </c>
      <c r="G557" s="4">
        <v>0.73</v>
      </c>
      <c r="H557" s="4">
        <v>0.54374999999999996</v>
      </c>
      <c r="I557" s="4">
        <v>0.98399999999999999</v>
      </c>
      <c r="J557" s="4">
        <v>0.95199999999999996</v>
      </c>
      <c r="K557" s="5">
        <v>100</v>
      </c>
      <c r="L557" s="5">
        <v>100</v>
      </c>
      <c r="M557" s="5">
        <v>100</v>
      </c>
      <c r="N557" s="5">
        <v>100</v>
      </c>
      <c r="O557" s="2">
        <v>0.31471074483970024</v>
      </c>
      <c r="P557" s="2">
        <v>0.60926569657924323</v>
      </c>
      <c r="Q557" s="2">
        <v>1.6129381929883644E-2</v>
      </c>
      <c r="R557" s="2">
        <v>4.9190244190771781E-2</v>
      </c>
    </row>
    <row r="558" spans="1:18" x14ac:dyDescent="0.3">
      <c r="A558" s="7">
        <v>809</v>
      </c>
      <c r="B558" s="7">
        <v>327</v>
      </c>
      <c r="C558" s="7">
        <v>0</v>
      </c>
      <c r="D558" s="7">
        <v>1</v>
      </c>
      <c r="E558" s="20" t="str">
        <f t="shared" si="8"/>
        <v>01</v>
      </c>
      <c r="F558" s="21">
        <v>0.24218479111087701</v>
      </c>
      <c r="G558" s="4">
        <v>0.48799999999999999</v>
      </c>
      <c r="H558" s="4">
        <v>0.33333333333333298</v>
      </c>
      <c r="I558" s="4">
        <v>0.97299999999999998</v>
      </c>
      <c r="J558" s="4">
        <v>0.96499999999999997</v>
      </c>
      <c r="K558" s="5">
        <v>0</v>
      </c>
      <c r="L558" s="5">
        <v>0</v>
      </c>
      <c r="M558" s="5">
        <v>100</v>
      </c>
      <c r="N558" s="5">
        <v>100</v>
      </c>
      <c r="O558" s="2">
        <v>0.71743987312898994</v>
      </c>
      <c r="P558" s="2">
        <v>1.0986122886681107</v>
      </c>
      <c r="Q558" s="2">
        <v>2.7371196796132015E-2</v>
      </c>
      <c r="R558" s="2">
        <v>3.562717764315116E-2</v>
      </c>
    </row>
    <row r="559" spans="1:18" x14ac:dyDescent="0.3">
      <c r="A559" s="7">
        <v>764</v>
      </c>
      <c r="B559" s="7">
        <v>339</v>
      </c>
      <c r="C559" s="7">
        <v>0</v>
      </c>
      <c r="D559" s="7">
        <v>1</v>
      </c>
      <c r="E559" s="20" t="str">
        <f t="shared" si="8"/>
        <v>01</v>
      </c>
      <c r="F559" s="21">
        <v>0.244936832902969</v>
      </c>
      <c r="G559" s="4">
        <v>0.64</v>
      </c>
      <c r="H559" s="4">
        <v>0.47787610619469001</v>
      </c>
      <c r="I559" s="4">
        <v>0.96799999999999997</v>
      </c>
      <c r="J559" s="4">
        <v>0.94399999999999995</v>
      </c>
      <c r="K559" s="5">
        <v>100</v>
      </c>
      <c r="L559" s="5">
        <v>0</v>
      </c>
      <c r="M559" s="5">
        <v>100</v>
      </c>
      <c r="N559" s="5">
        <v>100</v>
      </c>
      <c r="O559" s="2">
        <v>0.44628710262841947</v>
      </c>
      <c r="P559" s="2">
        <v>0.73840377214806674</v>
      </c>
      <c r="Q559" s="2">
        <v>3.2523191705560062E-2</v>
      </c>
      <c r="R559" s="2">
        <v>5.7629112836636416E-2</v>
      </c>
    </row>
    <row r="560" spans="1:18" x14ac:dyDescent="0.3">
      <c r="A560" s="7">
        <v>932</v>
      </c>
      <c r="B560" s="7">
        <v>305</v>
      </c>
      <c r="C560" s="7">
        <v>0</v>
      </c>
      <c r="D560" s="7">
        <v>1</v>
      </c>
      <c r="E560" s="20" t="str">
        <f t="shared" si="8"/>
        <v>01</v>
      </c>
      <c r="F560" s="21">
        <v>0.24640531510008501</v>
      </c>
      <c r="G560" s="4">
        <v>0.64</v>
      </c>
      <c r="H560" s="4">
        <v>0.5</v>
      </c>
      <c r="I560" s="4">
        <v>0.97699999999999998</v>
      </c>
      <c r="J560" s="4">
        <v>0.94399999999999995</v>
      </c>
      <c r="K560" s="5">
        <v>100</v>
      </c>
      <c r="L560" s="5">
        <v>0</v>
      </c>
      <c r="M560" s="5">
        <v>100</v>
      </c>
      <c r="N560" s="5">
        <v>100</v>
      </c>
      <c r="O560" s="2">
        <v>0.44628710262841947</v>
      </c>
      <c r="P560" s="2">
        <v>0.69314718055994529</v>
      </c>
      <c r="Q560" s="2">
        <v>2.3268626939354331E-2</v>
      </c>
      <c r="R560" s="2">
        <v>5.7629112836636416E-2</v>
      </c>
    </row>
    <row r="561" spans="1:18" x14ac:dyDescent="0.3">
      <c r="A561" s="7">
        <v>591</v>
      </c>
      <c r="B561" s="7">
        <v>328</v>
      </c>
      <c r="C561" s="7">
        <v>0</v>
      </c>
      <c r="D561" s="7">
        <v>1</v>
      </c>
      <c r="E561" s="20" t="str">
        <f t="shared" si="8"/>
        <v>01</v>
      </c>
      <c r="F561" s="21">
        <v>0.24830216056378199</v>
      </c>
      <c r="G561" s="4">
        <v>0.39600000000000002</v>
      </c>
      <c r="H561" s="4">
        <v>0.30385487528344701</v>
      </c>
      <c r="I561" s="4">
        <v>0.95299999999999996</v>
      </c>
      <c r="J561" s="4">
        <v>0.93100000000000005</v>
      </c>
      <c r="K561" s="5">
        <v>0</v>
      </c>
      <c r="L561" s="5">
        <v>0</v>
      </c>
      <c r="M561" s="5">
        <v>100</v>
      </c>
      <c r="N561" s="5">
        <v>100</v>
      </c>
      <c r="O561" s="2">
        <v>0.92634106772765645</v>
      </c>
      <c r="P561" s="2">
        <v>1.1912050754959336</v>
      </c>
      <c r="Q561" s="2">
        <v>4.8140375327934984E-2</v>
      </c>
      <c r="R561" s="2">
        <v>7.1496001705069923E-2</v>
      </c>
    </row>
    <row r="562" spans="1:18" x14ac:dyDescent="0.3">
      <c r="A562" s="7">
        <v>599</v>
      </c>
      <c r="B562" s="7">
        <v>328</v>
      </c>
      <c r="C562" s="7">
        <v>0</v>
      </c>
      <c r="D562" s="7">
        <v>1</v>
      </c>
      <c r="E562" s="20" t="str">
        <f t="shared" si="8"/>
        <v>01</v>
      </c>
      <c r="F562" s="21">
        <v>0.25045489894981499</v>
      </c>
      <c r="G562" s="4">
        <v>0.752</v>
      </c>
      <c r="H562" s="4">
        <v>0.60450160771704198</v>
      </c>
      <c r="I562" s="4">
        <v>0.98799999999999999</v>
      </c>
      <c r="J562" s="4">
        <v>0.95599999999999996</v>
      </c>
      <c r="K562" s="5">
        <v>100</v>
      </c>
      <c r="L562" s="5">
        <v>100</v>
      </c>
      <c r="M562" s="5">
        <v>100</v>
      </c>
      <c r="N562" s="5">
        <v>100</v>
      </c>
      <c r="O562" s="2">
        <v>0.28501895503229724</v>
      </c>
      <c r="P562" s="2">
        <v>0.50335094934928459</v>
      </c>
      <c r="Q562" s="2">
        <v>1.2072581234269249E-2</v>
      </c>
      <c r="R562" s="2">
        <v>4.4997365930735805E-2</v>
      </c>
    </row>
    <row r="563" spans="1:18" x14ac:dyDescent="0.3">
      <c r="A563" s="7">
        <v>542</v>
      </c>
      <c r="B563" s="7">
        <v>348</v>
      </c>
      <c r="C563" s="7">
        <v>0</v>
      </c>
      <c r="D563" s="7">
        <v>1</v>
      </c>
      <c r="E563" s="20" t="str">
        <f t="shared" si="8"/>
        <v>01</v>
      </c>
      <c r="F563" s="21">
        <v>0.25110204242398898</v>
      </c>
      <c r="G563" s="4">
        <v>0.46800000000000003</v>
      </c>
      <c r="H563" s="4">
        <v>0.37380952380952398</v>
      </c>
      <c r="I563" s="4">
        <v>0.96799999999999997</v>
      </c>
      <c r="J563" s="4">
        <v>0.94599999999999995</v>
      </c>
      <c r="K563" s="5">
        <v>0</v>
      </c>
      <c r="L563" s="5">
        <v>0</v>
      </c>
      <c r="M563" s="5">
        <v>100</v>
      </c>
      <c r="N563" s="5">
        <v>100</v>
      </c>
      <c r="O563" s="2">
        <v>0.75928698306449027</v>
      </c>
      <c r="P563" s="2">
        <v>0.9840089059291055</v>
      </c>
      <c r="Q563" s="2">
        <v>3.2523191705560062E-2</v>
      </c>
      <c r="R563" s="2">
        <v>5.5512709930258829E-2</v>
      </c>
    </row>
    <row r="564" spans="1:18" x14ac:dyDescent="0.3">
      <c r="A564" s="7">
        <v>911</v>
      </c>
      <c r="B564" s="7">
        <v>318</v>
      </c>
      <c r="C564" s="7">
        <v>0</v>
      </c>
      <c r="D564" s="7">
        <v>1</v>
      </c>
      <c r="E564" s="20" t="str">
        <f t="shared" si="8"/>
        <v>01</v>
      </c>
      <c r="F564" s="21">
        <v>0.251456834548827</v>
      </c>
      <c r="G564" s="4">
        <v>0.624</v>
      </c>
      <c r="H564" s="4">
        <v>0.44674556213017802</v>
      </c>
      <c r="I564" s="4">
        <v>0.97599999999999998</v>
      </c>
      <c r="J564" s="4">
        <v>0.95399999999999996</v>
      </c>
      <c r="K564" s="5">
        <v>100</v>
      </c>
      <c r="L564" s="5">
        <v>0</v>
      </c>
      <c r="M564" s="5">
        <v>100</v>
      </c>
      <c r="N564" s="5">
        <v>100</v>
      </c>
      <c r="O564" s="2">
        <v>0.47160491061270937</v>
      </c>
      <c r="P564" s="2">
        <v>0.80576605866809337</v>
      </c>
      <c r="Q564" s="2">
        <v>2.4292692569044587E-2</v>
      </c>
      <c r="R564" s="2">
        <v>4.7091607533850569E-2</v>
      </c>
    </row>
    <row r="565" spans="1:18" x14ac:dyDescent="0.3">
      <c r="A565" s="7">
        <v>923</v>
      </c>
      <c r="B565" s="7">
        <v>341</v>
      </c>
      <c r="C565" s="7">
        <v>0</v>
      </c>
      <c r="D565" s="7">
        <v>1</v>
      </c>
      <c r="E565" s="20" t="str">
        <f t="shared" si="8"/>
        <v>01</v>
      </c>
      <c r="F565" s="21">
        <v>0.25374598663105602</v>
      </c>
      <c r="G565" s="4">
        <v>0.78100000000000003</v>
      </c>
      <c r="H565" s="4">
        <v>0.65614035087719302</v>
      </c>
      <c r="I565" s="4">
        <v>0.98</v>
      </c>
      <c r="J565" s="4">
        <v>0.93799999999999994</v>
      </c>
      <c r="K565" s="5">
        <v>100</v>
      </c>
      <c r="L565" s="5">
        <v>100</v>
      </c>
      <c r="M565" s="5">
        <v>100</v>
      </c>
      <c r="N565" s="5">
        <v>100</v>
      </c>
      <c r="O565" s="2">
        <v>0.24718012914245105</v>
      </c>
      <c r="P565" s="2">
        <v>0.42138056341406382</v>
      </c>
      <c r="Q565" s="2">
        <v>2.0202707317519466E-2</v>
      </c>
      <c r="R565" s="2">
        <v>6.4005329975912434E-2</v>
      </c>
    </row>
    <row r="566" spans="1:18" x14ac:dyDescent="0.3">
      <c r="A566" s="7">
        <v>593</v>
      </c>
      <c r="B566" s="7">
        <v>316</v>
      </c>
      <c r="C566" s="7">
        <v>0</v>
      </c>
      <c r="D566" s="7">
        <v>1</v>
      </c>
      <c r="E566" s="20" t="str">
        <f t="shared" si="8"/>
        <v>01</v>
      </c>
      <c r="F566" s="21">
        <v>0.25700052546806501</v>
      </c>
      <c r="G566" s="4">
        <v>0.47699999999999998</v>
      </c>
      <c r="H566" s="4">
        <v>0.38139534883720899</v>
      </c>
      <c r="I566" s="4">
        <v>4.7E-2</v>
      </c>
      <c r="J566" s="4">
        <v>4.2999999999999997E-2</v>
      </c>
      <c r="K566" s="5">
        <v>0</v>
      </c>
      <c r="L566" s="5">
        <v>0</v>
      </c>
      <c r="M566" s="5">
        <v>0</v>
      </c>
      <c r="N566" s="5">
        <v>0</v>
      </c>
      <c r="O566" s="2">
        <v>0.74023878809379584</v>
      </c>
      <c r="P566" s="2">
        <v>0.96391878086341054</v>
      </c>
      <c r="Q566" s="2">
        <v>3.0576076772720784</v>
      </c>
      <c r="R566" s="2">
        <v>3.1465551632885749</v>
      </c>
    </row>
    <row r="567" spans="1:18" x14ac:dyDescent="0.3">
      <c r="A567" s="7">
        <v>256</v>
      </c>
      <c r="B567" s="7">
        <v>303</v>
      </c>
      <c r="C567" s="7">
        <v>0</v>
      </c>
      <c r="D567" s="7">
        <v>1</v>
      </c>
      <c r="E567" s="20" t="str">
        <f t="shared" si="8"/>
        <v>01</v>
      </c>
      <c r="F567" s="21">
        <v>0.25903903998447703</v>
      </c>
      <c r="G567" s="4">
        <v>0.61699999999999999</v>
      </c>
      <c r="H567" s="4">
        <v>0.42816091954023</v>
      </c>
      <c r="I567" s="4">
        <v>0.97199999999999998</v>
      </c>
      <c r="J567" s="4">
        <v>0.91700000000000004</v>
      </c>
      <c r="K567" s="5">
        <v>100</v>
      </c>
      <c r="L567" s="5">
        <v>0</v>
      </c>
      <c r="M567" s="5">
        <v>100</v>
      </c>
      <c r="N567" s="5">
        <v>100</v>
      </c>
      <c r="O567" s="2">
        <v>0.48288625507674926</v>
      </c>
      <c r="P567" s="2">
        <v>0.84825617382901497</v>
      </c>
      <c r="Q567" s="2">
        <v>2.8399474521698002E-2</v>
      </c>
      <c r="R567" s="2">
        <v>8.6647806725672169E-2</v>
      </c>
    </row>
    <row r="568" spans="1:18" x14ac:dyDescent="0.3">
      <c r="A568" s="7">
        <v>294</v>
      </c>
      <c r="B568" s="7">
        <v>329</v>
      </c>
      <c r="C568" s="7">
        <v>0</v>
      </c>
      <c r="D568" s="7">
        <v>1</v>
      </c>
      <c r="E568" s="20" t="str">
        <f t="shared" si="8"/>
        <v>01</v>
      </c>
      <c r="F568" s="21">
        <v>0.27075915466551398</v>
      </c>
      <c r="G568" s="4">
        <v>0.59499999999999997</v>
      </c>
      <c r="H568" s="4">
        <v>0.51406649616368305</v>
      </c>
      <c r="I568" s="4">
        <v>0.97799999999999998</v>
      </c>
      <c r="J568" s="4">
        <v>0.93899999999999995</v>
      </c>
      <c r="K568" s="5">
        <v>100</v>
      </c>
      <c r="L568" s="5">
        <v>100</v>
      </c>
      <c r="M568" s="5">
        <v>100</v>
      </c>
      <c r="N568" s="5">
        <v>100</v>
      </c>
      <c r="O568" s="2">
        <v>0.51919387343650736</v>
      </c>
      <c r="P568" s="2">
        <v>0.66540265192628967</v>
      </c>
      <c r="Q568" s="2">
        <v>2.2245608947319737E-2</v>
      </c>
      <c r="R568" s="2">
        <v>6.2939799773874205E-2</v>
      </c>
    </row>
    <row r="569" spans="1:18" x14ac:dyDescent="0.3">
      <c r="A569" s="7">
        <v>245</v>
      </c>
      <c r="B569" s="7">
        <v>334</v>
      </c>
      <c r="C569" s="7">
        <v>0</v>
      </c>
      <c r="D569" s="7">
        <v>1</v>
      </c>
      <c r="E569" s="20" t="str">
        <f t="shared" si="8"/>
        <v>01</v>
      </c>
      <c r="F569" s="21">
        <v>0.27343000095747</v>
      </c>
      <c r="G569" s="4">
        <v>0.55300000000000005</v>
      </c>
      <c r="H569" s="4">
        <v>0.40547263681592</v>
      </c>
      <c r="I569" s="4">
        <v>0.98199999999999998</v>
      </c>
      <c r="J569" s="4">
        <v>0.94499999999999995</v>
      </c>
      <c r="K569" s="5">
        <v>100</v>
      </c>
      <c r="L569" s="5">
        <v>0</v>
      </c>
      <c r="M569" s="5">
        <v>100</v>
      </c>
      <c r="N569" s="5">
        <v>100</v>
      </c>
      <c r="O569" s="2">
        <v>0.5923972774598022</v>
      </c>
      <c r="P569" s="2">
        <v>0.90270188781225968</v>
      </c>
      <c r="Q569" s="2">
        <v>1.816397062767118E-2</v>
      </c>
      <c r="R569" s="2">
        <v>5.6570351488394351E-2</v>
      </c>
    </row>
    <row r="570" spans="1:18" x14ac:dyDescent="0.3">
      <c r="A570" s="7">
        <v>654</v>
      </c>
      <c r="B570" s="7">
        <v>312</v>
      </c>
      <c r="C570" s="7">
        <v>0</v>
      </c>
      <c r="D570" s="7">
        <v>1</v>
      </c>
      <c r="E570" s="20" t="str">
        <f t="shared" si="8"/>
        <v>01</v>
      </c>
      <c r="F570" s="21">
        <v>0.275930931612557</v>
      </c>
      <c r="G570" s="4">
        <v>0.45600000000000002</v>
      </c>
      <c r="H570" s="4">
        <v>0.35251798561151099</v>
      </c>
      <c r="I570" s="4">
        <v>0.95099999999999996</v>
      </c>
      <c r="J570" s="4">
        <v>0.92300000000000004</v>
      </c>
      <c r="K570" s="5">
        <v>0</v>
      </c>
      <c r="L570" s="5">
        <v>0</v>
      </c>
      <c r="M570" s="5">
        <v>100</v>
      </c>
      <c r="N570" s="5">
        <v>100</v>
      </c>
      <c r="O570" s="2">
        <v>0.78526246946775091</v>
      </c>
      <c r="P570" s="2">
        <v>1.0426536350200646</v>
      </c>
      <c r="Q570" s="2">
        <v>5.024121643674679E-2</v>
      </c>
      <c r="R570" s="2">
        <v>8.0126044479284855E-2</v>
      </c>
    </row>
    <row r="571" spans="1:18" x14ac:dyDescent="0.3">
      <c r="A571" s="7">
        <v>873</v>
      </c>
      <c r="B571" s="7">
        <v>317</v>
      </c>
      <c r="C571" s="7">
        <v>0</v>
      </c>
      <c r="D571" s="7">
        <v>1</v>
      </c>
      <c r="E571" s="20" t="str">
        <f t="shared" si="8"/>
        <v>01</v>
      </c>
      <c r="F571" s="21">
        <v>0.27665820562370802</v>
      </c>
      <c r="G571" s="4">
        <v>0.47499999999999998</v>
      </c>
      <c r="H571" s="4">
        <v>0.37469586374695901</v>
      </c>
      <c r="I571" s="4">
        <v>0.95599999999999996</v>
      </c>
      <c r="J571" s="4">
        <v>0.94399999999999995</v>
      </c>
      <c r="K571" s="5">
        <v>0</v>
      </c>
      <c r="L571" s="5">
        <v>0</v>
      </c>
      <c r="M571" s="5">
        <v>100</v>
      </c>
      <c r="N571" s="5">
        <v>100</v>
      </c>
      <c r="O571" s="2">
        <v>0.74444047494749588</v>
      </c>
      <c r="P571" s="2">
        <v>0.98164061208260445</v>
      </c>
      <c r="Q571" s="2">
        <v>4.4997365930735805E-2</v>
      </c>
      <c r="R571" s="2">
        <v>5.7629112836636416E-2</v>
      </c>
    </row>
    <row r="572" spans="1:18" x14ac:dyDescent="0.3">
      <c r="A572" s="7">
        <v>867</v>
      </c>
      <c r="B572" s="7">
        <v>308</v>
      </c>
      <c r="C572" s="7">
        <v>0</v>
      </c>
      <c r="D572" s="7">
        <v>1</v>
      </c>
      <c r="E572" s="20" t="str">
        <f t="shared" si="8"/>
        <v>01</v>
      </c>
      <c r="F572" s="21">
        <v>0.278340227800561</v>
      </c>
      <c r="G572" s="4">
        <v>0.45600000000000002</v>
      </c>
      <c r="H572" s="4">
        <v>0.34398034398034399</v>
      </c>
      <c r="I572" s="4">
        <v>0.96199999999999997</v>
      </c>
      <c r="J572" s="4">
        <v>0.94799999999999995</v>
      </c>
      <c r="K572" s="5">
        <v>0</v>
      </c>
      <c r="L572" s="5">
        <v>0</v>
      </c>
      <c r="M572" s="5">
        <v>100</v>
      </c>
      <c r="N572" s="5">
        <v>100</v>
      </c>
      <c r="O572" s="2">
        <v>0.78526246946775091</v>
      </c>
      <c r="P572" s="2">
        <v>1.0671707628332907</v>
      </c>
      <c r="Q572" s="2">
        <v>3.8740828316430595E-2</v>
      </c>
      <c r="R572" s="2">
        <v>5.3400776727115296E-2</v>
      </c>
    </row>
    <row r="573" spans="1:18" x14ac:dyDescent="0.3">
      <c r="A573" s="7">
        <v>375</v>
      </c>
      <c r="B573" s="7">
        <v>306</v>
      </c>
      <c r="C573" s="7">
        <v>0</v>
      </c>
      <c r="D573" s="7">
        <v>1</v>
      </c>
      <c r="E573" s="20" t="str">
        <f t="shared" si="8"/>
        <v>01</v>
      </c>
      <c r="F573" s="21">
        <v>0.280158154344129</v>
      </c>
      <c r="G573" s="4">
        <v>0.41799999999999998</v>
      </c>
      <c r="H573" s="4">
        <v>0.28186274509803899</v>
      </c>
      <c r="I573" s="4">
        <v>0.96</v>
      </c>
      <c r="J573" s="4">
        <v>0.95199999999999996</v>
      </c>
      <c r="K573" s="5">
        <v>0</v>
      </c>
      <c r="L573" s="5">
        <v>0</v>
      </c>
      <c r="M573" s="5">
        <v>100</v>
      </c>
      <c r="N573" s="5">
        <v>100</v>
      </c>
      <c r="O573" s="2">
        <v>0.87227384645738082</v>
      </c>
      <c r="P573" s="2">
        <v>1.2663350460409124</v>
      </c>
      <c r="Q573" s="2">
        <v>4.0821994520255166E-2</v>
      </c>
      <c r="R573" s="2">
        <v>4.9190244190771781E-2</v>
      </c>
    </row>
    <row r="574" spans="1:18" x14ac:dyDescent="0.3">
      <c r="A574" s="7">
        <v>950</v>
      </c>
      <c r="B574" s="7">
        <v>292</v>
      </c>
      <c r="C574" s="7">
        <v>0</v>
      </c>
      <c r="D574" s="7">
        <v>1</v>
      </c>
      <c r="E574" s="20" t="str">
        <f t="shared" si="8"/>
        <v>01</v>
      </c>
      <c r="F574" s="21">
        <v>0.28086862928579498</v>
      </c>
      <c r="G574" s="4">
        <v>0.49399999999999999</v>
      </c>
      <c r="H574" s="4">
        <v>0.31134564643799501</v>
      </c>
      <c r="I574" s="4">
        <v>0.97599999999999998</v>
      </c>
      <c r="J574" s="4">
        <v>0.93700000000000006</v>
      </c>
      <c r="K574" s="5">
        <v>0</v>
      </c>
      <c r="L574" s="5">
        <v>0</v>
      </c>
      <c r="M574" s="5">
        <v>100</v>
      </c>
      <c r="N574" s="5">
        <v>100</v>
      </c>
      <c r="O574" s="2">
        <v>0.70521976179421453</v>
      </c>
      <c r="P574" s="2">
        <v>1.1668515806167608</v>
      </c>
      <c r="Q574" s="2">
        <v>2.4292692569044587E-2</v>
      </c>
      <c r="R574" s="2">
        <v>6.5071996743714805E-2</v>
      </c>
    </row>
    <row r="575" spans="1:18" x14ac:dyDescent="0.3">
      <c r="A575" s="7">
        <v>521</v>
      </c>
      <c r="B575" s="7">
        <v>300</v>
      </c>
      <c r="C575" s="7">
        <v>0</v>
      </c>
      <c r="D575" s="7">
        <v>1</v>
      </c>
      <c r="E575" s="20" t="str">
        <f t="shared" si="8"/>
        <v>01</v>
      </c>
      <c r="F575" s="21">
        <v>0.28280860034143401</v>
      </c>
      <c r="G575" s="4">
        <v>0.59099999999999997</v>
      </c>
      <c r="H575" s="4">
        <v>0.456233421750663</v>
      </c>
      <c r="I575" s="4">
        <v>0.98099999999999998</v>
      </c>
      <c r="J575" s="4">
        <v>0.95499999999999996</v>
      </c>
      <c r="K575" s="5">
        <v>100</v>
      </c>
      <c r="L575" s="5">
        <v>0</v>
      </c>
      <c r="M575" s="5">
        <v>100</v>
      </c>
      <c r="N575" s="5">
        <v>100</v>
      </c>
      <c r="O575" s="2">
        <v>0.52593926157603887</v>
      </c>
      <c r="P575" s="2">
        <v>0.78475071063455804</v>
      </c>
      <c r="Q575" s="2">
        <v>1.9182819416773987E-2</v>
      </c>
      <c r="R575" s="2">
        <v>4.6043938501406846E-2</v>
      </c>
    </row>
    <row r="576" spans="1:18" x14ac:dyDescent="0.3">
      <c r="A576" s="7">
        <v>307</v>
      </c>
      <c r="B576" s="7">
        <v>294</v>
      </c>
      <c r="C576" s="7">
        <v>0</v>
      </c>
      <c r="D576" s="7">
        <v>1</v>
      </c>
      <c r="E576" s="20" t="str">
        <f t="shared" si="8"/>
        <v>01</v>
      </c>
      <c r="F576" s="21">
        <v>0.287068789047905</v>
      </c>
      <c r="G576" s="4">
        <v>0.67600000000000005</v>
      </c>
      <c r="H576" s="4">
        <v>0.543010752688172</v>
      </c>
      <c r="I576" s="4">
        <v>0.96899999999999997</v>
      </c>
      <c r="J576" s="4">
        <v>0.95499999999999996</v>
      </c>
      <c r="K576" s="5">
        <v>100</v>
      </c>
      <c r="L576" s="5">
        <v>100</v>
      </c>
      <c r="M576" s="5">
        <v>100</v>
      </c>
      <c r="N576" s="5">
        <v>100</v>
      </c>
      <c r="O576" s="2">
        <v>0.39156220293917288</v>
      </c>
      <c r="P576" s="2">
        <v>0.61062615687194188</v>
      </c>
      <c r="Q576" s="2">
        <v>3.1490667091370848E-2</v>
      </c>
      <c r="R576" s="2">
        <v>4.6043938501406846E-2</v>
      </c>
    </row>
    <row r="577" spans="1:18" x14ac:dyDescent="0.3">
      <c r="A577" s="7">
        <v>820</v>
      </c>
      <c r="B577" s="7">
        <v>304</v>
      </c>
      <c r="C577" s="7">
        <v>0</v>
      </c>
      <c r="D577" s="7">
        <v>1</v>
      </c>
      <c r="E577" s="20" t="str">
        <f t="shared" si="8"/>
        <v>01</v>
      </c>
      <c r="F577" s="21">
        <v>0.28893190489878701</v>
      </c>
      <c r="G577" s="4">
        <v>0.51400000000000001</v>
      </c>
      <c r="H577" s="4">
        <v>0.40909090909090901</v>
      </c>
      <c r="I577" s="4">
        <v>0.94899999999999995</v>
      </c>
      <c r="J577" s="4">
        <v>0.95899999999999996</v>
      </c>
      <c r="K577" s="5">
        <v>100</v>
      </c>
      <c r="L577" s="5">
        <v>0</v>
      </c>
      <c r="M577" s="5">
        <v>100</v>
      </c>
      <c r="N577" s="5">
        <v>100</v>
      </c>
      <c r="O577" s="2">
        <v>0.66553201352697189</v>
      </c>
      <c r="P577" s="2">
        <v>0.89381787602209672</v>
      </c>
      <c r="Q577" s="2">
        <v>5.2346480372209236E-2</v>
      </c>
      <c r="R577" s="2">
        <v>4.1864204098698871E-2</v>
      </c>
    </row>
    <row r="578" spans="1:18" x14ac:dyDescent="0.3">
      <c r="A578" s="7">
        <v>302</v>
      </c>
      <c r="B578" s="7">
        <v>306</v>
      </c>
      <c r="C578" s="7">
        <v>0</v>
      </c>
      <c r="D578" s="7">
        <v>1</v>
      </c>
      <c r="E578" s="20" t="str">
        <f t="shared" ref="E578:E641" si="9">_xlfn.CONCAT(C578,D578)</f>
        <v>01</v>
      </c>
      <c r="F578" s="21">
        <v>0.29016050107131097</v>
      </c>
      <c r="G578" s="4">
        <v>0.48</v>
      </c>
      <c r="H578" s="4">
        <v>0.41870824053452099</v>
      </c>
      <c r="I578" s="4">
        <v>0.93100000000000005</v>
      </c>
      <c r="J578" s="4">
        <v>0.94099999999999995</v>
      </c>
      <c r="K578" s="5">
        <v>0</v>
      </c>
      <c r="L578" s="5">
        <v>0</v>
      </c>
      <c r="M578" s="5">
        <v>100</v>
      </c>
      <c r="N578" s="5">
        <v>100</v>
      </c>
      <c r="O578" s="2">
        <v>0.73396917508020043</v>
      </c>
      <c r="P578" s="2">
        <v>0.87058092491230543</v>
      </c>
      <c r="Q578" s="2">
        <v>7.1496001705069923E-2</v>
      </c>
      <c r="R578" s="2">
        <v>6.0812139396757475E-2</v>
      </c>
    </row>
    <row r="579" spans="1:18" x14ac:dyDescent="0.3">
      <c r="A579" s="7">
        <v>540</v>
      </c>
      <c r="B579" s="7">
        <v>326</v>
      </c>
      <c r="C579" s="7">
        <v>0</v>
      </c>
      <c r="D579" s="7">
        <v>1</v>
      </c>
      <c r="E579" s="20" t="str">
        <f t="shared" si="9"/>
        <v>01</v>
      </c>
      <c r="F579" s="21">
        <v>0.29266506429198302</v>
      </c>
      <c r="G579" s="4">
        <v>0.50600000000000001</v>
      </c>
      <c r="H579" s="4">
        <v>0.40909090909090901</v>
      </c>
      <c r="I579" s="4">
        <v>0.96099999999999997</v>
      </c>
      <c r="J579" s="4">
        <v>0.93100000000000005</v>
      </c>
      <c r="K579" s="5">
        <v>100</v>
      </c>
      <c r="L579" s="5">
        <v>0</v>
      </c>
      <c r="M579" s="5">
        <v>100</v>
      </c>
      <c r="N579" s="5">
        <v>100</v>
      </c>
      <c r="O579" s="2">
        <v>0.68121860969467152</v>
      </c>
      <c r="P579" s="2">
        <v>0.89381787602209672</v>
      </c>
      <c r="Q579" s="2">
        <v>3.9780870011844598E-2</v>
      </c>
      <c r="R579" s="2">
        <v>7.1496001705069923E-2</v>
      </c>
    </row>
    <row r="580" spans="1:18" x14ac:dyDescent="0.3">
      <c r="A580" s="7">
        <v>114</v>
      </c>
      <c r="B580" s="7">
        <v>293</v>
      </c>
      <c r="C580" s="7">
        <v>0</v>
      </c>
      <c r="D580" s="7">
        <v>1</v>
      </c>
      <c r="E580" s="20" t="str">
        <f t="shared" si="9"/>
        <v>01</v>
      </c>
      <c r="F580" s="21">
        <v>0.30115064950896298</v>
      </c>
      <c r="G580" s="4">
        <v>0.49299999999999999</v>
      </c>
      <c r="H580" s="4">
        <v>0.42093023255813999</v>
      </c>
      <c r="I580" s="4">
        <v>0.94299999999999995</v>
      </c>
      <c r="J580" s="4">
        <v>0.93600000000000005</v>
      </c>
      <c r="K580" s="5">
        <v>0</v>
      </c>
      <c r="L580" s="5">
        <v>0</v>
      </c>
      <c r="M580" s="5">
        <v>100</v>
      </c>
      <c r="N580" s="5">
        <v>100</v>
      </c>
      <c r="O580" s="2">
        <v>0.70724610493944695</v>
      </c>
      <c r="P580" s="2">
        <v>0.86528817742178132</v>
      </c>
      <c r="Q580" s="2">
        <v>5.8688996348679613E-2</v>
      </c>
      <c r="R580" s="2">
        <v>6.6139802504544945E-2</v>
      </c>
    </row>
    <row r="581" spans="1:18" x14ac:dyDescent="0.3">
      <c r="A581" s="7">
        <v>217</v>
      </c>
      <c r="B581" s="7">
        <v>306</v>
      </c>
      <c r="C581" s="7">
        <v>0</v>
      </c>
      <c r="D581" s="7">
        <v>1</v>
      </c>
      <c r="E581" s="20" t="str">
        <f t="shared" si="9"/>
        <v>01</v>
      </c>
      <c r="F581" s="21">
        <v>0.301667309047285</v>
      </c>
      <c r="G581" s="4">
        <v>0.71499999999999997</v>
      </c>
      <c r="H581" s="4">
        <v>0.53211009174311896</v>
      </c>
      <c r="I581" s="4">
        <v>0.82199999999999995</v>
      </c>
      <c r="J581" s="4">
        <v>0.82599999999999996</v>
      </c>
      <c r="K581" s="5">
        <v>100</v>
      </c>
      <c r="L581" s="5">
        <v>100</v>
      </c>
      <c r="M581" s="5">
        <v>100</v>
      </c>
      <c r="N581" s="5">
        <v>100</v>
      </c>
      <c r="O581" s="2">
        <v>0.33547273628812946</v>
      </c>
      <c r="P581" s="2">
        <v>0.63090487168272491</v>
      </c>
      <c r="Q581" s="2">
        <v>0.1960148839259572</v>
      </c>
      <c r="R581" s="2">
        <v>0.19116050546115904</v>
      </c>
    </row>
    <row r="582" spans="1:18" x14ac:dyDescent="0.3">
      <c r="A582" s="7">
        <v>706</v>
      </c>
      <c r="B582" s="7">
        <v>310</v>
      </c>
      <c r="C582" s="7">
        <v>0</v>
      </c>
      <c r="D582" s="7">
        <v>1</v>
      </c>
      <c r="E582" s="20" t="str">
        <f t="shared" si="9"/>
        <v>01</v>
      </c>
      <c r="F582" s="21">
        <v>0.30247008461138802</v>
      </c>
      <c r="G582" s="4">
        <v>0.55300000000000005</v>
      </c>
      <c r="H582" s="4">
        <v>0.45913461538461497</v>
      </c>
      <c r="I582" s="4">
        <v>0.94699999999999995</v>
      </c>
      <c r="J582" s="4">
        <v>0.93899999999999995</v>
      </c>
      <c r="K582" s="5">
        <v>100</v>
      </c>
      <c r="L582" s="5">
        <v>0</v>
      </c>
      <c r="M582" s="5">
        <v>100</v>
      </c>
      <c r="N582" s="5">
        <v>100</v>
      </c>
      <c r="O582" s="2">
        <v>0.5923972774598022</v>
      </c>
      <c r="P582" s="2">
        <v>0.77841183221463428</v>
      </c>
      <c r="Q582" s="2">
        <v>5.4456185796058855E-2</v>
      </c>
      <c r="R582" s="2">
        <v>6.2939799773874205E-2</v>
      </c>
    </row>
    <row r="583" spans="1:18" x14ac:dyDescent="0.3">
      <c r="A583" s="7">
        <v>323</v>
      </c>
      <c r="B583" s="7">
        <v>285</v>
      </c>
      <c r="C583" s="7">
        <v>0</v>
      </c>
      <c r="D583" s="7">
        <v>1</v>
      </c>
      <c r="E583" s="20" t="str">
        <f t="shared" si="9"/>
        <v>01</v>
      </c>
      <c r="F583" s="21">
        <v>0.30517296898669699</v>
      </c>
      <c r="G583" s="4">
        <v>0.441</v>
      </c>
      <c r="H583" s="4">
        <v>0.36771300448430499</v>
      </c>
      <c r="I583" s="4">
        <v>4.1000000000000002E-2</v>
      </c>
      <c r="J583" s="4">
        <v>4.7E-2</v>
      </c>
      <c r="K583" s="5">
        <v>0</v>
      </c>
      <c r="L583" s="5">
        <v>0</v>
      </c>
      <c r="M583" s="5">
        <v>0</v>
      </c>
      <c r="N583" s="5">
        <v>0</v>
      </c>
      <c r="O583" s="2">
        <v>0.81871040353529101</v>
      </c>
      <c r="P583" s="2">
        <v>1.0004525241958655</v>
      </c>
      <c r="Q583" s="2">
        <v>3.1941832122778293</v>
      </c>
      <c r="R583" s="2">
        <v>3.0576076772720784</v>
      </c>
    </row>
    <row r="584" spans="1:18" x14ac:dyDescent="0.3">
      <c r="A584" s="7">
        <v>247</v>
      </c>
      <c r="B584" s="7">
        <v>281</v>
      </c>
      <c r="C584" s="7">
        <v>0</v>
      </c>
      <c r="D584" s="7">
        <v>1</v>
      </c>
      <c r="E584" s="20" t="str">
        <f t="shared" si="9"/>
        <v>01</v>
      </c>
      <c r="F584" s="21">
        <v>0.306987807201203</v>
      </c>
      <c r="G584" s="4">
        <v>0.53100000000000003</v>
      </c>
      <c r="H584" s="4">
        <v>0.43123543123543101</v>
      </c>
      <c r="I584" s="4">
        <v>0.93799999999999994</v>
      </c>
      <c r="J584" s="4">
        <v>0.93300000000000005</v>
      </c>
      <c r="K584" s="5">
        <v>100</v>
      </c>
      <c r="L584" s="5">
        <v>0</v>
      </c>
      <c r="M584" s="5">
        <v>100</v>
      </c>
      <c r="N584" s="5">
        <v>100</v>
      </c>
      <c r="O584" s="2">
        <v>0.63299325774019821</v>
      </c>
      <c r="P584" s="2">
        <v>0.84110109384969267</v>
      </c>
      <c r="Q584" s="2">
        <v>6.4005329975912434E-2</v>
      </c>
      <c r="R584" s="2">
        <v>6.9350078134793172E-2</v>
      </c>
    </row>
    <row r="585" spans="1:18" x14ac:dyDescent="0.3">
      <c r="A585" s="7">
        <v>642</v>
      </c>
      <c r="B585" s="7">
        <v>308</v>
      </c>
      <c r="C585" s="7">
        <v>0</v>
      </c>
      <c r="D585" s="7">
        <v>1</v>
      </c>
      <c r="E585" s="20" t="str">
        <f t="shared" si="9"/>
        <v>01</v>
      </c>
      <c r="F585" s="21">
        <v>0.31104868564604499</v>
      </c>
      <c r="G585" s="4">
        <v>0.749</v>
      </c>
      <c r="H585" s="4">
        <v>0.64305949008498597</v>
      </c>
      <c r="I585" s="4">
        <v>0.93899999999999995</v>
      </c>
      <c r="J585" s="4">
        <v>0.91700000000000004</v>
      </c>
      <c r="K585" s="5">
        <v>100</v>
      </c>
      <c r="L585" s="5">
        <v>100</v>
      </c>
      <c r="M585" s="5">
        <v>100</v>
      </c>
      <c r="N585" s="5">
        <v>100</v>
      </c>
      <c r="O585" s="2">
        <v>0.28901629546491758</v>
      </c>
      <c r="P585" s="2">
        <v>0.44151803945189388</v>
      </c>
      <c r="Q585" s="2">
        <v>6.2939799773874205E-2</v>
      </c>
      <c r="R585" s="2">
        <v>8.6647806725672169E-2</v>
      </c>
    </row>
    <row r="586" spans="1:18" x14ac:dyDescent="0.3">
      <c r="A586" s="7">
        <v>789</v>
      </c>
      <c r="B586" s="7">
        <v>280</v>
      </c>
      <c r="C586" s="7">
        <v>0</v>
      </c>
      <c r="D586" s="7">
        <v>1</v>
      </c>
      <c r="E586" s="20" t="str">
        <f t="shared" si="9"/>
        <v>01</v>
      </c>
      <c r="F586" s="21">
        <v>0.31132499368870797</v>
      </c>
      <c r="G586" s="4">
        <v>0.51500000000000001</v>
      </c>
      <c r="H586" s="4">
        <v>0.41079812206572802</v>
      </c>
      <c r="I586" s="4">
        <v>0.94899999999999995</v>
      </c>
      <c r="J586" s="4">
        <v>0.91</v>
      </c>
      <c r="K586" s="5">
        <v>100</v>
      </c>
      <c r="L586" s="5">
        <v>0</v>
      </c>
      <c r="M586" s="5">
        <v>100</v>
      </c>
      <c r="N586" s="5">
        <v>100</v>
      </c>
      <c r="O586" s="2">
        <v>0.6635883783184009</v>
      </c>
      <c r="P586" s="2">
        <v>0.88965337234585562</v>
      </c>
      <c r="Q586" s="2">
        <v>5.2346480372209236E-2</v>
      </c>
      <c r="R586" s="2">
        <v>9.431067947124129E-2</v>
      </c>
    </row>
    <row r="587" spans="1:18" x14ac:dyDescent="0.3">
      <c r="A587" s="7">
        <v>620</v>
      </c>
      <c r="B587" s="7">
        <v>274</v>
      </c>
      <c r="C587" s="7">
        <v>0</v>
      </c>
      <c r="D587" s="7">
        <v>1</v>
      </c>
      <c r="E587" s="20" t="str">
        <f t="shared" si="9"/>
        <v>01</v>
      </c>
      <c r="F587" s="21">
        <v>0.31787238936441198</v>
      </c>
      <c r="G587" s="4">
        <v>0.69499999999999995</v>
      </c>
      <c r="H587" s="4">
        <v>0.51242236024844701</v>
      </c>
      <c r="I587" s="4">
        <v>0.97199999999999998</v>
      </c>
      <c r="J587" s="4">
        <v>0.94199999999999995</v>
      </c>
      <c r="K587" s="5">
        <v>100</v>
      </c>
      <c r="L587" s="5">
        <v>100</v>
      </c>
      <c r="M587" s="5">
        <v>100</v>
      </c>
      <c r="N587" s="5">
        <v>100</v>
      </c>
      <c r="O587" s="2">
        <v>0.36384343341734499</v>
      </c>
      <c r="P587" s="2">
        <v>0.66860607164382813</v>
      </c>
      <c r="Q587" s="2">
        <v>2.8399474521698002E-2</v>
      </c>
      <c r="R587" s="2">
        <v>5.9750004405774049E-2</v>
      </c>
    </row>
    <row r="588" spans="1:18" x14ac:dyDescent="0.3">
      <c r="A588" s="7">
        <v>288</v>
      </c>
      <c r="B588" s="7">
        <v>298</v>
      </c>
      <c r="C588" s="7">
        <v>0</v>
      </c>
      <c r="D588" s="7">
        <v>1</v>
      </c>
      <c r="E588" s="20" t="str">
        <f t="shared" si="9"/>
        <v>01</v>
      </c>
      <c r="F588" s="21">
        <v>0.31994658026300998</v>
      </c>
      <c r="G588" s="4">
        <v>0.69</v>
      </c>
      <c r="H588" s="4">
        <v>0.47766323024055002</v>
      </c>
      <c r="I588" s="4">
        <v>0.96499999999999997</v>
      </c>
      <c r="J588" s="4">
        <v>0.91400000000000003</v>
      </c>
      <c r="K588" s="5">
        <v>100</v>
      </c>
      <c r="L588" s="5">
        <v>0</v>
      </c>
      <c r="M588" s="5">
        <v>100</v>
      </c>
      <c r="N588" s="5">
        <v>100</v>
      </c>
      <c r="O588" s="2">
        <v>0.37106368139083207</v>
      </c>
      <c r="P588" s="2">
        <v>0.73884933404080033</v>
      </c>
      <c r="Q588" s="2">
        <v>3.562717764315116E-2</v>
      </c>
      <c r="R588" s="2">
        <v>8.9924707527987008E-2</v>
      </c>
    </row>
    <row r="589" spans="1:18" x14ac:dyDescent="0.3">
      <c r="A589" s="7">
        <v>506</v>
      </c>
      <c r="B589" s="7">
        <v>272</v>
      </c>
      <c r="C589" s="7">
        <v>0</v>
      </c>
      <c r="D589" s="7">
        <v>1</v>
      </c>
      <c r="E589" s="20" t="str">
        <f t="shared" si="9"/>
        <v>01</v>
      </c>
      <c r="F589" s="21">
        <v>0.32160976484041498</v>
      </c>
      <c r="G589" s="4">
        <v>0.53300000000000003</v>
      </c>
      <c r="H589" s="4">
        <v>0.41421568627451</v>
      </c>
      <c r="I589" s="4">
        <v>5.1999999999999998E-2</v>
      </c>
      <c r="J589" s="4">
        <v>7.5999999999999998E-2</v>
      </c>
      <c r="K589" s="5">
        <v>100</v>
      </c>
      <c r="L589" s="5">
        <v>0</v>
      </c>
      <c r="M589" s="5">
        <v>0</v>
      </c>
      <c r="N589" s="5">
        <v>0</v>
      </c>
      <c r="O589" s="2">
        <v>0.62923385481629246</v>
      </c>
      <c r="P589" s="2">
        <v>0.88136845948108777</v>
      </c>
      <c r="Q589" s="2">
        <v>2.9565115604007097</v>
      </c>
      <c r="R589" s="2">
        <v>2.5770219386958062</v>
      </c>
    </row>
    <row r="590" spans="1:18" x14ac:dyDescent="0.3">
      <c r="A590" s="7">
        <v>849</v>
      </c>
      <c r="B590" s="7">
        <v>281</v>
      </c>
      <c r="C590" s="7">
        <v>0</v>
      </c>
      <c r="D590" s="7">
        <v>1</v>
      </c>
      <c r="E590" s="20" t="str">
        <f t="shared" si="9"/>
        <v>01</v>
      </c>
      <c r="F590" s="21">
        <v>0.33482007690944399</v>
      </c>
      <c r="G590" s="4">
        <v>0.48399999999999999</v>
      </c>
      <c r="H590" s="4">
        <v>0.40931372549019601</v>
      </c>
      <c r="I590" s="4">
        <v>0.95899999999999996</v>
      </c>
      <c r="J590" s="4">
        <v>0.96099999999999997</v>
      </c>
      <c r="K590" s="5">
        <v>0</v>
      </c>
      <c r="L590" s="5">
        <v>0</v>
      </c>
      <c r="M590" s="5">
        <v>100</v>
      </c>
      <c r="N590" s="5">
        <v>100</v>
      </c>
      <c r="O590" s="2">
        <v>0.72567037226550535</v>
      </c>
      <c r="P590" s="2">
        <v>0.8932733619874067</v>
      </c>
      <c r="Q590" s="2">
        <v>4.1864204098698871E-2</v>
      </c>
      <c r="R590" s="2">
        <v>3.9780870011844598E-2</v>
      </c>
    </row>
    <row r="591" spans="1:18" x14ac:dyDescent="0.3">
      <c r="A591" s="7">
        <v>436</v>
      </c>
      <c r="B591" s="7">
        <v>288</v>
      </c>
      <c r="C591" s="7">
        <v>0</v>
      </c>
      <c r="D591" s="7">
        <v>1</v>
      </c>
      <c r="E591" s="20" t="str">
        <f t="shared" si="9"/>
        <v>01</v>
      </c>
      <c r="F591" s="21">
        <v>0.33507315588673198</v>
      </c>
      <c r="G591" s="4">
        <v>0.52600000000000002</v>
      </c>
      <c r="H591" s="4">
        <v>0.41888619854721498</v>
      </c>
      <c r="I591" s="4">
        <v>0.8</v>
      </c>
      <c r="J591" s="4">
        <v>0.745</v>
      </c>
      <c r="K591" s="5">
        <v>100</v>
      </c>
      <c r="L591" s="5">
        <v>0</v>
      </c>
      <c r="M591" s="5">
        <v>100</v>
      </c>
      <c r="N591" s="5">
        <v>100</v>
      </c>
      <c r="O591" s="2">
        <v>0.64245406624442714</v>
      </c>
      <c r="P591" s="2">
        <v>0.87015599846325509</v>
      </c>
      <c r="Q591" s="2">
        <v>0.22314355131420971</v>
      </c>
      <c r="R591" s="2">
        <v>0.29437106060257756</v>
      </c>
    </row>
    <row r="592" spans="1:18" x14ac:dyDescent="0.3">
      <c r="A592" s="7">
        <v>949</v>
      </c>
      <c r="B592" s="7">
        <v>292</v>
      </c>
      <c r="C592" s="7">
        <v>0</v>
      </c>
      <c r="D592" s="7">
        <v>1</v>
      </c>
      <c r="E592" s="20" t="str">
        <f t="shared" si="9"/>
        <v>01</v>
      </c>
      <c r="F592" s="21">
        <v>0.33963498598233799</v>
      </c>
      <c r="G592" s="4">
        <v>0.38100000000000001</v>
      </c>
      <c r="H592" s="4">
        <v>0.30069930069930101</v>
      </c>
      <c r="I592" s="4">
        <v>0.72</v>
      </c>
      <c r="J592" s="4">
        <v>0.63500000000000001</v>
      </c>
      <c r="K592" s="5">
        <v>0</v>
      </c>
      <c r="L592" s="5">
        <v>0</v>
      </c>
      <c r="M592" s="5">
        <v>100</v>
      </c>
      <c r="N592" s="5">
        <v>100</v>
      </c>
      <c r="O592" s="2">
        <v>0.96495590385543606</v>
      </c>
      <c r="P592" s="2">
        <v>1.2016445145663439</v>
      </c>
      <c r="Q592" s="2">
        <v>0.3285040669720361</v>
      </c>
      <c r="R592" s="2">
        <v>0.45413028008944539</v>
      </c>
    </row>
    <row r="593" spans="1:18" x14ac:dyDescent="0.3">
      <c r="A593" s="7">
        <v>985</v>
      </c>
      <c r="B593" s="7">
        <v>291</v>
      </c>
      <c r="C593" s="7">
        <v>0</v>
      </c>
      <c r="D593" s="7">
        <v>1</v>
      </c>
      <c r="E593" s="20" t="str">
        <f t="shared" si="9"/>
        <v>01</v>
      </c>
      <c r="F593" s="21">
        <v>0.33965471487154197</v>
      </c>
      <c r="G593" s="4">
        <v>0.45500000000000002</v>
      </c>
      <c r="H593" s="4">
        <v>0.34382566585956398</v>
      </c>
      <c r="I593" s="4">
        <v>0.95899999999999996</v>
      </c>
      <c r="J593" s="4">
        <v>0.94599999999999995</v>
      </c>
      <c r="K593" s="5">
        <v>0</v>
      </c>
      <c r="L593" s="5">
        <v>0</v>
      </c>
      <c r="M593" s="5">
        <v>100</v>
      </c>
      <c r="N593" s="5">
        <v>100</v>
      </c>
      <c r="O593" s="2">
        <v>0.78745786003118656</v>
      </c>
      <c r="P593" s="2">
        <v>1.0676205353597725</v>
      </c>
      <c r="Q593" s="2">
        <v>4.1864204098698871E-2</v>
      </c>
      <c r="R593" s="2">
        <v>5.5512709930258829E-2</v>
      </c>
    </row>
    <row r="594" spans="1:18" x14ac:dyDescent="0.3">
      <c r="A594" s="7">
        <v>343</v>
      </c>
      <c r="B594" s="7">
        <v>267</v>
      </c>
      <c r="C594" s="7">
        <v>0</v>
      </c>
      <c r="D594" s="7">
        <v>1</v>
      </c>
      <c r="E594" s="20" t="str">
        <f t="shared" si="9"/>
        <v>01</v>
      </c>
      <c r="F594" s="21">
        <v>0.34203739001363898</v>
      </c>
      <c r="G594" s="4">
        <v>0.39900000000000002</v>
      </c>
      <c r="H594" s="4">
        <v>0.33041575492341402</v>
      </c>
      <c r="I594" s="4">
        <v>0.73599999999999999</v>
      </c>
      <c r="J594" s="4">
        <v>0.69299999999999995</v>
      </c>
      <c r="K594" s="5">
        <v>0</v>
      </c>
      <c r="L594" s="5">
        <v>0</v>
      </c>
      <c r="M594" s="5">
        <v>100</v>
      </c>
      <c r="N594" s="5">
        <v>100</v>
      </c>
      <c r="O594" s="2">
        <v>0.91879386209227354</v>
      </c>
      <c r="P594" s="2">
        <v>1.107403554079279</v>
      </c>
      <c r="Q594" s="2">
        <v>0.30652516025326082</v>
      </c>
      <c r="R594" s="2">
        <v>0.3667252797922339</v>
      </c>
    </row>
    <row r="595" spans="1:18" x14ac:dyDescent="0.3">
      <c r="A595" s="7">
        <v>812</v>
      </c>
      <c r="B595" s="7">
        <v>281</v>
      </c>
      <c r="C595" s="7">
        <v>0</v>
      </c>
      <c r="D595" s="7">
        <v>1</v>
      </c>
      <c r="E595" s="20" t="str">
        <f t="shared" si="9"/>
        <v>01</v>
      </c>
      <c r="F595" s="21">
        <v>0.34314438638016598</v>
      </c>
      <c r="G595" s="4">
        <v>0.33400000000000002</v>
      </c>
      <c r="H595" s="4">
        <v>0.29017857142857101</v>
      </c>
      <c r="I595" s="4">
        <v>7.3999999999999996E-2</v>
      </c>
      <c r="J595" s="4">
        <v>5.8999999999999997E-2</v>
      </c>
      <c r="K595" s="5">
        <v>0</v>
      </c>
      <c r="L595" s="5">
        <v>0</v>
      </c>
      <c r="M595" s="5">
        <v>0</v>
      </c>
      <c r="N595" s="5">
        <v>0</v>
      </c>
      <c r="O595" s="2">
        <v>1.0966142860054366</v>
      </c>
      <c r="P595" s="2">
        <v>1.2372587819594041</v>
      </c>
      <c r="Q595" s="2">
        <v>2.6036901857779675</v>
      </c>
      <c r="R595" s="2">
        <v>2.8302178350764176</v>
      </c>
    </row>
    <row r="596" spans="1:18" x14ac:dyDescent="0.3">
      <c r="A596" s="7">
        <v>616</v>
      </c>
      <c r="B596" s="7">
        <v>250</v>
      </c>
      <c r="C596" s="7">
        <v>0</v>
      </c>
      <c r="D596" s="7">
        <v>1</v>
      </c>
      <c r="E596" s="20" t="str">
        <f t="shared" si="9"/>
        <v>01</v>
      </c>
      <c r="F596" s="21">
        <v>0.34775691590442998</v>
      </c>
      <c r="G596" s="4">
        <v>0.42499999999999999</v>
      </c>
      <c r="H596" s="4">
        <v>0.35214446952595901</v>
      </c>
      <c r="I596" s="4">
        <v>0.94499999999999995</v>
      </c>
      <c r="J596" s="4">
        <v>0.94299999999999995</v>
      </c>
      <c r="K596" s="5">
        <v>0</v>
      </c>
      <c r="L596" s="5">
        <v>0</v>
      </c>
      <c r="M596" s="5">
        <v>100</v>
      </c>
      <c r="N596" s="5">
        <v>100</v>
      </c>
      <c r="O596" s="2">
        <v>0.8556661100577202</v>
      </c>
      <c r="P596" s="2">
        <v>1.0437137627955997</v>
      </c>
      <c r="Q596" s="2">
        <v>5.6570351488394351E-2</v>
      </c>
      <c r="R596" s="2">
        <v>5.8688996348679613E-2</v>
      </c>
    </row>
    <row r="597" spans="1:18" x14ac:dyDescent="0.3">
      <c r="A597" s="7">
        <v>85</v>
      </c>
      <c r="B597" s="7">
        <v>282</v>
      </c>
      <c r="C597" s="7">
        <v>0</v>
      </c>
      <c r="D597" s="7">
        <v>1</v>
      </c>
      <c r="E597" s="20" t="str">
        <f t="shared" si="9"/>
        <v>01</v>
      </c>
      <c r="F597" s="21">
        <v>0.34845594827614601</v>
      </c>
      <c r="G597" s="4">
        <v>0.499</v>
      </c>
      <c r="H597" s="4">
        <v>0.42263279445727497</v>
      </c>
      <c r="I597" s="4">
        <v>0.94</v>
      </c>
      <c r="J597" s="4">
        <v>0.94399999999999995</v>
      </c>
      <c r="K597" s="5">
        <v>0</v>
      </c>
      <c r="L597" s="5">
        <v>0</v>
      </c>
      <c r="M597" s="5">
        <v>100</v>
      </c>
      <c r="N597" s="5">
        <v>100</v>
      </c>
      <c r="O597" s="2">
        <v>0.69514918323061836</v>
      </c>
      <c r="P597" s="2">
        <v>0.86125157516106854</v>
      </c>
      <c r="Q597" s="2">
        <v>6.1875403718087529E-2</v>
      </c>
      <c r="R597" s="2">
        <v>5.7629112836636416E-2</v>
      </c>
    </row>
    <row r="598" spans="1:18" x14ac:dyDescent="0.3">
      <c r="A598" s="7">
        <v>176</v>
      </c>
      <c r="B598" s="7">
        <v>273</v>
      </c>
      <c r="C598" s="7">
        <v>0</v>
      </c>
      <c r="D598" s="7">
        <v>1</v>
      </c>
      <c r="E598" s="20" t="str">
        <f t="shared" si="9"/>
        <v>01</v>
      </c>
      <c r="F598" s="21">
        <v>0.34984117956231398</v>
      </c>
      <c r="G598" s="4">
        <v>0.71599999999999997</v>
      </c>
      <c r="H598" s="4">
        <v>0.53395061728395099</v>
      </c>
      <c r="I598" s="4">
        <v>0.98099999999999998</v>
      </c>
      <c r="J598" s="4">
        <v>0.93600000000000005</v>
      </c>
      <c r="K598" s="5">
        <v>100</v>
      </c>
      <c r="L598" s="5">
        <v>100</v>
      </c>
      <c r="M598" s="5">
        <v>100</v>
      </c>
      <c r="N598" s="5">
        <v>100</v>
      </c>
      <c r="O598" s="2">
        <v>0.33407511202149148</v>
      </c>
      <c r="P598" s="2">
        <v>0.62745192129454974</v>
      </c>
      <c r="Q598" s="2">
        <v>1.9182819416773987E-2</v>
      </c>
      <c r="R598" s="2">
        <v>6.6139802504544945E-2</v>
      </c>
    </row>
    <row r="599" spans="1:18" x14ac:dyDescent="0.3">
      <c r="A599" s="7">
        <v>700</v>
      </c>
      <c r="B599" s="7">
        <v>261</v>
      </c>
      <c r="C599" s="7">
        <v>0</v>
      </c>
      <c r="D599" s="7">
        <v>1</v>
      </c>
      <c r="E599" s="20" t="str">
        <f t="shared" si="9"/>
        <v>01</v>
      </c>
      <c r="F599" s="21">
        <v>0.35248569901137</v>
      </c>
      <c r="G599" s="4">
        <v>0.60799999999999998</v>
      </c>
      <c r="H599" s="4">
        <v>0.52030456852791895</v>
      </c>
      <c r="I599" s="4">
        <v>0.95799999999999996</v>
      </c>
      <c r="J599" s="4">
        <v>0.95299999999999996</v>
      </c>
      <c r="K599" s="5">
        <v>100</v>
      </c>
      <c r="L599" s="5">
        <v>100</v>
      </c>
      <c r="M599" s="5">
        <v>100</v>
      </c>
      <c r="N599" s="5">
        <v>100</v>
      </c>
      <c r="O599" s="2">
        <v>0.49758039701597007</v>
      </c>
      <c r="P599" s="2">
        <v>0.65334093015952532</v>
      </c>
      <c r="Q599" s="2">
        <v>4.290750101127655E-2</v>
      </c>
      <c r="R599" s="2">
        <v>4.8140375327934984E-2</v>
      </c>
    </row>
    <row r="600" spans="1:18" x14ac:dyDescent="0.3">
      <c r="A600" s="7">
        <v>537</v>
      </c>
      <c r="B600" s="7">
        <v>267</v>
      </c>
      <c r="C600" s="7">
        <v>0</v>
      </c>
      <c r="D600" s="7">
        <v>1</v>
      </c>
      <c r="E600" s="20" t="str">
        <f t="shared" si="9"/>
        <v>01</v>
      </c>
      <c r="F600" s="21">
        <v>0.352821790496193</v>
      </c>
      <c r="G600" s="4">
        <v>0.50600000000000001</v>
      </c>
      <c r="H600" s="4">
        <v>0.34491978609625701</v>
      </c>
      <c r="I600" s="4">
        <v>0.63600000000000001</v>
      </c>
      <c r="J600" s="4">
        <v>0.60099999999999998</v>
      </c>
      <c r="K600" s="5">
        <v>100</v>
      </c>
      <c r="L600" s="5">
        <v>0</v>
      </c>
      <c r="M600" s="5">
        <v>100</v>
      </c>
      <c r="N600" s="5">
        <v>100</v>
      </c>
      <c r="O600" s="2">
        <v>0.68121860969467152</v>
      </c>
      <c r="P600" s="2">
        <v>1.064443393052859</v>
      </c>
      <c r="Q600" s="2">
        <v>0.45255671564201488</v>
      </c>
      <c r="R600" s="2">
        <v>0.50916034444692948</v>
      </c>
    </row>
    <row r="601" spans="1:18" x14ac:dyDescent="0.3">
      <c r="A601" s="7">
        <v>335</v>
      </c>
      <c r="B601" s="7">
        <v>272</v>
      </c>
      <c r="C601" s="7">
        <v>0</v>
      </c>
      <c r="D601" s="7">
        <v>1</v>
      </c>
      <c r="E601" s="20" t="str">
        <f t="shared" si="9"/>
        <v>01</v>
      </c>
      <c r="F601" s="21">
        <v>0.35845215198500602</v>
      </c>
      <c r="G601" s="4">
        <v>0.49199999999999999</v>
      </c>
      <c r="H601" s="4">
        <v>0.43793911007025799</v>
      </c>
      <c r="I601" s="4">
        <v>0.94199999999999995</v>
      </c>
      <c r="J601" s="4">
        <v>0.94699999999999995</v>
      </c>
      <c r="K601" s="5">
        <v>0</v>
      </c>
      <c r="L601" s="5">
        <v>0</v>
      </c>
      <c r="M601" s="5">
        <v>100</v>
      </c>
      <c r="N601" s="5">
        <v>100</v>
      </c>
      <c r="O601" s="2">
        <v>0.70927656248982895</v>
      </c>
      <c r="P601" s="2">
        <v>0.82567539637403708</v>
      </c>
      <c r="Q601" s="2">
        <v>5.9750004405774049E-2</v>
      </c>
      <c r="R601" s="2">
        <v>5.4456185796058855E-2</v>
      </c>
    </row>
    <row r="602" spans="1:18" x14ac:dyDescent="0.3">
      <c r="A602" s="7">
        <v>290</v>
      </c>
      <c r="B602" s="7">
        <v>298</v>
      </c>
      <c r="C602" s="7">
        <v>0</v>
      </c>
      <c r="D602" s="7">
        <v>1</v>
      </c>
      <c r="E602" s="20" t="str">
        <f t="shared" si="9"/>
        <v>01</v>
      </c>
      <c r="F602" s="21">
        <v>0.36013796745585003</v>
      </c>
      <c r="G602" s="4">
        <v>0.53500000000000003</v>
      </c>
      <c r="H602" s="4">
        <v>0.42488262910798102</v>
      </c>
      <c r="I602" s="4">
        <v>0.93</v>
      </c>
      <c r="J602" s="4">
        <v>0.92300000000000004</v>
      </c>
      <c r="K602" s="5">
        <v>100</v>
      </c>
      <c r="L602" s="5">
        <v>0</v>
      </c>
      <c r="M602" s="5">
        <v>100</v>
      </c>
      <c r="N602" s="5">
        <v>100</v>
      </c>
      <c r="O602" s="2">
        <v>0.62548853208613042</v>
      </c>
      <c r="P602" s="2">
        <v>0.85594231500354512</v>
      </c>
      <c r="Q602" s="2">
        <v>7.2570692834835374E-2</v>
      </c>
      <c r="R602" s="2">
        <v>8.0126044479284855E-2</v>
      </c>
    </row>
    <row r="603" spans="1:18" x14ac:dyDescent="0.3">
      <c r="A603" s="7">
        <v>901</v>
      </c>
      <c r="B603" s="7">
        <v>270</v>
      </c>
      <c r="C603" s="7">
        <v>0</v>
      </c>
      <c r="D603" s="7">
        <v>1</v>
      </c>
      <c r="E603" s="20" t="str">
        <f t="shared" si="9"/>
        <v>01</v>
      </c>
      <c r="F603" s="21">
        <v>0.36315591997220098</v>
      </c>
      <c r="G603" s="4">
        <v>0.68899999999999995</v>
      </c>
      <c r="H603" s="4">
        <v>0.55232558139534904</v>
      </c>
      <c r="I603" s="4">
        <v>0.98299999999999998</v>
      </c>
      <c r="J603" s="4">
        <v>0.95199999999999996</v>
      </c>
      <c r="K603" s="5">
        <v>100</v>
      </c>
      <c r="L603" s="5">
        <v>100</v>
      </c>
      <c r="M603" s="5">
        <v>100</v>
      </c>
      <c r="N603" s="5">
        <v>100</v>
      </c>
      <c r="O603" s="2">
        <v>0.37251400796847856</v>
      </c>
      <c r="P603" s="2">
        <v>0.59361758521291186</v>
      </c>
      <c r="Q603" s="2">
        <v>1.7146158834970514E-2</v>
      </c>
      <c r="R603" s="2">
        <v>4.9190244190771781E-2</v>
      </c>
    </row>
    <row r="604" spans="1:18" x14ac:dyDescent="0.3">
      <c r="A604" s="7">
        <v>736</v>
      </c>
      <c r="B604" s="7">
        <v>249</v>
      </c>
      <c r="C604" s="7">
        <v>0</v>
      </c>
      <c r="D604" s="7">
        <v>1</v>
      </c>
      <c r="E604" s="20" t="str">
        <f t="shared" si="9"/>
        <v>01</v>
      </c>
      <c r="F604" s="21">
        <v>0.36589244637756502</v>
      </c>
      <c r="G604" s="4">
        <v>0.59199999999999997</v>
      </c>
      <c r="H604" s="4">
        <v>0.41176470588235298</v>
      </c>
      <c r="I604" s="4">
        <v>0.96699999999999997</v>
      </c>
      <c r="J604" s="4">
        <v>0.91800000000000004</v>
      </c>
      <c r="K604" s="5">
        <v>100</v>
      </c>
      <c r="L604" s="5">
        <v>0</v>
      </c>
      <c r="M604" s="5">
        <v>100</v>
      </c>
      <c r="N604" s="5">
        <v>100</v>
      </c>
      <c r="O604" s="2">
        <v>0.52424864409813143</v>
      </c>
      <c r="P604" s="2">
        <v>0.88730319500090271</v>
      </c>
      <c r="Q604" s="2">
        <v>3.3556783528842754E-2</v>
      </c>
      <c r="R604" s="2">
        <v>8.5557888361646545E-2</v>
      </c>
    </row>
    <row r="605" spans="1:18" x14ac:dyDescent="0.3">
      <c r="A605" s="7">
        <v>53</v>
      </c>
      <c r="B605" s="7">
        <v>258</v>
      </c>
      <c r="C605" s="7">
        <v>0</v>
      </c>
      <c r="D605" s="7">
        <v>1</v>
      </c>
      <c r="E605" s="20" t="str">
        <f t="shared" si="9"/>
        <v>01</v>
      </c>
      <c r="F605" s="21">
        <v>0.370129890815243</v>
      </c>
      <c r="G605" s="4">
        <v>0.47699999999999998</v>
      </c>
      <c r="H605" s="4">
        <v>0.40095465393794699</v>
      </c>
      <c r="I605" s="4">
        <v>0.9</v>
      </c>
      <c r="J605" s="4">
        <v>0.82499999999999996</v>
      </c>
      <c r="K605" s="5">
        <v>0</v>
      </c>
      <c r="L605" s="5">
        <v>0</v>
      </c>
      <c r="M605" s="5">
        <v>100</v>
      </c>
      <c r="N605" s="5">
        <v>100</v>
      </c>
      <c r="O605" s="2">
        <v>0.74023878809379584</v>
      </c>
      <c r="P605" s="2">
        <v>0.91390694051888011</v>
      </c>
      <c r="Q605" s="2">
        <v>0.10536051565782628</v>
      </c>
      <c r="R605" s="2">
        <v>0.19237189264745613</v>
      </c>
    </row>
    <row r="606" spans="1:18" x14ac:dyDescent="0.3">
      <c r="A606" s="7">
        <v>528</v>
      </c>
      <c r="B606" s="7">
        <v>259</v>
      </c>
      <c r="C606" s="7">
        <v>0</v>
      </c>
      <c r="D606" s="7">
        <v>1</v>
      </c>
      <c r="E606" s="20" t="str">
        <f t="shared" si="9"/>
        <v>01</v>
      </c>
      <c r="F606" s="21">
        <v>0.37056983843497099</v>
      </c>
      <c r="G606" s="4">
        <v>0.56299999999999994</v>
      </c>
      <c r="H606" s="4">
        <v>0.43686868686868702</v>
      </c>
      <c r="I606" s="4">
        <v>0.96599999999999997</v>
      </c>
      <c r="J606" s="4">
        <v>0.88500000000000001</v>
      </c>
      <c r="K606" s="5">
        <v>100</v>
      </c>
      <c r="L606" s="5">
        <v>0</v>
      </c>
      <c r="M606" s="5">
        <v>100</v>
      </c>
      <c r="N606" s="5">
        <v>100</v>
      </c>
      <c r="O606" s="2">
        <v>0.57447565084244678</v>
      </c>
      <c r="P606" s="2">
        <v>0.82812261675670129</v>
      </c>
      <c r="Q606" s="2">
        <v>3.459144476961909E-2</v>
      </c>
      <c r="R606" s="2">
        <v>0.12216763397420753</v>
      </c>
    </row>
    <row r="607" spans="1:18" x14ac:dyDescent="0.3">
      <c r="A607" s="7">
        <v>656</v>
      </c>
      <c r="B607" s="7">
        <v>285</v>
      </c>
      <c r="C607" s="7">
        <v>0</v>
      </c>
      <c r="D607" s="7">
        <v>1</v>
      </c>
      <c r="E607" s="20" t="str">
        <f t="shared" si="9"/>
        <v>01</v>
      </c>
      <c r="F607" s="21">
        <v>0.37060118148253401</v>
      </c>
      <c r="G607" s="4">
        <v>0.48199999999999998</v>
      </c>
      <c r="H607" s="4">
        <v>0.37762237762237799</v>
      </c>
      <c r="I607" s="4">
        <v>0.94399999999999995</v>
      </c>
      <c r="J607" s="4">
        <v>0.92200000000000004</v>
      </c>
      <c r="K607" s="5">
        <v>0</v>
      </c>
      <c r="L607" s="5">
        <v>0</v>
      </c>
      <c r="M607" s="5">
        <v>100</v>
      </c>
      <c r="N607" s="5">
        <v>100</v>
      </c>
      <c r="O607" s="2">
        <v>0.72981116493153675</v>
      </c>
      <c r="P607" s="2">
        <v>0.97386058369563189</v>
      </c>
      <c r="Q607" s="2">
        <v>5.7629112836636416E-2</v>
      </c>
      <c r="R607" s="2">
        <v>8.1210055425543173E-2</v>
      </c>
    </row>
    <row r="608" spans="1:18" x14ac:dyDescent="0.3">
      <c r="A608" s="7">
        <v>177</v>
      </c>
      <c r="B608" s="7">
        <v>283</v>
      </c>
      <c r="C608" s="7">
        <v>0</v>
      </c>
      <c r="D608" s="7">
        <v>1</v>
      </c>
      <c r="E608" s="20" t="str">
        <f t="shared" si="9"/>
        <v>01</v>
      </c>
      <c r="F608" s="21">
        <v>0.37403052242051699</v>
      </c>
      <c r="G608" s="4">
        <v>0.45700000000000002</v>
      </c>
      <c r="H608" s="4">
        <v>0.32360097323601</v>
      </c>
      <c r="I608" s="4">
        <v>0.27900000000000003</v>
      </c>
      <c r="J608" s="4">
        <v>0.23200000000000001</v>
      </c>
      <c r="K608" s="5">
        <v>0</v>
      </c>
      <c r="L608" s="5">
        <v>0</v>
      </c>
      <c r="M608" s="5">
        <v>0</v>
      </c>
      <c r="N608" s="5">
        <v>0</v>
      </c>
      <c r="O608" s="2">
        <v>0.78307188808793227</v>
      </c>
      <c r="P608" s="2">
        <v>1.12824408627448</v>
      </c>
      <c r="Q608" s="2">
        <v>1.2765434971607714</v>
      </c>
      <c r="R608" s="2">
        <v>1.4610179073158271</v>
      </c>
    </row>
    <row r="609" spans="1:18" x14ac:dyDescent="0.3">
      <c r="A609" s="7">
        <v>610</v>
      </c>
      <c r="B609" s="7">
        <v>283</v>
      </c>
      <c r="C609" s="7">
        <v>0</v>
      </c>
      <c r="D609" s="7">
        <v>1</v>
      </c>
      <c r="E609" s="20" t="str">
        <f t="shared" si="9"/>
        <v>01</v>
      </c>
      <c r="F609" s="21">
        <v>0.376149153841427</v>
      </c>
      <c r="G609" s="4">
        <v>0.56999999999999995</v>
      </c>
      <c r="H609" s="4">
        <v>0.43455497382198999</v>
      </c>
      <c r="I609" s="4">
        <v>0.92500000000000004</v>
      </c>
      <c r="J609" s="4">
        <v>0.91700000000000004</v>
      </c>
      <c r="K609" s="5">
        <v>100</v>
      </c>
      <c r="L609" s="5">
        <v>0</v>
      </c>
      <c r="M609" s="5">
        <v>100</v>
      </c>
      <c r="N609" s="5">
        <v>100</v>
      </c>
      <c r="O609" s="2">
        <v>0.56211891815354131</v>
      </c>
      <c r="P609" s="2">
        <v>0.83343282025003085</v>
      </c>
      <c r="Q609" s="2">
        <v>7.7961541469711806E-2</v>
      </c>
      <c r="R609" s="2">
        <v>8.6647806725672169E-2</v>
      </c>
    </row>
    <row r="610" spans="1:18" x14ac:dyDescent="0.3">
      <c r="A610" s="7">
        <v>839</v>
      </c>
      <c r="B610" s="7">
        <v>261</v>
      </c>
      <c r="C610" s="7">
        <v>0</v>
      </c>
      <c r="D610" s="7">
        <v>1</v>
      </c>
      <c r="E610" s="20" t="str">
        <f t="shared" si="9"/>
        <v>01</v>
      </c>
      <c r="F610" s="21">
        <v>0.37667807448617602</v>
      </c>
      <c r="G610" s="4">
        <v>0.61699999999999999</v>
      </c>
      <c r="H610" s="4">
        <v>0.51322751322751303</v>
      </c>
      <c r="I610" s="4">
        <v>0.98</v>
      </c>
      <c r="J610" s="4">
        <v>0.92900000000000005</v>
      </c>
      <c r="K610" s="5">
        <v>100</v>
      </c>
      <c r="L610" s="5">
        <v>100</v>
      </c>
      <c r="M610" s="5">
        <v>100</v>
      </c>
      <c r="N610" s="5">
        <v>100</v>
      </c>
      <c r="O610" s="2">
        <v>0.48288625507674926</v>
      </c>
      <c r="P610" s="2">
        <v>0.66703603655625998</v>
      </c>
      <c r="Q610" s="2">
        <v>2.0202707317519466E-2</v>
      </c>
      <c r="R610" s="2">
        <v>7.3646540168298483E-2</v>
      </c>
    </row>
    <row r="611" spans="1:18" x14ac:dyDescent="0.3">
      <c r="A611" s="7">
        <v>703</v>
      </c>
      <c r="B611" s="7">
        <v>281</v>
      </c>
      <c r="C611" s="7">
        <v>0</v>
      </c>
      <c r="D611" s="7">
        <v>1</v>
      </c>
      <c r="E611" s="20" t="str">
        <f t="shared" si="9"/>
        <v>01</v>
      </c>
      <c r="F611" s="21">
        <v>0.37786303076884897</v>
      </c>
      <c r="G611" s="4">
        <v>0.60899999999999999</v>
      </c>
      <c r="H611" s="4">
        <v>0.52141057934508805</v>
      </c>
      <c r="I611" s="4">
        <v>0.89200000000000002</v>
      </c>
      <c r="J611" s="4">
        <v>0.88500000000000001</v>
      </c>
      <c r="K611" s="5">
        <v>100</v>
      </c>
      <c r="L611" s="5">
        <v>100</v>
      </c>
      <c r="M611" s="5">
        <v>100</v>
      </c>
      <c r="N611" s="5">
        <v>100</v>
      </c>
      <c r="O611" s="2">
        <v>0.49593701127224005</v>
      </c>
      <c r="P611" s="2">
        <v>0.65121748742182151</v>
      </c>
      <c r="Q611" s="2">
        <v>0.11428914640212766</v>
      </c>
      <c r="R611" s="2">
        <v>0.12216763397420753</v>
      </c>
    </row>
    <row r="612" spans="1:18" x14ac:dyDescent="0.3">
      <c r="A612" s="7">
        <v>338</v>
      </c>
      <c r="B612" s="7">
        <v>293</v>
      </c>
      <c r="C612" s="7">
        <v>0</v>
      </c>
      <c r="D612" s="7">
        <v>1</v>
      </c>
      <c r="E612" s="20" t="str">
        <f t="shared" si="9"/>
        <v>01</v>
      </c>
      <c r="F612" s="21">
        <v>0.38092863269833799</v>
      </c>
      <c r="G612" s="4">
        <v>0.44</v>
      </c>
      <c r="H612" s="4">
        <v>0.32857142857142901</v>
      </c>
      <c r="I612" s="4">
        <v>0.83699999999999997</v>
      </c>
      <c r="J612" s="4">
        <v>0.878</v>
      </c>
      <c r="K612" s="5">
        <v>0</v>
      </c>
      <c r="L612" s="5">
        <v>0</v>
      </c>
      <c r="M612" s="5">
        <v>100</v>
      </c>
      <c r="N612" s="5">
        <v>100</v>
      </c>
      <c r="O612" s="2">
        <v>0.82098055206983023</v>
      </c>
      <c r="P612" s="2">
        <v>1.1130010261202079</v>
      </c>
      <c r="Q612" s="2">
        <v>0.17793120849266178</v>
      </c>
      <c r="R612" s="2">
        <v>0.13010868534702039</v>
      </c>
    </row>
    <row r="613" spans="1:18" x14ac:dyDescent="0.3">
      <c r="A613" s="7">
        <v>924</v>
      </c>
      <c r="B613" s="7">
        <v>229</v>
      </c>
      <c r="C613" s="7">
        <v>0</v>
      </c>
      <c r="D613" s="7">
        <v>1</v>
      </c>
      <c r="E613" s="20" t="str">
        <f t="shared" si="9"/>
        <v>01</v>
      </c>
      <c r="F613" s="21">
        <v>0.38572811489447301</v>
      </c>
      <c r="G613" s="4">
        <v>0.56899999999999995</v>
      </c>
      <c r="H613" s="4">
        <v>0.43405275779376501</v>
      </c>
      <c r="I613" s="4">
        <v>0.92800000000000005</v>
      </c>
      <c r="J613" s="4">
        <v>0.92600000000000005</v>
      </c>
      <c r="K613" s="5">
        <v>100</v>
      </c>
      <c r="L613" s="5">
        <v>0</v>
      </c>
      <c r="M613" s="5">
        <v>100</v>
      </c>
      <c r="N613" s="5">
        <v>100</v>
      </c>
      <c r="O613" s="2">
        <v>0.56387484485580619</v>
      </c>
      <c r="P613" s="2">
        <v>0.83458919053297564</v>
      </c>
      <c r="Q613" s="2">
        <v>7.4723546195936422E-2</v>
      </c>
      <c r="R613" s="2">
        <v>7.6881044335957618E-2</v>
      </c>
    </row>
    <row r="614" spans="1:18" x14ac:dyDescent="0.3">
      <c r="A614" s="7">
        <v>490</v>
      </c>
      <c r="B614" s="7">
        <v>244</v>
      </c>
      <c r="C614" s="7">
        <v>0</v>
      </c>
      <c r="D614" s="7">
        <v>1</v>
      </c>
      <c r="E614" s="20" t="str">
        <f t="shared" si="9"/>
        <v>01</v>
      </c>
      <c r="F614" s="21">
        <v>0.38585747023783101</v>
      </c>
      <c r="G614" s="4">
        <v>0.51800000000000002</v>
      </c>
      <c r="H614" s="4">
        <v>0.399002493765586</v>
      </c>
      <c r="I614" s="4">
        <v>0.98199999999999998</v>
      </c>
      <c r="J614" s="4">
        <v>0.94099999999999995</v>
      </c>
      <c r="K614" s="5">
        <v>100</v>
      </c>
      <c r="L614" s="5">
        <v>0</v>
      </c>
      <c r="M614" s="5">
        <v>100</v>
      </c>
      <c r="N614" s="5">
        <v>100</v>
      </c>
      <c r="O614" s="2">
        <v>0.65778003672265395</v>
      </c>
      <c r="P614" s="2">
        <v>0.9187876120727424</v>
      </c>
      <c r="Q614" s="2">
        <v>1.816397062767118E-2</v>
      </c>
      <c r="R614" s="2">
        <v>6.0812139396757475E-2</v>
      </c>
    </row>
    <row r="615" spans="1:18" x14ac:dyDescent="0.3">
      <c r="A615" s="7">
        <v>915</v>
      </c>
      <c r="B615" s="7">
        <v>257</v>
      </c>
      <c r="C615" s="7">
        <v>0</v>
      </c>
      <c r="D615" s="7">
        <v>1</v>
      </c>
      <c r="E615" s="20" t="str">
        <f t="shared" si="9"/>
        <v>01</v>
      </c>
      <c r="F615" s="21">
        <v>0.39246643264825098</v>
      </c>
      <c r="G615" s="4">
        <v>0.43099999999999999</v>
      </c>
      <c r="H615" s="4">
        <v>0.35955056179775302</v>
      </c>
      <c r="I615" s="4">
        <v>0.91200000000000003</v>
      </c>
      <c r="J615" s="4">
        <v>0.90300000000000002</v>
      </c>
      <c r="K615" s="5">
        <v>0</v>
      </c>
      <c r="L615" s="5">
        <v>0</v>
      </c>
      <c r="M615" s="5">
        <v>100</v>
      </c>
      <c r="N615" s="5">
        <v>100</v>
      </c>
      <c r="O615" s="2">
        <v>0.8416471888783893</v>
      </c>
      <c r="P615" s="2">
        <v>1.0229004669324127</v>
      </c>
      <c r="Q615" s="2">
        <v>9.2115288907805626E-2</v>
      </c>
      <c r="R615" s="2">
        <v>0.10203272556515161</v>
      </c>
    </row>
    <row r="616" spans="1:18" x14ac:dyDescent="0.3">
      <c r="A616" s="7">
        <v>108</v>
      </c>
      <c r="B616" s="7">
        <v>226</v>
      </c>
      <c r="C616" s="7">
        <v>0</v>
      </c>
      <c r="D616" s="7">
        <v>1</v>
      </c>
      <c r="E616" s="20" t="str">
        <f t="shared" si="9"/>
        <v>01</v>
      </c>
      <c r="F616" s="21">
        <v>0.39630569614943001</v>
      </c>
      <c r="G616" s="4">
        <v>0.57299999999999995</v>
      </c>
      <c r="H616" s="4">
        <v>0.47222222222222199</v>
      </c>
      <c r="I616" s="4">
        <v>0.94399999999999995</v>
      </c>
      <c r="J616" s="4">
        <v>0.92400000000000004</v>
      </c>
      <c r="K616" s="5">
        <v>100</v>
      </c>
      <c r="L616" s="5">
        <v>0</v>
      </c>
      <c r="M616" s="5">
        <v>100</v>
      </c>
      <c r="N616" s="5">
        <v>100</v>
      </c>
      <c r="O616" s="2">
        <v>0.55686956226739759</v>
      </c>
      <c r="P616" s="2">
        <v>0.75030559439989442</v>
      </c>
      <c r="Q616" s="2">
        <v>5.7629112836636416E-2</v>
      </c>
      <c r="R616" s="2">
        <v>7.9043207340452851E-2</v>
      </c>
    </row>
    <row r="617" spans="1:18" x14ac:dyDescent="0.3">
      <c r="A617" s="7">
        <v>710</v>
      </c>
      <c r="B617" s="7">
        <v>264</v>
      </c>
      <c r="C617" s="7">
        <v>0</v>
      </c>
      <c r="D617" s="7">
        <v>1</v>
      </c>
      <c r="E617" s="20" t="str">
        <f t="shared" si="9"/>
        <v>01</v>
      </c>
      <c r="F617" s="21">
        <v>0.39637750703269797</v>
      </c>
      <c r="G617" s="4">
        <v>0.47699999999999998</v>
      </c>
      <c r="H617" s="4">
        <v>0.38173302107728302</v>
      </c>
      <c r="I617" s="4">
        <v>0.94599999999999995</v>
      </c>
      <c r="J617" s="4">
        <v>0.94799999999999995</v>
      </c>
      <c r="K617" s="5">
        <v>0</v>
      </c>
      <c r="L617" s="5">
        <v>0</v>
      </c>
      <c r="M617" s="5">
        <v>100</v>
      </c>
      <c r="N617" s="5">
        <v>100</v>
      </c>
      <c r="O617" s="2">
        <v>0.74023878809379584</v>
      </c>
      <c r="P617" s="2">
        <v>0.96303381242186314</v>
      </c>
      <c r="Q617" s="2">
        <v>5.5512709930258829E-2</v>
      </c>
      <c r="R617" s="2">
        <v>5.3400776727115296E-2</v>
      </c>
    </row>
    <row r="618" spans="1:18" x14ac:dyDescent="0.3">
      <c r="A618" s="7">
        <v>910</v>
      </c>
      <c r="B618" s="7">
        <v>241</v>
      </c>
      <c r="C618" s="7">
        <v>0</v>
      </c>
      <c r="D618" s="7">
        <v>1</v>
      </c>
      <c r="E618" s="20" t="str">
        <f t="shared" si="9"/>
        <v>01</v>
      </c>
      <c r="F618" s="21">
        <v>0.400443907509062</v>
      </c>
      <c r="G618" s="4">
        <v>0.40799999999999997</v>
      </c>
      <c r="H618" s="4">
        <v>0.28813559322033899</v>
      </c>
      <c r="I618" s="4">
        <v>0.94599999999999995</v>
      </c>
      <c r="J618" s="4">
        <v>0.94399999999999995</v>
      </c>
      <c r="K618" s="5">
        <v>0</v>
      </c>
      <c r="L618" s="5">
        <v>0</v>
      </c>
      <c r="M618" s="5">
        <v>100</v>
      </c>
      <c r="N618" s="5">
        <v>100</v>
      </c>
      <c r="O618" s="2">
        <v>0.89648810457797545</v>
      </c>
      <c r="P618" s="2">
        <v>1.2443240998495033</v>
      </c>
      <c r="Q618" s="2">
        <v>5.5512709930258829E-2</v>
      </c>
      <c r="R618" s="2">
        <v>5.7629112836636416E-2</v>
      </c>
    </row>
    <row r="619" spans="1:18" x14ac:dyDescent="0.3">
      <c r="A619" s="7">
        <v>239</v>
      </c>
      <c r="B619" s="7">
        <v>227</v>
      </c>
      <c r="C619" s="7">
        <v>0</v>
      </c>
      <c r="D619" s="7">
        <v>1</v>
      </c>
      <c r="E619" s="20" t="str">
        <f t="shared" si="9"/>
        <v>01</v>
      </c>
      <c r="F619" s="21">
        <v>0.40175941046703201</v>
      </c>
      <c r="G619" s="4">
        <v>0.63300000000000001</v>
      </c>
      <c r="H619" s="4">
        <v>0.50785340314136096</v>
      </c>
      <c r="I619" s="4">
        <v>0.97199999999999998</v>
      </c>
      <c r="J619" s="4">
        <v>0.92300000000000004</v>
      </c>
      <c r="K619" s="5">
        <v>100</v>
      </c>
      <c r="L619" s="5">
        <v>100</v>
      </c>
      <c r="M619" s="5">
        <v>100</v>
      </c>
      <c r="N619" s="5">
        <v>100</v>
      </c>
      <c r="O619" s="2">
        <v>0.45728485683796083</v>
      </c>
      <c r="P619" s="2">
        <v>0.67756244954324762</v>
      </c>
      <c r="Q619" s="2">
        <v>2.8399474521698002E-2</v>
      </c>
      <c r="R619" s="2">
        <v>8.0126044479284855E-2</v>
      </c>
    </row>
    <row r="620" spans="1:18" x14ac:dyDescent="0.3">
      <c r="A620" s="7">
        <v>714</v>
      </c>
      <c r="B620" s="7">
        <v>231</v>
      </c>
      <c r="C620" s="7">
        <v>0</v>
      </c>
      <c r="D620" s="7">
        <v>1</v>
      </c>
      <c r="E620" s="20" t="str">
        <f t="shared" si="9"/>
        <v>01</v>
      </c>
      <c r="F620" s="21">
        <v>0.40393784562739299</v>
      </c>
      <c r="G620" s="4">
        <v>0.67</v>
      </c>
      <c r="H620" s="4">
        <v>0.49253731343283602</v>
      </c>
      <c r="I620" s="4">
        <v>0.97</v>
      </c>
      <c r="J620" s="4">
        <v>0.92300000000000004</v>
      </c>
      <c r="K620" s="5">
        <v>100</v>
      </c>
      <c r="L620" s="5">
        <v>0</v>
      </c>
      <c r="M620" s="5">
        <v>100</v>
      </c>
      <c r="N620" s="5">
        <v>100</v>
      </c>
      <c r="O620" s="2">
        <v>0.40047756659712525</v>
      </c>
      <c r="P620" s="2">
        <v>0.70818505792448538</v>
      </c>
      <c r="Q620" s="2">
        <v>3.0459207484708574E-2</v>
      </c>
      <c r="R620" s="2">
        <v>8.0126044479284855E-2</v>
      </c>
    </row>
    <row r="621" spans="1:18" x14ac:dyDescent="0.3">
      <c r="A621" s="7">
        <v>232</v>
      </c>
      <c r="B621" s="7">
        <v>255</v>
      </c>
      <c r="C621" s="7">
        <v>0</v>
      </c>
      <c r="D621" s="7">
        <v>1</v>
      </c>
      <c r="E621" s="20" t="str">
        <f t="shared" si="9"/>
        <v>01</v>
      </c>
      <c r="F621" s="21">
        <v>0.41556409019872897</v>
      </c>
      <c r="G621" s="4">
        <v>0.51</v>
      </c>
      <c r="H621" s="4">
        <v>0.377833753148615</v>
      </c>
      <c r="I621" s="4">
        <v>0.38600000000000001</v>
      </c>
      <c r="J621" s="4">
        <v>0.373</v>
      </c>
      <c r="K621" s="5">
        <v>100</v>
      </c>
      <c r="L621" s="5">
        <v>0</v>
      </c>
      <c r="M621" s="5">
        <v>0</v>
      </c>
      <c r="N621" s="5">
        <v>0</v>
      </c>
      <c r="O621" s="2">
        <v>0.67334455326376563</v>
      </c>
      <c r="P621" s="2">
        <v>0.97330098659093367</v>
      </c>
      <c r="Q621" s="2">
        <v>0.95191790951730615</v>
      </c>
      <c r="R621" s="2">
        <v>0.98617685933832155</v>
      </c>
    </row>
    <row r="622" spans="1:18" x14ac:dyDescent="0.3">
      <c r="A622" s="7">
        <v>47</v>
      </c>
      <c r="B622" s="7">
        <v>243</v>
      </c>
      <c r="C622" s="7">
        <v>0</v>
      </c>
      <c r="D622" s="7">
        <v>1</v>
      </c>
      <c r="E622" s="20" t="str">
        <f t="shared" si="9"/>
        <v>01</v>
      </c>
      <c r="F622" s="21">
        <v>0.41906164181410799</v>
      </c>
      <c r="G622" s="4">
        <v>0.50700000000000001</v>
      </c>
      <c r="H622" s="4">
        <v>0.404306220095694</v>
      </c>
      <c r="I622" s="4">
        <v>0.93300000000000005</v>
      </c>
      <c r="J622" s="4">
        <v>0.91700000000000004</v>
      </c>
      <c r="K622" s="5">
        <v>100</v>
      </c>
      <c r="L622" s="5">
        <v>0</v>
      </c>
      <c r="M622" s="5">
        <v>100</v>
      </c>
      <c r="N622" s="5">
        <v>100</v>
      </c>
      <c r="O622" s="2">
        <v>0.67924427539095389</v>
      </c>
      <c r="P622" s="2">
        <v>0.9055827176016823</v>
      </c>
      <c r="Q622" s="2">
        <v>6.9350078134793172E-2</v>
      </c>
      <c r="R622" s="2">
        <v>8.6647806725672169E-2</v>
      </c>
    </row>
    <row r="623" spans="1:18" x14ac:dyDescent="0.3">
      <c r="A623" s="7">
        <v>694</v>
      </c>
      <c r="B623" s="7">
        <v>235</v>
      </c>
      <c r="C623" s="7">
        <v>0</v>
      </c>
      <c r="D623" s="7">
        <v>1</v>
      </c>
      <c r="E623" s="20" t="str">
        <f t="shared" si="9"/>
        <v>01</v>
      </c>
      <c r="F623" s="21">
        <v>0.42594804439196998</v>
      </c>
      <c r="G623" s="4">
        <v>0.59699999999999998</v>
      </c>
      <c r="H623" s="4">
        <v>0.44159544159544201</v>
      </c>
      <c r="I623" s="4">
        <v>0.97199999999999998</v>
      </c>
      <c r="J623" s="4">
        <v>0.91600000000000004</v>
      </c>
      <c r="K623" s="5">
        <v>100</v>
      </c>
      <c r="L623" s="5">
        <v>0</v>
      </c>
      <c r="M623" s="5">
        <v>100</v>
      </c>
      <c r="N623" s="5">
        <v>100</v>
      </c>
      <c r="O623" s="2">
        <v>0.51583816558953499</v>
      </c>
      <c r="P623" s="2">
        <v>0.81736110654661831</v>
      </c>
      <c r="Q623" s="2">
        <v>2.8399474521698002E-2</v>
      </c>
      <c r="R623" s="2">
        <v>8.7738914308006746E-2</v>
      </c>
    </row>
    <row r="624" spans="1:18" x14ac:dyDescent="0.3">
      <c r="A624" s="7">
        <v>579</v>
      </c>
      <c r="B624" s="7">
        <v>225</v>
      </c>
      <c r="C624" s="7">
        <v>0</v>
      </c>
      <c r="D624" s="7">
        <v>1</v>
      </c>
      <c r="E624" s="20" t="str">
        <f t="shared" si="9"/>
        <v>01</v>
      </c>
      <c r="F624" s="21">
        <v>0.43400099311168999</v>
      </c>
      <c r="G624" s="4">
        <v>0.55400000000000005</v>
      </c>
      <c r="H624" s="4">
        <v>0.45320197044334998</v>
      </c>
      <c r="I624" s="4">
        <v>0.97299999999999998</v>
      </c>
      <c r="J624" s="4">
        <v>0.91800000000000004</v>
      </c>
      <c r="K624" s="5">
        <v>100</v>
      </c>
      <c r="L624" s="5">
        <v>0</v>
      </c>
      <c r="M624" s="5">
        <v>100</v>
      </c>
      <c r="N624" s="5">
        <v>100</v>
      </c>
      <c r="O624" s="2">
        <v>0.59059059223485311</v>
      </c>
      <c r="P624" s="2">
        <v>0.79141740199274657</v>
      </c>
      <c r="Q624" s="2">
        <v>2.7371196796132015E-2</v>
      </c>
      <c r="R624" s="2">
        <v>8.5557888361646545E-2</v>
      </c>
    </row>
    <row r="625" spans="1:18" x14ac:dyDescent="0.3">
      <c r="A625" s="7">
        <v>211</v>
      </c>
      <c r="B625" s="7">
        <v>212</v>
      </c>
      <c r="C625" s="7">
        <v>0</v>
      </c>
      <c r="D625" s="7">
        <v>1</v>
      </c>
      <c r="E625" s="20" t="str">
        <f t="shared" si="9"/>
        <v>01</v>
      </c>
      <c r="F625" s="21">
        <v>0.441381307587907</v>
      </c>
      <c r="G625" s="4">
        <v>0.65400000000000003</v>
      </c>
      <c r="H625" s="4">
        <v>0.44966442953020103</v>
      </c>
      <c r="I625" s="4">
        <v>0.96499999999999997</v>
      </c>
      <c r="J625" s="4">
        <v>0.92400000000000004</v>
      </c>
      <c r="K625" s="5">
        <v>100</v>
      </c>
      <c r="L625" s="5">
        <v>0</v>
      </c>
      <c r="M625" s="5">
        <v>100</v>
      </c>
      <c r="N625" s="5">
        <v>100</v>
      </c>
      <c r="O625" s="2">
        <v>0.4246479275249383</v>
      </c>
      <c r="P625" s="2">
        <v>0.7992536865544938</v>
      </c>
      <c r="Q625" s="2">
        <v>3.562717764315116E-2</v>
      </c>
      <c r="R625" s="2">
        <v>7.9043207340452851E-2</v>
      </c>
    </row>
    <row r="626" spans="1:18" x14ac:dyDescent="0.3">
      <c r="A626" s="7">
        <v>860</v>
      </c>
      <c r="B626" s="7">
        <v>248</v>
      </c>
      <c r="C626" s="7">
        <v>0</v>
      </c>
      <c r="D626" s="7">
        <v>1</v>
      </c>
      <c r="E626" s="20" t="str">
        <f t="shared" si="9"/>
        <v>01</v>
      </c>
      <c r="F626" s="21">
        <v>0.44622652021411302</v>
      </c>
      <c r="G626" s="4">
        <v>0.50700000000000001</v>
      </c>
      <c r="H626" s="4">
        <v>0.38303341902313598</v>
      </c>
      <c r="I626" s="4">
        <v>0.94499999999999995</v>
      </c>
      <c r="J626" s="4">
        <v>0.95</v>
      </c>
      <c r="K626" s="5">
        <v>100</v>
      </c>
      <c r="L626" s="5">
        <v>0</v>
      </c>
      <c r="M626" s="5">
        <v>100</v>
      </c>
      <c r="N626" s="5">
        <v>100</v>
      </c>
      <c r="O626" s="2">
        <v>0.67924427539095389</v>
      </c>
      <c r="P626" s="2">
        <v>0.9596330376729878</v>
      </c>
      <c r="Q626" s="2">
        <v>5.6570351488394351E-2</v>
      </c>
      <c r="R626" s="2">
        <v>5.1293294387550578E-2</v>
      </c>
    </row>
    <row r="627" spans="1:18" x14ac:dyDescent="0.3">
      <c r="A627" s="7">
        <v>278</v>
      </c>
      <c r="B627" s="7">
        <v>257</v>
      </c>
      <c r="C627" s="7">
        <v>0</v>
      </c>
      <c r="D627" s="7">
        <v>1</v>
      </c>
      <c r="E627" s="20" t="str">
        <f t="shared" si="9"/>
        <v>01</v>
      </c>
      <c r="F627" s="21">
        <v>0.44887281639016702</v>
      </c>
      <c r="G627" s="4">
        <v>0.504</v>
      </c>
      <c r="H627" s="4">
        <v>0.36802030456852802</v>
      </c>
      <c r="I627" s="4">
        <v>0.88200000000000001</v>
      </c>
      <c r="J627" s="4">
        <v>0.86</v>
      </c>
      <c r="K627" s="5">
        <v>100</v>
      </c>
      <c r="L627" s="5">
        <v>0</v>
      </c>
      <c r="M627" s="5">
        <v>100</v>
      </c>
      <c r="N627" s="5">
        <v>100</v>
      </c>
      <c r="O627" s="2">
        <v>0.68517901091076838</v>
      </c>
      <c r="P627" s="2">
        <v>0.99961716687735913</v>
      </c>
      <c r="Q627" s="2">
        <v>0.12556322297534575</v>
      </c>
      <c r="R627" s="2">
        <v>0.15082288973458366</v>
      </c>
    </row>
    <row r="628" spans="1:18" x14ac:dyDescent="0.3">
      <c r="A628" s="7">
        <v>501</v>
      </c>
      <c r="B628" s="7">
        <v>221</v>
      </c>
      <c r="C628" s="7">
        <v>0</v>
      </c>
      <c r="D628" s="7">
        <v>1</v>
      </c>
      <c r="E628" s="20" t="str">
        <f t="shared" si="9"/>
        <v>01</v>
      </c>
      <c r="F628" s="21">
        <v>0.45155747873292901</v>
      </c>
      <c r="G628" s="4">
        <v>0.61199999999999999</v>
      </c>
      <c r="H628" s="4">
        <v>0.51111111111111096</v>
      </c>
      <c r="I628" s="4">
        <v>0.86499999999999999</v>
      </c>
      <c r="J628" s="4">
        <v>0.83699999999999997</v>
      </c>
      <c r="K628" s="5">
        <v>100</v>
      </c>
      <c r="L628" s="5">
        <v>100</v>
      </c>
      <c r="M628" s="5">
        <v>100</v>
      </c>
      <c r="N628" s="5">
        <v>100</v>
      </c>
      <c r="O628" s="2">
        <v>0.49102299646981101</v>
      </c>
      <c r="P628" s="2">
        <v>0.67116827384117039</v>
      </c>
      <c r="Q628" s="2">
        <v>0.14502577205025774</v>
      </c>
      <c r="R628" s="2">
        <v>0.17793120849266178</v>
      </c>
    </row>
    <row r="629" spans="1:18" x14ac:dyDescent="0.3">
      <c r="A629" s="7">
        <v>196</v>
      </c>
      <c r="B629" s="7">
        <v>236</v>
      </c>
      <c r="C629" s="7">
        <v>0</v>
      </c>
      <c r="D629" s="7">
        <v>1</v>
      </c>
      <c r="E629" s="20" t="str">
        <f t="shared" si="9"/>
        <v>01</v>
      </c>
      <c r="F629" s="21">
        <v>0.45500675782283601</v>
      </c>
      <c r="G629" s="4">
        <v>0.65200000000000002</v>
      </c>
      <c r="H629" s="4">
        <v>0.50578034682080897</v>
      </c>
      <c r="I629" s="4">
        <v>0.95799999999999996</v>
      </c>
      <c r="J629" s="4">
        <v>0.92700000000000005</v>
      </c>
      <c r="K629" s="5">
        <v>100</v>
      </c>
      <c r="L629" s="5">
        <v>100</v>
      </c>
      <c r="M629" s="5">
        <v>100</v>
      </c>
      <c r="N629" s="5">
        <v>100</v>
      </c>
      <c r="O629" s="2">
        <v>0.42771071705548408</v>
      </c>
      <c r="P629" s="2">
        <v>0.68165280113421078</v>
      </c>
      <c r="Q629" s="2">
        <v>4.290750101127655E-2</v>
      </c>
      <c r="R629" s="2">
        <v>7.5801713416281849E-2</v>
      </c>
    </row>
    <row r="630" spans="1:18" x14ac:dyDescent="0.3">
      <c r="A630" s="7">
        <v>500</v>
      </c>
      <c r="B630" s="7">
        <v>218</v>
      </c>
      <c r="C630" s="7">
        <v>0</v>
      </c>
      <c r="D630" s="7">
        <v>1</v>
      </c>
      <c r="E630" s="20" t="str">
        <f t="shared" si="9"/>
        <v>01</v>
      </c>
      <c r="F630" s="21">
        <v>0.45788482109454598</v>
      </c>
      <c r="G630" s="4">
        <v>0.49399999999999999</v>
      </c>
      <c r="H630" s="4">
        <v>0.40566037735849098</v>
      </c>
      <c r="I630" s="4">
        <v>0.94599999999999995</v>
      </c>
      <c r="J630" s="4">
        <v>0.93899999999999995</v>
      </c>
      <c r="K630" s="5">
        <v>0</v>
      </c>
      <c r="L630" s="5">
        <v>0</v>
      </c>
      <c r="M630" s="5">
        <v>100</v>
      </c>
      <c r="N630" s="5">
        <v>100</v>
      </c>
      <c r="O630" s="2">
        <v>0.70521976179421453</v>
      </c>
      <c r="P630" s="2">
        <v>0.90223897841850376</v>
      </c>
      <c r="Q630" s="2">
        <v>5.5512709930258829E-2</v>
      </c>
      <c r="R630" s="2">
        <v>6.2939799773874205E-2</v>
      </c>
    </row>
    <row r="631" spans="1:18" x14ac:dyDescent="0.3">
      <c r="A631" s="7">
        <v>121</v>
      </c>
      <c r="B631" s="7">
        <v>211</v>
      </c>
      <c r="C631" s="7">
        <v>0</v>
      </c>
      <c r="D631" s="7">
        <v>1</v>
      </c>
      <c r="E631" s="20" t="str">
        <f t="shared" si="9"/>
        <v>01</v>
      </c>
      <c r="F631" s="21">
        <v>0.46347354798239199</v>
      </c>
      <c r="G631" s="4">
        <v>0.58299999999999996</v>
      </c>
      <c r="H631" s="4">
        <v>0.44072164948453602</v>
      </c>
      <c r="I631" s="4">
        <v>0.93700000000000006</v>
      </c>
      <c r="J631" s="4">
        <v>0.89900000000000002</v>
      </c>
      <c r="K631" s="5">
        <v>100</v>
      </c>
      <c r="L631" s="5">
        <v>0</v>
      </c>
      <c r="M631" s="5">
        <v>100</v>
      </c>
      <c r="N631" s="5">
        <v>100</v>
      </c>
      <c r="O631" s="2">
        <v>0.53956809263164474</v>
      </c>
      <c r="P631" s="2">
        <v>0.81934178312061379</v>
      </c>
      <c r="Q631" s="2">
        <v>6.5071996743714805E-2</v>
      </c>
      <c r="R631" s="2">
        <v>0.10647224451051676</v>
      </c>
    </row>
    <row r="632" spans="1:18" x14ac:dyDescent="0.3">
      <c r="A632" s="7">
        <v>669</v>
      </c>
      <c r="B632" s="7">
        <v>227</v>
      </c>
      <c r="C632" s="7">
        <v>0</v>
      </c>
      <c r="D632" s="7">
        <v>1</v>
      </c>
      <c r="E632" s="20" t="str">
        <f t="shared" si="9"/>
        <v>01</v>
      </c>
      <c r="F632" s="21">
        <v>0.46386152697086402</v>
      </c>
      <c r="G632" s="4">
        <v>0.67700000000000005</v>
      </c>
      <c r="H632" s="4">
        <v>0.54324324324324302</v>
      </c>
      <c r="I632" s="4">
        <v>0.97199999999999998</v>
      </c>
      <c r="J632" s="4">
        <v>0.89400000000000002</v>
      </c>
      <c r="K632" s="5">
        <v>100</v>
      </c>
      <c r="L632" s="5">
        <v>100</v>
      </c>
      <c r="M632" s="5">
        <v>100</v>
      </c>
      <c r="N632" s="5">
        <v>100</v>
      </c>
      <c r="O632" s="2">
        <v>0.39008400606986199</v>
      </c>
      <c r="P632" s="2">
        <v>0.61019809757919474</v>
      </c>
      <c r="Q632" s="2">
        <v>2.8399474521698002E-2</v>
      </c>
      <c r="R632" s="2">
        <v>0.11204950380862289</v>
      </c>
    </row>
    <row r="633" spans="1:18" x14ac:dyDescent="0.3">
      <c r="A633" s="7">
        <v>507</v>
      </c>
      <c r="B633" s="7">
        <v>220</v>
      </c>
      <c r="C633" s="7">
        <v>0</v>
      </c>
      <c r="D633" s="7">
        <v>1</v>
      </c>
      <c r="E633" s="20" t="str">
        <f t="shared" si="9"/>
        <v>01</v>
      </c>
      <c r="F633" s="21">
        <v>0.46695768136161597</v>
      </c>
      <c r="G633" s="4">
        <v>0.58399999999999996</v>
      </c>
      <c r="H633" s="4">
        <v>0.44827586206896602</v>
      </c>
      <c r="I633" s="4">
        <v>0.94399999999999995</v>
      </c>
      <c r="J633" s="4">
        <v>0.94799999999999995</v>
      </c>
      <c r="K633" s="5">
        <v>100</v>
      </c>
      <c r="L633" s="5">
        <v>0</v>
      </c>
      <c r="M633" s="5">
        <v>100</v>
      </c>
      <c r="N633" s="5">
        <v>100</v>
      </c>
      <c r="O633" s="2">
        <v>0.53785429615391001</v>
      </c>
      <c r="P633" s="2">
        <v>0.80234647252493618</v>
      </c>
      <c r="Q633" s="2">
        <v>5.7629112836636416E-2</v>
      </c>
      <c r="R633" s="2">
        <v>5.3400776727115296E-2</v>
      </c>
    </row>
    <row r="634" spans="1:18" x14ac:dyDescent="0.3">
      <c r="A634" s="7">
        <v>329</v>
      </c>
      <c r="B634" s="7">
        <v>215</v>
      </c>
      <c r="C634" s="7">
        <v>0</v>
      </c>
      <c r="D634" s="7">
        <v>1</v>
      </c>
      <c r="E634" s="20" t="str">
        <f t="shared" si="9"/>
        <v>01</v>
      </c>
      <c r="F634" s="21">
        <v>0.46717930446700701</v>
      </c>
      <c r="G634" s="4">
        <v>0.80200000000000005</v>
      </c>
      <c r="H634" s="4">
        <v>0.68131868131868101</v>
      </c>
      <c r="I634" s="4">
        <v>0.95899999999999996</v>
      </c>
      <c r="J634" s="4">
        <v>0.92400000000000004</v>
      </c>
      <c r="K634" s="5">
        <v>100</v>
      </c>
      <c r="L634" s="5">
        <v>100</v>
      </c>
      <c r="M634" s="5">
        <v>100</v>
      </c>
      <c r="N634" s="5">
        <v>100</v>
      </c>
      <c r="O634" s="2">
        <v>0.2206466711156225</v>
      </c>
      <c r="P634" s="2">
        <v>0.38372512147175897</v>
      </c>
      <c r="Q634" s="2">
        <v>4.1864204098698871E-2</v>
      </c>
      <c r="R634" s="2">
        <v>7.9043207340452851E-2</v>
      </c>
    </row>
    <row r="635" spans="1:18" x14ac:dyDescent="0.3">
      <c r="A635" s="7">
        <v>803</v>
      </c>
      <c r="B635" s="7">
        <v>215</v>
      </c>
      <c r="C635" s="7">
        <v>0</v>
      </c>
      <c r="D635" s="7">
        <v>1</v>
      </c>
      <c r="E635" s="20" t="str">
        <f t="shared" si="9"/>
        <v>01</v>
      </c>
      <c r="F635" s="21">
        <v>0.46837404378347702</v>
      </c>
      <c r="G635" s="4">
        <v>0.747</v>
      </c>
      <c r="H635" s="4">
        <v>0.57275541795665597</v>
      </c>
      <c r="I635" s="4">
        <v>0.89800000000000002</v>
      </c>
      <c r="J635" s="4">
        <v>0.87</v>
      </c>
      <c r="K635" s="5">
        <v>100</v>
      </c>
      <c r="L635" s="5">
        <v>100</v>
      </c>
      <c r="M635" s="5">
        <v>100</v>
      </c>
      <c r="N635" s="5">
        <v>100</v>
      </c>
      <c r="O635" s="2">
        <v>0.29169009384931976</v>
      </c>
      <c r="P635" s="2">
        <v>0.55729649814433235</v>
      </c>
      <c r="Q635" s="2">
        <v>0.10758521067993743</v>
      </c>
      <c r="R635" s="2">
        <v>0.13926206733350766</v>
      </c>
    </row>
    <row r="636" spans="1:18" x14ac:dyDescent="0.3">
      <c r="A636" s="7">
        <v>174</v>
      </c>
      <c r="B636" s="7">
        <v>221</v>
      </c>
      <c r="C636" s="7">
        <v>0</v>
      </c>
      <c r="D636" s="7">
        <v>1</v>
      </c>
      <c r="E636" s="20" t="str">
        <f t="shared" si="9"/>
        <v>01</v>
      </c>
      <c r="F636" s="21">
        <v>0.46963162373651102</v>
      </c>
      <c r="G636" s="4">
        <v>0.51100000000000001</v>
      </c>
      <c r="H636" s="4">
        <v>0.380053908355795</v>
      </c>
      <c r="I636" s="4">
        <v>0.80400000000000005</v>
      </c>
      <c r="J636" s="4">
        <v>0.77100000000000002</v>
      </c>
      <c r="K636" s="5">
        <v>100</v>
      </c>
      <c r="L636" s="5">
        <v>0</v>
      </c>
      <c r="M636" s="5">
        <v>100</v>
      </c>
      <c r="N636" s="5">
        <v>100</v>
      </c>
      <c r="O636" s="2">
        <v>0.67138568877843263</v>
      </c>
      <c r="P636" s="2">
        <v>0.96744217222926721</v>
      </c>
      <c r="Q636" s="2">
        <v>0.21815600980317063</v>
      </c>
      <c r="R636" s="2">
        <v>0.26006690541880756</v>
      </c>
    </row>
    <row r="637" spans="1:18" x14ac:dyDescent="0.3">
      <c r="A637" s="7">
        <v>27</v>
      </c>
      <c r="B637" s="7">
        <v>222</v>
      </c>
      <c r="C637" s="7">
        <v>0</v>
      </c>
      <c r="D637" s="7">
        <v>1</v>
      </c>
      <c r="E637" s="20" t="str">
        <f t="shared" si="9"/>
        <v>01</v>
      </c>
      <c r="F637" s="21">
        <v>0.47556760362947798</v>
      </c>
      <c r="G637" s="4">
        <v>0.64900000000000002</v>
      </c>
      <c r="H637" s="4">
        <v>0.47800586510263898</v>
      </c>
      <c r="I637" s="4">
        <v>0.79100000000000004</v>
      </c>
      <c r="J637" s="4">
        <v>0.83</v>
      </c>
      <c r="K637" s="5">
        <v>100</v>
      </c>
      <c r="L637" s="5">
        <v>0</v>
      </c>
      <c r="M637" s="5">
        <v>100</v>
      </c>
      <c r="N637" s="5">
        <v>100</v>
      </c>
      <c r="O637" s="2">
        <v>0.43232256227804705</v>
      </c>
      <c r="P637" s="2">
        <v>0.73813227647675517</v>
      </c>
      <c r="Q637" s="2">
        <v>0.23445731121448313</v>
      </c>
      <c r="R637" s="2">
        <v>0.18632957819149348</v>
      </c>
    </row>
    <row r="638" spans="1:18" x14ac:dyDescent="0.3">
      <c r="A638" s="7">
        <v>163</v>
      </c>
      <c r="B638" s="7">
        <v>235</v>
      </c>
      <c r="C638" s="7">
        <v>0</v>
      </c>
      <c r="D638" s="7">
        <v>1</v>
      </c>
      <c r="E638" s="20" t="str">
        <f t="shared" si="9"/>
        <v>01</v>
      </c>
      <c r="F638" s="21">
        <v>0.47949539804841301</v>
      </c>
      <c r="G638" s="4">
        <v>0.51900000000000002</v>
      </c>
      <c r="H638" s="4">
        <v>0.41707317073170702</v>
      </c>
      <c r="I638" s="4">
        <v>0.94899999999999995</v>
      </c>
      <c r="J638" s="4">
        <v>0.91900000000000004</v>
      </c>
      <c r="K638" s="5">
        <v>100</v>
      </c>
      <c r="L638" s="5">
        <v>0</v>
      </c>
      <c r="M638" s="5">
        <v>100</v>
      </c>
      <c r="N638" s="5">
        <v>100</v>
      </c>
      <c r="O638" s="2">
        <v>0.65585139581624841</v>
      </c>
      <c r="P638" s="2">
        <v>0.87449360319569436</v>
      </c>
      <c r="Q638" s="2">
        <v>5.2346480372209236E-2</v>
      </c>
      <c r="R638" s="2">
        <v>8.4469156626449965E-2</v>
      </c>
    </row>
    <row r="639" spans="1:18" x14ac:dyDescent="0.3">
      <c r="A639" s="7">
        <v>833</v>
      </c>
      <c r="B639" s="7">
        <v>203</v>
      </c>
      <c r="C639" s="7">
        <v>0</v>
      </c>
      <c r="D639" s="7">
        <v>1</v>
      </c>
      <c r="E639" s="20" t="str">
        <f t="shared" si="9"/>
        <v>01</v>
      </c>
      <c r="F639" s="21">
        <v>0.48160486794180901</v>
      </c>
      <c r="G639" s="4">
        <v>0.59299999999999997</v>
      </c>
      <c r="H639" s="4">
        <v>0.46753246753246802</v>
      </c>
      <c r="I639" s="4">
        <v>0.95699999999999996</v>
      </c>
      <c r="J639" s="4">
        <v>0.94799999999999995</v>
      </c>
      <c r="K639" s="5">
        <v>100</v>
      </c>
      <c r="L639" s="5">
        <v>0</v>
      </c>
      <c r="M639" s="5">
        <v>100</v>
      </c>
      <c r="N639" s="5">
        <v>100</v>
      </c>
      <c r="O639" s="2">
        <v>0.5225608799844117</v>
      </c>
      <c r="P639" s="2">
        <v>0.76028648339757277</v>
      </c>
      <c r="Q639" s="2">
        <v>4.3951887529182831E-2</v>
      </c>
      <c r="R639" s="2">
        <v>5.3400776727115296E-2</v>
      </c>
    </row>
    <row r="640" spans="1:18" x14ac:dyDescent="0.3">
      <c r="A640" s="7">
        <v>556</v>
      </c>
      <c r="B640" s="7">
        <v>221</v>
      </c>
      <c r="C640" s="7">
        <v>0</v>
      </c>
      <c r="D640" s="7">
        <v>1</v>
      </c>
      <c r="E640" s="20" t="str">
        <f t="shared" si="9"/>
        <v>01</v>
      </c>
      <c r="F640" s="21">
        <v>0.48698562516080701</v>
      </c>
      <c r="G640" s="4">
        <v>0.57399999999999995</v>
      </c>
      <c r="H640" s="4">
        <v>0.50374064837905197</v>
      </c>
      <c r="I640" s="4">
        <v>0.94299999999999995</v>
      </c>
      <c r="J640" s="4">
        <v>0.80600000000000005</v>
      </c>
      <c r="K640" s="5">
        <v>100</v>
      </c>
      <c r="L640" s="5">
        <v>100</v>
      </c>
      <c r="M640" s="5">
        <v>100</v>
      </c>
      <c r="N640" s="5">
        <v>100</v>
      </c>
      <c r="O640" s="2">
        <v>0.55512588266257068</v>
      </c>
      <c r="P640" s="2">
        <v>0.68569372990536526</v>
      </c>
      <c r="Q640" s="2">
        <v>5.8688996348679613E-2</v>
      </c>
      <c r="R640" s="2">
        <v>0.21567153647550871</v>
      </c>
    </row>
    <row r="641" spans="1:18" x14ac:dyDescent="0.3">
      <c r="A641" s="7">
        <v>262</v>
      </c>
      <c r="B641" s="7">
        <v>227</v>
      </c>
      <c r="C641" s="7">
        <v>0</v>
      </c>
      <c r="D641" s="7">
        <v>1</v>
      </c>
      <c r="E641" s="20" t="str">
        <f t="shared" si="9"/>
        <v>01</v>
      </c>
      <c r="F641" s="21">
        <v>0.49322139878258098</v>
      </c>
      <c r="G641" s="4">
        <v>0.67100000000000004</v>
      </c>
      <c r="H641" s="4">
        <v>0.51863354037267095</v>
      </c>
      <c r="I641" s="4">
        <v>9.4E-2</v>
      </c>
      <c r="J641" s="4">
        <v>7.6999999999999999E-2</v>
      </c>
      <c r="K641" s="5">
        <v>100</v>
      </c>
      <c r="L641" s="5">
        <v>100</v>
      </c>
      <c r="M641" s="5">
        <v>0</v>
      </c>
      <c r="N641" s="5">
        <v>0</v>
      </c>
      <c r="O641" s="2">
        <v>0.39898614201045518</v>
      </c>
      <c r="P641" s="2">
        <v>0.65655773312765286</v>
      </c>
      <c r="Q641" s="2">
        <v>2.364460496712133</v>
      </c>
      <c r="R641" s="2">
        <v>2.5639498571284531</v>
      </c>
    </row>
    <row r="642" spans="1:18" x14ac:dyDescent="0.3">
      <c r="A642" s="7">
        <v>675</v>
      </c>
      <c r="B642" s="7">
        <v>217</v>
      </c>
      <c r="C642" s="7">
        <v>0</v>
      </c>
      <c r="D642" s="7">
        <v>1</v>
      </c>
      <c r="E642" s="20" t="str">
        <f t="shared" ref="E642:E705" si="10">_xlfn.CONCAT(C642,D642)</f>
        <v>01</v>
      </c>
      <c r="F642" s="21">
        <v>0.49396852040829298</v>
      </c>
      <c r="G642" s="4">
        <v>0.58599999999999997</v>
      </c>
      <c r="H642" s="4">
        <v>0.41971830985915498</v>
      </c>
      <c r="I642" s="4">
        <v>0.94699999999999995</v>
      </c>
      <c r="J642" s="4">
        <v>0.874</v>
      </c>
      <c r="K642" s="5">
        <v>100</v>
      </c>
      <c r="L642" s="5">
        <v>0</v>
      </c>
      <c r="M642" s="5">
        <v>100</v>
      </c>
      <c r="N642" s="5">
        <v>100</v>
      </c>
      <c r="O642" s="2">
        <v>0.53443548940512453</v>
      </c>
      <c r="P642" s="2">
        <v>0.86817148352995654</v>
      </c>
      <c r="Q642" s="2">
        <v>5.4456185796058855E-2</v>
      </c>
      <c r="R642" s="2">
        <v>0.13467490332660159</v>
      </c>
    </row>
    <row r="643" spans="1:18" x14ac:dyDescent="0.3">
      <c r="A643" s="7">
        <v>283</v>
      </c>
      <c r="B643" s="7">
        <v>203</v>
      </c>
      <c r="C643" s="7">
        <v>0</v>
      </c>
      <c r="D643" s="7">
        <v>1</v>
      </c>
      <c r="E643" s="20" t="str">
        <f t="shared" si="10"/>
        <v>01</v>
      </c>
      <c r="F643" s="21">
        <v>0.498108090002158</v>
      </c>
      <c r="G643" s="4">
        <v>0.503</v>
      </c>
      <c r="H643" s="4">
        <v>0.41911764705882398</v>
      </c>
      <c r="I643" s="4">
        <v>0.92800000000000005</v>
      </c>
      <c r="J643" s="4">
        <v>0.90700000000000003</v>
      </c>
      <c r="K643" s="5">
        <v>100</v>
      </c>
      <c r="L643" s="5">
        <v>0</v>
      </c>
      <c r="M643" s="5">
        <v>100</v>
      </c>
      <c r="N643" s="5">
        <v>100</v>
      </c>
      <c r="O643" s="2">
        <v>0.68716510888239779</v>
      </c>
      <c r="P643" s="2">
        <v>0.86960361790150076</v>
      </c>
      <c r="Q643" s="2">
        <v>7.4723546195936422E-2</v>
      </c>
      <c r="R643" s="2">
        <v>9.7612828867000415E-2</v>
      </c>
    </row>
    <row r="644" spans="1:18" x14ac:dyDescent="0.3">
      <c r="A644" s="7">
        <v>560</v>
      </c>
      <c r="B644" s="7">
        <v>323</v>
      </c>
      <c r="C644" s="7">
        <v>0</v>
      </c>
      <c r="D644" s="7">
        <v>1</v>
      </c>
      <c r="E644" s="20" t="str">
        <f t="shared" si="10"/>
        <v>01</v>
      </c>
      <c r="F644" s="21">
        <v>0.50236138788345597</v>
      </c>
      <c r="G644" s="4">
        <v>0.48299999999999998</v>
      </c>
      <c r="H644" s="4">
        <v>0.38534278959810903</v>
      </c>
      <c r="I644" s="4">
        <v>0.94599999999999995</v>
      </c>
      <c r="J644" s="4">
        <v>0.90600000000000003</v>
      </c>
      <c r="K644" s="5">
        <v>0</v>
      </c>
      <c r="L644" s="5">
        <v>0</v>
      </c>
      <c r="M644" s="5">
        <v>100</v>
      </c>
      <c r="N644" s="5">
        <v>100</v>
      </c>
      <c r="O644" s="2">
        <v>0.72773862532956435</v>
      </c>
      <c r="P644" s="2">
        <v>0.95362197823951489</v>
      </c>
      <c r="Q644" s="2">
        <v>5.5512709930258829E-2</v>
      </c>
      <c r="R644" s="2">
        <v>9.8715972939157695E-2</v>
      </c>
    </row>
    <row r="645" spans="1:18" x14ac:dyDescent="0.3">
      <c r="A645" s="7">
        <v>80</v>
      </c>
      <c r="B645" s="7">
        <v>214</v>
      </c>
      <c r="C645" s="7">
        <v>0</v>
      </c>
      <c r="D645" s="7">
        <v>1</v>
      </c>
      <c r="E645" s="20" t="str">
        <f t="shared" si="10"/>
        <v>01</v>
      </c>
      <c r="F645" s="21">
        <v>0.50526464584226904</v>
      </c>
      <c r="G645" s="4">
        <v>0.47799999999999998</v>
      </c>
      <c r="H645" s="4">
        <v>0.404466501240695</v>
      </c>
      <c r="I645" s="4">
        <v>0.46100000000000002</v>
      </c>
      <c r="J645" s="4">
        <v>0.39900000000000002</v>
      </c>
      <c r="K645" s="5">
        <v>0</v>
      </c>
      <c r="L645" s="5">
        <v>0</v>
      </c>
      <c r="M645" s="5">
        <v>0</v>
      </c>
      <c r="N645" s="5">
        <v>0</v>
      </c>
      <c r="O645" s="2">
        <v>0.73814454649068106</v>
      </c>
      <c r="P645" s="2">
        <v>0.90518636113992013</v>
      </c>
      <c r="Q645" s="2">
        <v>0.77435723598548845</v>
      </c>
      <c r="R645" s="2">
        <v>0.91879386209227354</v>
      </c>
    </row>
    <row r="646" spans="1:18" x14ac:dyDescent="0.3">
      <c r="A646" s="7">
        <v>188</v>
      </c>
      <c r="B646" s="7">
        <v>208</v>
      </c>
      <c r="C646" s="7">
        <v>0</v>
      </c>
      <c r="D646" s="7">
        <v>1</v>
      </c>
      <c r="E646" s="20" t="str">
        <f t="shared" si="10"/>
        <v>01</v>
      </c>
      <c r="F646" s="21">
        <v>0.51703945635022597</v>
      </c>
      <c r="G646" s="4">
        <v>0.54200000000000004</v>
      </c>
      <c r="H646" s="4">
        <v>0.43421052631578899</v>
      </c>
      <c r="I646" s="4">
        <v>0.97799999999999998</v>
      </c>
      <c r="J646" s="4">
        <v>0.92900000000000005</v>
      </c>
      <c r="K646" s="5">
        <v>100</v>
      </c>
      <c r="L646" s="5">
        <v>0</v>
      </c>
      <c r="M646" s="5">
        <v>100</v>
      </c>
      <c r="N646" s="5">
        <v>100</v>
      </c>
      <c r="O646" s="2">
        <v>0.61248927754249083</v>
      </c>
      <c r="P646" s="2">
        <v>0.83422577881985194</v>
      </c>
      <c r="Q646" s="2">
        <v>2.2245608947319737E-2</v>
      </c>
      <c r="R646" s="2">
        <v>7.3646540168298483E-2</v>
      </c>
    </row>
    <row r="647" spans="1:18" x14ac:dyDescent="0.3">
      <c r="A647" s="7">
        <v>875</v>
      </c>
      <c r="B647" s="7">
        <v>186</v>
      </c>
      <c r="C647" s="7">
        <v>0</v>
      </c>
      <c r="D647" s="7">
        <v>1</v>
      </c>
      <c r="E647" s="20" t="str">
        <f t="shared" si="10"/>
        <v>01</v>
      </c>
      <c r="F647" s="21">
        <v>0.52996868251900198</v>
      </c>
      <c r="G647" s="4">
        <v>0.57399999999999995</v>
      </c>
      <c r="H647" s="4">
        <v>0.43850267379679098</v>
      </c>
      <c r="I647" s="4">
        <v>0.96</v>
      </c>
      <c r="J647" s="4">
        <v>0.90400000000000003</v>
      </c>
      <c r="K647" s="5">
        <v>100</v>
      </c>
      <c r="L647" s="5">
        <v>0</v>
      </c>
      <c r="M647" s="5">
        <v>100</v>
      </c>
      <c r="N647" s="5">
        <v>100</v>
      </c>
      <c r="O647" s="2">
        <v>0.55512588266257068</v>
      </c>
      <c r="P647" s="2">
        <v>0.8243893695903346</v>
      </c>
      <c r="Q647" s="2">
        <v>4.0821994520255166E-2</v>
      </c>
      <c r="R647" s="2">
        <v>0.10092591858996053</v>
      </c>
    </row>
    <row r="648" spans="1:18" x14ac:dyDescent="0.3">
      <c r="A648" s="7">
        <v>676</v>
      </c>
      <c r="B648" s="7">
        <v>199</v>
      </c>
      <c r="C648" s="7">
        <v>0</v>
      </c>
      <c r="D648" s="7">
        <v>1</v>
      </c>
      <c r="E648" s="20" t="str">
        <f t="shared" si="10"/>
        <v>01</v>
      </c>
      <c r="F648" s="21">
        <v>0.53306715935806304</v>
      </c>
      <c r="G648" s="4">
        <v>0.53500000000000003</v>
      </c>
      <c r="H648" s="4">
        <v>0.39516129032258102</v>
      </c>
      <c r="I648" s="4">
        <v>0.92900000000000005</v>
      </c>
      <c r="J648" s="4">
        <v>0.90600000000000003</v>
      </c>
      <c r="K648" s="5">
        <v>100</v>
      </c>
      <c r="L648" s="5">
        <v>0</v>
      </c>
      <c r="M648" s="5">
        <v>100</v>
      </c>
      <c r="N648" s="5">
        <v>100</v>
      </c>
      <c r="O648" s="2">
        <v>0.62548853208613042</v>
      </c>
      <c r="P648" s="2">
        <v>0.92846126749440927</v>
      </c>
      <c r="Q648" s="2">
        <v>7.3646540168298483E-2</v>
      </c>
      <c r="R648" s="2">
        <v>9.8715972939157695E-2</v>
      </c>
    </row>
    <row r="649" spans="1:18" x14ac:dyDescent="0.3">
      <c r="A649" s="7">
        <v>817</v>
      </c>
      <c r="B649" s="7">
        <v>200</v>
      </c>
      <c r="C649" s="7">
        <v>0</v>
      </c>
      <c r="D649" s="7">
        <v>1</v>
      </c>
      <c r="E649" s="20" t="str">
        <f t="shared" si="10"/>
        <v>01</v>
      </c>
      <c r="F649" s="21">
        <v>0.53390832860558701</v>
      </c>
      <c r="G649" s="4">
        <v>0.58299999999999996</v>
      </c>
      <c r="H649" s="4">
        <v>0.48899755501222503</v>
      </c>
      <c r="I649" s="4">
        <v>0.92600000000000005</v>
      </c>
      <c r="J649" s="4">
        <v>0.90300000000000002</v>
      </c>
      <c r="K649" s="5">
        <v>100</v>
      </c>
      <c r="L649" s="5">
        <v>0</v>
      </c>
      <c r="M649" s="5">
        <v>100</v>
      </c>
      <c r="N649" s="5">
        <v>100</v>
      </c>
      <c r="O649" s="2">
        <v>0.53956809263164474</v>
      </c>
      <c r="P649" s="2">
        <v>0.71539778949476485</v>
      </c>
      <c r="Q649" s="2">
        <v>7.6881044335957618E-2</v>
      </c>
      <c r="R649" s="2">
        <v>0.10203272556515161</v>
      </c>
    </row>
    <row r="650" spans="1:18" x14ac:dyDescent="0.3">
      <c r="A650" s="7">
        <v>719</v>
      </c>
      <c r="B650" s="7">
        <v>183</v>
      </c>
      <c r="C650" s="7">
        <v>0</v>
      </c>
      <c r="D650" s="7">
        <v>1</v>
      </c>
      <c r="E650" s="20" t="str">
        <f t="shared" si="10"/>
        <v>01</v>
      </c>
      <c r="F650" s="21">
        <v>0.53483071996101605</v>
      </c>
      <c r="G650" s="4">
        <v>0.77500000000000002</v>
      </c>
      <c r="H650" s="4">
        <v>0.55681818181818199</v>
      </c>
      <c r="I650" s="4">
        <v>0.96</v>
      </c>
      <c r="J650" s="4">
        <v>0.91200000000000003</v>
      </c>
      <c r="K650" s="5">
        <v>100</v>
      </c>
      <c r="L650" s="5">
        <v>100</v>
      </c>
      <c r="M650" s="5">
        <v>100</v>
      </c>
      <c r="N650" s="5">
        <v>100</v>
      </c>
      <c r="O650" s="2">
        <v>0.25489224962879004</v>
      </c>
      <c r="P650" s="2">
        <v>0.58551651636757951</v>
      </c>
      <c r="Q650" s="2">
        <v>4.0821994520255166E-2</v>
      </c>
      <c r="R650" s="2">
        <v>9.2115288907805626E-2</v>
      </c>
    </row>
    <row r="651" spans="1:18" x14ac:dyDescent="0.3">
      <c r="A651" s="7">
        <v>827</v>
      </c>
      <c r="B651" s="7">
        <v>193</v>
      </c>
      <c r="C651" s="7">
        <v>0</v>
      </c>
      <c r="D651" s="7">
        <v>1</v>
      </c>
      <c r="E651" s="20" t="str">
        <f t="shared" si="10"/>
        <v>01</v>
      </c>
      <c r="F651" s="21">
        <v>0.53753295336149098</v>
      </c>
      <c r="G651" s="4">
        <v>0.56000000000000005</v>
      </c>
      <c r="H651" s="4">
        <v>0.41191709844559599</v>
      </c>
      <c r="I651" s="4">
        <v>0.96299999999999997</v>
      </c>
      <c r="J651" s="4">
        <v>0.90200000000000002</v>
      </c>
      <c r="K651" s="5">
        <v>100</v>
      </c>
      <c r="L651" s="5">
        <v>0</v>
      </c>
      <c r="M651" s="5">
        <v>100</v>
      </c>
      <c r="N651" s="5">
        <v>100</v>
      </c>
      <c r="O651" s="2">
        <v>0.57981849525294205</v>
      </c>
      <c r="P651" s="2">
        <v>0.88693316724459903</v>
      </c>
      <c r="Q651" s="2">
        <v>3.7701867184011528E-2</v>
      </c>
      <c r="R651" s="2">
        <v>0.10314075891951337</v>
      </c>
    </row>
    <row r="652" spans="1:18" x14ac:dyDescent="0.3">
      <c r="A652" s="7">
        <v>249</v>
      </c>
      <c r="B652" s="7">
        <v>190</v>
      </c>
      <c r="C652" s="7">
        <v>0</v>
      </c>
      <c r="D652" s="7">
        <v>1</v>
      </c>
      <c r="E652" s="20" t="str">
        <f t="shared" si="10"/>
        <v>01</v>
      </c>
      <c r="F652" s="21">
        <v>0.553049566660481</v>
      </c>
      <c r="G652" s="4">
        <v>0.45300000000000001</v>
      </c>
      <c r="H652" s="4">
        <v>0.38963963963963999</v>
      </c>
      <c r="I652" s="4">
        <v>0.93300000000000005</v>
      </c>
      <c r="J652" s="4">
        <v>0.91300000000000003</v>
      </c>
      <c r="K652" s="5">
        <v>0</v>
      </c>
      <c r="L652" s="5">
        <v>0</v>
      </c>
      <c r="M652" s="5">
        <v>100</v>
      </c>
      <c r="N652" s="5">
        <v>100</v>
      </c>
      <c r="O652" s="2">
        <v>0.79186315349910297</v>
      </c>
      <c r="P652" s="2">
        <v>0.94253296793444485</v>
      </c>
      <c r="Q652" s="2">
        <v>6.9350078134793172E-2</v>
      </c>
      <c r="R652" s="2">
        <v>9.1019398387168549E-2</v>
      </c>
    </row>
    <row r="653" spans="1:18" x14ac:dyDescent="0.3">
      <c r="A653" s="7">
        <v>828</v>
      </c>
      <c r="B653" s="7">
        <v>178</v>
      </c>
      <c r="C653" s="7">
        <v>0</v>
      </c>
      <c r="D653" s="7">
        <v>1</v>
      </c>
      <c r="E653" s="20" t="str">
        <f t="shared" si="10"/>
        <v>01</v>
      </c>
      <c r="F653" s="21">
        <v>0.556560490510284</v>
      </c>
      <c r="G653" s="4">
        <v>0.64700000000000002</v>
      </c>
      <c r="H653" s="4">
        <v>0.46540880503144699</v>
      </c>
      <c r="I653" s="4">
        <v>0.94399999999999995</v>
      </c>
      <c r="J653" s="4">
        <v>0.89400000000000002</v>
      </c>
      <c r="K653" s="5">
        <v>100</v>
      </c>
      <c r="L653" s="5">
        <v>0</v>
      </c>
      <c r="M653" s="5">
        <v>100</v>
      </c>
      <c r="N653" s="5">
        <v>100</v>
      </c>
      <c r="O653" s="2">
        <v>0.43540898448123644</v>
      </c>
      <c r="P653" s="2">
        <v>0.76483910901606078</v>
      </c>
      <c r="Q653" s="2">
        <v>5.7629112836636416E-2</v>
      </c>
      <c r="R653" s="2">
        <v>0.11204950380862289</v>
      </c>
    </row>
    <row r="654" spans="1:18" x14ac:dyDescent="0.3">
      <c r="A654" s="7">
        <v>965</v>
      </c>
      <c r="B654" s="7">
        <v>192</v>
      </c>
      <c r="C654" s="7">
        <v>0</v>
      </c>
      <c r="D654" s="7">
        <v>1</v>
      </c>
      <c r="E654" s="20" t="str">
        <f t="shared" si="10"/>
        <v>01</v>
      </c>
      <c r="F654" s="21">
        <v>0.573843095434178</v>
      </c>
      <c r="G654" s="4">
        <v>0.59699999999999998</v>
      </c>
      <c r="H654" s="4">
        <v>0.43271767810026401</v>
      </c>
      <c r="I654" s="4">
        <v>0.94399999999999995</v>
      </c>
      <c r="J654" s="4">
        <v>0.877</v>
      </c>
      <c r="K654" s="5">
        <v>100</v>
      </c>
      <c r="L654" s="5">
        <v>0</v>
      </c>
      <c r="M654" s="5">
        <v>100</v>
      </c>
      <c r="N654" s="5">
        <v>100</v>
      </c>
      <c r="O654" s="2">
        <v>0.51583816558953499</v>
      </c>
      <c r="P654" s="2">
        <v>0.83766977725822755</v>
      </c>
      <c r="Q654" s="2">
        <v>5.7629112836636416E-2</v>
      </c>
      <c r="R654" s="2">
        <v>0.13124828660995402</v>
      </c>
    </row>
    <row r="655" spans="1:18" x14ac:dyDescent="0.3">
      <c r="A655" s="7">
        <v>3</v>
      </c>
      <c r="B655" s="7">
        <v>171</v>
      </c>
      <c r="C655" s="7">
        <v>0</v>
      </c>
      <c r="D655" s="7">
        <v>1</v>
      </c>
      <c r="E655" s="20" t="str">
        <f t="shared" si="10"/>
        <v>01</v>
      </c>
      <c r="F655" s="21">
        <v>0.578350472105013</v>
      </c>
      <c r="G655" s="4">
        <v>0.624</v>
      </c>
      <c r="H655" s="4">
        <v>0.48587570621468901</v>
      </c>
      <c r="I655" s="4">
        <v>0.94399999999999995</v>
      </c>
      <c r="J655" s="4">
        <v>0.89800000000000002</v>
      </c>
      <c r="K655" s="5">
        <v>100</v>
      </c>
      <c r="L655" s="5">
        <v>0</v>
      </c>
      <c r="M655" s="5">
        <v>100</v>
      </c>
      <c r="N655" s="5">
        <v>100</v>
      </c>
      <c r="O655" s="2">
        <v>0.47160491061270937</v>
      </c>
      <c r="P655" s="2">
        <v>0.72180243632032193</v>
      </c>
      <c r="Q655" s="2">
        <v>5.7629112836636416E-2</v>
      </c>
      <c r="R655" s="2">
        <v>0.10758521067993743</v>
      </c>
    </row>
    <row r="656" spans="1:18" x14ac:dyDescent="0.3">
      <c r="A656" s="7">
        <v>77</v>
      </c>
      <c r="B656" s="7">
        <v>195</v>
      </c>
      <c r="C656" s="7">
        <v>0</v>
      </c>
      <c r="D656" s="7">
        <v>1</v>
      </c>
      <c r="E656" s="20" t="str">
        <f t="shared" si="10"/>
        <v>01</v>
      </c>
      <c r="F656" s="21">
        <v>0.581537284461346</v>
      </c>
      <c r="G656" s="4">
        <v>0.498</v>
      </c>
      <c r="H656" s="4">
        <v>0.42117647058823499</v>
      </c>
      <c r="I656" s="4">
        <v>0.17499999999999999</v>
      </c>
      <c r="J656" s="4">
        <v>0.14699999999999999</v>
      </c>
      <c r="K656" s="5">
        <v>0</v>
      </c>
      <c r="L656" s="5">
        <v>0</v>
      </c>
      <c r="M656" s="5">
        <v>0</v>
      </c>
      <c r="N656" s="5">
        <v>0</v>
      </c>
      <c r="O656" s="2">
        <v>0.69715520195748415</v>
      </c>
      <c r="P656" s="2">
        <v>0.86470336308366258</v>
      </c>
      <c r="Q656" s="2">
        <v>1.742969305058623</v>
      </c>
      <c r="R656" s="2">
        <v>1.9173226922034008</v>
      </c>
    </row>
    <row r="657" spans="1:18" x14ac:dyDescent="0.3">
      <c r="A657" s="7">
        <v>254</v>
      </c>
      <c r="B657" s="7">
        <v>267</v>
      </c>
      <c r="C657" s="7">
        <v>0</v>
      </c>
      <c r="D657" s="7">
        <v>1</v>
      </c>
      <c r="E657" s="20" t="str">
        <f t="shared" si="10"/>
        <v>01</v>
      </c>
      <c r="F657" s="21">
        <v>0.58544149170634896</v>
      </c>
      <c r="G657" s="4">
        <v>0.57099999999999995</v>
      </c>
      <c r="H657" s="4">
        <v>0.45547073791348602</v>
      </c>
      <c r="I657" s="4">
        <v>0.70099999999999996</v>
      </c>
      <c r="J657" s="4">
        <v>0.629</v>
      </c>
      <c r="K657" s="5">
        <v>100</v>
      </c>
      <c r="L657" s="5">
        <v>0</v>
      </c>
      <c r="M657" s="5">
        <v>100</v>
      </c>
      <c r="N657" s="5">
        <v>100</v>
      </c>
      <c r="O657" s="2">
        <v>0.56036606932612687</v>
      </c>
      <c r="P657" s="2">
        <v>0.78642380602850614</v>
      </c>
      <c r="Q657" s="2">
        <v>0.35524739194754701</v>
      </c>
      <c r="R657" s="2">
        <v>0.46362402228169652</v>
      </c>
    </row>
    <row r="658" spans="1:18" x14ac:dyDescent="0.3">
      <c r="A658" s="7">
        <v>440</v>
      </c>
      <c r="B658" s="7">
        <v>176</v>
      </c>
      <c r="C658" s="7">
        <v>0</v>
      </c>
      <c r="D658" s="7">
        <v>1</v>
      </c>
      <c r="E658" s="20" t="str">
        <f t="shared" si="10"/>
        <v>01</v>
      </c>
      <c r="F658" s="21">
        <v>0.58867257452322497</v>
      </c>
      <c r="G658" s="4">
        <v>0.78400000000000003</v>
      </c>
      <c r="H658" s="4">
        <v>0.66229508196721298</v>
      </c>
      <c r="I658" s="4">
        <v>0.98299999999999998</v>
      </c>
      <c r="J658" s="4">
        <v>0.94299999999999995</v>
      </c>
      <c r="K658" s="5">
        <v>100</v>
      </c>
      <c r="L658" s="5">
        <v>100</v>
      </c>
      <c r="M658" s="5">
        <v>100</v>
      </c>
      <c r="N658" s="5">
        <v>100</v>
      </c>
      <c r="O658" s="2">
        <v>0.24334625863172918</v>
      </c>
      <c r="P658" s="2">
        <v>0.41204407920620706</v>
      </c>
      <c r="Q658" s="2">
        <v>1.7146158834970514E-2</v>
      </c>
      <c r="R658" s="2">
        <v>5.8688996348679613E-2</v>
      </c>
    </row>
    <row r="659" spans="1:18" x14ac:dyDescent="0.3">
      <c r="A659" s="7">
        <v>667</v>
      </c>
      <c r="B659" s="7">
        <v>187</v>
      </c>
      <c r="C659" s="7">
        <v>0</v>
      </c>
      <c r="D659" s="7">
        <v>1</v>
      </c>
      <c r="E659" s="20" t="str">
        <f t="shared" si="10"/>
        <v>01</v>
      </c>
      <c r="F659" s="21">
        <v>0.59429637951164005</v>
      </c>
      <c r="G659" s="4">
        <v>0.61099999999999999</v>
      </c>
      <c r="H659" s="4">
        <v>0.54014598540145997</v>
      </c>
      <c r="I659" s="4">
        <v>0.90200000000000002</v>
      </c>
      <c r="J659" s="4">
        <v>0.86399999999999999</v>
      </c>
      <c r="K659" s="5">
        <v>100</v>
      </c>
      <c r="L659" s="5">
        <v>100</v>
      </c>
      <c r="M659" s="5">
        <v>100</v>
      </c>
      <c r="N659" s="5">
        <v>100</v>
      </c>
      <c r="O659" s="2">
        <v>0.49265831981054176</v>
      </c>
      <c r="P659" s="2">
        <v>0.615915832623955</v>
      </c>
      <c r="Q659" s="2">
        <v>0.10314075891951337</v>
      </c>
      <c r="R659" s="2">
        <v>0.14618251017808145</v>
      </c>
    </row>
    <row r="660" spans="1:18" x14ac:dyDescent="0.3">
      <c r="A660" s="7">
        <v>128</v>
      </c>
      <c r="B660" s="7">
        <v>163</v>
      </c>
      <c r="C660" s="7">
        <v>0</v>
      </c>
      <c r="D660" s="7">
        <v>1</v>
      </c>
      <c r="E660" s="20" t="str">
        <f t="shared" si="10"/>
        <v>01</v>
      </c>
      <c r="F660" s="21">
        <v>0.60087646299774999</v>
      </c>
      <c r="G660" s="4">
        <v>0.624</v>
      </c>
      <c r="H660" s="4">
        <v>0.42815249266862199</v>
      </c>
      <c r="I660" s="4">
        <v>8.8999999999999996E-2</v>
      </c>
      <c r="J660" s="4">
        <v>7.8E-2</v>
      </c>
      <c r="K660" s="5">
        <v>100</v>
      </c>
      <c r="L660" s="5">
        <v>0</v>
      </c>
      <c r="M660" s="5">
        <v>0</v>
      </c>
      <c r="N660" s="5">
        <v>0</v>
      </c>
      <c r="O660" s="2">
        <v>0.47160491061270937</v>
      </c>
      <c r="P660" s="2">
        <v>0.8482758555751797</v>
      </c>
      <c r="Q660" s="2">
        <v>2.4191189092499972</v>
      </c>
      <c r="R660" s="2">
        <v>2.5510464522925451</v>
      </c>
    </row>
    <row r="661" spans="1:18" x14ac:dyDescent="0.3">
      <c r="A661" s="7">
        <v>513</v>
      </c>
      <c r="B661" s="7">
        <v>179</v>
      </c>
      <c r="C661" s="7">
        <v>0</v>
      </c>
      <c r="D661" s="7">
        <v>1</v>
      </c>
      <c r="E661" s="20" t="str">
        <f t="shared" si="10"/>
        <v>01</v>
      </c>
      <c r="F661" s="21">
        <v>0.603472796192005</v>
      </c>
      <c r="G661" s="4">
        <v>0.54500000000000004</v>
      </c>
      <c r="H661" s="4">
        <v>0.45327102803738301</v>
      </c>
      <c r="I661" s="4">
        <v>0.90400000000000003</v>
      </c>
      <c r="J661" s="4">
        <v>0.85099999999999998</v>
      </c>
      <c r="K661" s="5">
        <v>100</v>
      </c>
      <c r="L661" s="5">
        <v>0</v>
      </c>
      <c r="M661" s="5">
        <v>100</v>
      </c>
      <c r="N661" s="5">
        <v>100</v>
      </c>
      <c r="O661" s="2">
        <v>0.60696948431889286</v>
      </c>
      <c r="P661" s="2">
        <v>0.79126503651846902</v>
      </c>
      <c r="Q661" s="2">
        <v>0.10092591858996053</v>
      </c>
      <c r="R661" s="2">
        <v>0.16134315040876293</v>
      </c>
    </row>
    <row r="662" spans="1:18" x14ac:dyDescent="0.3">
      <c r="A662" s="7">
        <v>257</v>
      </c>
      <c r="B662" s="7">
        <v>194</v>
      </c>
      <c r="C662" s="7">
        <v>0</v>
      </c>
      <c r="D662" s="7">
        <v>1</v>
      </c>
      <c r="E662" s="20" t="str">
        <f t="shared" si="10"/>
        <v>01</v>
      </c>
      <c r="F662" s="21">
        <v>0.61027972179225298</v>
      </c>
      <c r="G662" s="4">
        <v>0.50900000000000001</v>
      </c>
      <c r="H662" s="4">
        <v>0.37810945273631802</v>
      </c>
      <c r="I662" s="4">
        <v>9.2999999999999999E-2</v>
      </c>
      <c r="J662" s="4">
        <v>7.0999999999999994E-2</v>
      </c>
      <c r="K662" s="5">
        <v>100</v>
      </c>
      <c r="L662" s="5">
        <v>0</v>
      </c>
      <c r="M662" s="5">
        <v>0</v>
      </c>
      <c r="N662" s="5">
        <v>0</v>
      </c>
      <c r="O662" s="2">
        <v>0.67530726243161432</v>
      </c>
      <c r="P662" s="2">
        <v>0.97257156777274567</v>
      </c>
      <c r="Q662" s="2">
        <v>2.375155785828881</v>
      </c>
      <c r="R662" s="2">
        <v>2.6450754019408218</v>
      </c>
    </row>
    <row r="663" spans="1:18" x14ac:dyDescent="0.3">
      <c r="A663" s="7">
        <v>260</v>
      </c>
      <c r="B663" s="7">
        <v>175</v>
      </c>
      <c r="C663" s="7">
        <v>0</v>
      </c>
      <c r="D663" s="7">
        <v>1</v>
      </c>
      <c r="E663" s="20" t="str">
        <f t="shared" si="10"/>
        <v>01</v>
      </c>
      <c r="F663" s="21">
        <v>0.61253812188923795</v>
      </c>
      <c r="G663" s="4">
        <v>0.443</v>
      </c>
      <c r="H663" s="4">
        <v>0.378571428571429</v>
      </c>
      <c r="I663" s="4">
        <v>0.61899999999999999</v>
      </c>
      <c r="J663" s="4">
        <v>0.60599999999999998</v>
      </c>
      <c r="K663" s="5">
        <v>0</v>
      </c>
      <c r="L663" s="5">
        <v>0</v>
      </c>
      <c r="M663" s="5">
        <v>100</v>
      </c>
      <c r="N663" s="5">
        <v>100</v>
      </c>
      <c r="O663" s="2">
        <v>0.81418550893700137</v>
      </c>
      <c r="P663" s="2">
        <v>0.97135050905718134</v>
      </c>
      <c r="Q663" s="2">
        <v>0.47965000629754095</v>
      </c>
      <c r="R663" s="2">
        <v>0.50087529291282262</v>
      </c>
    </row>
    <row r="664" spans="1:18" x14ac:dyDescent="0.3">
      <c r="A664" s="7">
        <v>268</v>
      </c>
      <c r="B664" s="7">
        <v>186</v>
      </c>
      <c r="C664" s="7">
        <v>0</v>
      </c>
      <c r="D664" s="7">
        <v>1</v>
      </c>
      <c r="E664" s="20" t="str">
        <f t="shared" si="10"/>
        <v>01</v>
      </c>
      <c r="F664" s="21">
        <v>0.61465496192054303</v>
      </c>
      <c r="G664" s="4">
        <v>0.56299999999999994</v>
      </c>
      <c r="H664" s="4">
        <v>0.373595505617978</v>
      </c>
      <c r="I664" s="4">
        <v>0.54500000000000004</v>
      </c>
      <c r="J664" s="4">
        <v>0.504</v>
      </c>
      <c r="K664" s="5">
        <v>100</v>
      </c>
      <c r="L664" s="5">
        <v>0</v>
      </c>
      <c r="M664" s="5">
        <v>100</v>
      </c>
      <c r="N664" s="5">
        <v>100</v>
      </c>
      <c r="O664" s="2">
        <v>0.57447565084244678</v>
      </c>
      <c r="P664" s="2">
        <v>0.98458160263027539</v>
      </c>
      <c r="Q664" s="2">
        <v>0.60696948431889286</v>
      </c>
      <c r="R664" s="2">
        <v>0.68517901091076838</v>
      </c>
    </row>
    <row r="665" spans="1:18" x14ac:dyDescent="0.3">
      <c r="A665" s="7">
        <v>250</v>
      </c>
      <c r="B665" s="7">
        <v>397</v>
      </c>
      <c r="C665" s="7">
        <v>0</v>
      </c>
      <c r="D665" s="7">
        <v>1</v>
      </c>
      <c r="E665" s="20" t="str">
        <f t="shared" si="10"/>
        <v>01</v>
      </c>
      <c r="F665" s="21">
        <v>0.61944778037553505</v>
      </c>
      <c r="G665" s="4">
        <v>0.66</v>
      </c>
      <c r="H665" s="4">
        <v>0.49275362318840599</v>
      </c>
      <c r="I665" s="4">
        <v>0.58099999999999996</v>
      </c>
      <c r="J665" s="4">
        <v>0.68600000000000005</v>
      </c>
      <c r="K665" s="5">
        <v>100</v>
      </c>
      <c r="L665" s="5">
        <v>0</v>
      </c>
      <c r="M665" s="5">
        <v>100</v>
      </c>
      <c r="N665" s="5">
        <v>100</v>
      </c>
      <c r="O665" s="2">
        <v>0.41551544396166579</v>
      </c>
      <c r="P665" s="2">
        <v>0.70774597998109756</v>
      </c>
      <c r="Q665" s="2">
        <v>0.54300452213022588</v>
      </c>
      <c r="R665" s="2">
        <v>0.37687765125625172</v>
      </c>
    </row>
    <row r="666" spans="1:18" x14ac:dyDescent="0.3">
      <c r="A666" s="7">
        <v>230</v>
      </c>
      <c r="B666" s="7">
        <v>197</v>
      </c>
      <c r="C666" s="7">
        <v>0</v>
      </c>
      <c r="D666" s="7">
        <v>1</v>
      </c>
      <c r="E666" s="20" t="str">
        <f t="shared" si="10"/>
        <v>01</v>
      </c>
      <c r="F666" s="21">
        <v>0.62279964185361503</v>
      </c>
      <c r="G666" s="4">
        <v>0.58699999999999997</v>
      </c>
      <c r="H666" s="4">
        <v>0.43915343915343902</v>
      </c>
      <c r="I666" s="4">
        <v>0.95299999999999996</v>
      </c>
      <c r="J666" s="4">
        <v>0.88700000000000001</v>
      </c>
      <c r="K666" s="5">
        <v>100</v>
      </c>
      <c r="L666" s="5">
        <v>0</v>
      </c>
      <c r="M666" s="5">
        <v>100</v>
      </c>
      <c r="N666" s="5">
        <v>100</v>
      </c>
      <c r="O666" s="2">
        <v>0.53273045915404071</v>
      </c>
      <c r="P666" s="2">
        <v>0.82290640726304476</v>
      </c>
      <c r="Q666" s="2">
        <v>4.8140375327934984E-2</v>
      </c>
      <c r="R666" s="2">
        <v>0.11991029667255755</v>
      </c>
    </row>
    <row r="667" spans="1:18" x14ac:dyDescent="0.3">
      <c r="A667" s="7">
        <v>774</v>
      </c>
      <c r="B667" s="7">
        <v>173</v>
      </c>
      <c r="C667" s="7">
        <v>0</v>
      </c>
      <c r="D667" s="7">
        <v>1</v>
      </c>
      <c r="E667" s="20" t="str">
        <f t="shared" si="10"/>
        <v>01</v>
      </c>
      <c r="F667" s="21">
        <v>0.62715674750623995</v>
      </c>
      <c r="G667" s="4">
        <v>0.61699999999999999</v>
      </c>
      <c r="H667" s="4">
        <v>0.51058201058201103</v>
      </c>
      <c r="I667" s="4">
        <v>0.53500000000000003</v>
      </c>
      <c r="J667" s="4">
        <v>0.51</v>
      </c>
      <c r="K667" s="5">
        <v>100</v>
      </c>
      <c r="L667" s="5">
        <v>100</v>
      </c>
      <c r="M667" s="5">
        <v>100</v>
      </c>
      <c r="N667" s="5">
        <v>100</v>
      </c>
      <c r="O667" s="2">
        <v>0.48288625507674926</v>
      </c>
      <c r="P667" s="2">
        <v>0.67220400671470126</v>
      </c>
      <c r="Q667" s="2">
        <v>0.62548853208613042</v>
      </c>
      <c r="R667" s="2">
        <v>0.67334455326376563</v>
      </c>
    </row>
    <row r="668" spans="1:18" x14ac:dyDescent="0.3">
      <c r="A668" s="7">
        <v>19</v>
      </c>
      <c r="B668" s="7">
        <v>166</v>
      </c>
      <c r="C668" s="7">
        <v>0</v>
      </c>
      <c r="D668" s="7">
        <v>1</v>
      </c>
      <c r="E668" s="20" t="str">
        <f t="shared" si="10"/>
        <v>01</v>
      </c>
      <c r="F668" s="21">
        <v>0.63000600813162899</v>
      </c>
      <c r="G668" s="4">
        <v>0.443</v>
      </c>
      <c r="H668" s="4">
        <v>0.29040404040404</v>
      </c>
      <c r="I668" s="4">
        <v>0.10299999999999999</v>
      </c>
      <c r="J668" s="4">
        <v>9.8000000000000004E-2</v>
      </c>
      <c r="K668" s="5">
        <v>0</v>
      </c>
      <c r="L668" s="5">
        <v>0</v>
      </c>
      <c r="M668" s="5">
        <v>0</v>
      </c>
      <c r="N668" s="5">
        <v>0</v>
      </c>
      <c r="O668" s="2">
        <v>0.81418550893700137</v>
      </c>
      <c r="P668" s="2">
        <v>1.236482082891232</v>
      </c>
      <c r="Q668" s="2">
        <v>2.2730262907525014</v>
      </c>
      <c r="R668" s="2">
        <v>2.322787800311565</v>
      </c>
    </row>
    <row r="669" spans="1:18" x14ac:dyDescent="0.3">
      <c r="A669" s="7">
        <v>544</v>
      </c>
      <c r="B669" s="7">
        <v>165</v>
      </c>
      <c r="C669" s="7">
        <v>0</v>
      </c>
      <c r="D669" s="7">
        <v>1</v>
      </c>
      <c r="E669" s="20" t="str">
        <f t="shared" si="10"/>
        <v>01</v>
      </c>
      <c r="F669" s="21">
        <v>0.633757660595344</v>
      </c>
      <c r="G669" s="4">
        <v>0.443</v>
      </c>
      <c r="H669" s="4">
        <v>0.31094527363184099</v>
      </c>
      <c r="I669" s="4">
        <v>0.128</v>
      </c>
      <c r="J669" s="4">
        <v>0.106</v>
      </c>
      <c r="K669" s="5">
        <v>0</v>
      </c>
      <c r="L669" s="5">
        <v>0</v>
      </c>
      <c r="M669" s="5">
        <v>0</v>
      </c>
      <c r="N669" s="5">
        <v>0</v>
      </c>
      <c r="O669" s="2">
        <v>0.81418550893700137</v>
      </c>
      <c r="P669" s="2">
        <v>1.1681383513167194</v>
      </c>
      <c r="Q669" s="2">
        <v>2.0557250150625199</v>
      </c>
      <c r="R669" s="2">
        <v>2.2443161848700699</v>
      </c>
    </row>
    <row r="670" spans="1:18" x14ac:dyDescent="0.3">
      <c r="A670" s="7">
        <v>270</v>
      </c>
      <c r="B670" s="7">
        <v>158</v>
      </c>
      <c r="C670" s="7">
        <v>0</v>
      </c>
      <c r="D670" s="7">
        <v>1</v>
      </c>
      <c r="E670" s="20" t="str">
        <f t="shared" si="10"/>
        <v>01</v>
      </c>
      <c r="F670" s="21">
        <v>0.63553780060754705</v>
      </c>
      <c r="G670" s="4">
        <v>0.79300000000000004</v>
      </c>
      <c r="H670" s="4">
        <v>0.56273764258555103</v>
      </c>
      <c r="I670" s="4">
        <v>0.89100000000000001</v>
      </c>
      <c r="J670" s="4">
        <v>0.77900000000000003</v>
      </c>
      <c r="K670" s="5">
        <v>100</v>
      </c>
      <c r="L670" s="5">
        <v>100</v>
      </c>
      <c r="M670" s="5">
        <v>100</v>
      </c>
      <c r="N670" s="5">
        <v>100</v>
      </c>
      <c r="O670" s="2">
        <v>0.23193205734728903</v>
      </c>
      <c r="P670" s="2">
        <v>0.57494175841365003</v>
      </c>
      <c r="Q670" s="2">
        <v>0.11541085151132773</v>
      </c>
      <c r="R670" s="2">
        <v>0.24974423311138874</v>
      </c>
    </row>
    <row r="671" spans="1:18" x14ac:dyDescent="0.3">
      <c r="A671" s="7">
        <v>488</v>
      </c>
      <c r="B671" s="7">
        <v>150</v>
      </c>
      <c r="C671" s="7">
        <v>0</v>
      </c>
      <c r="D671" s="7">
        <v>1</v>
      </c>
      <c r="E671" s="20" t="str">
        <f t="shared" si="10"/>
        <v>01</v>
      </c>
      <c r="F671" s="21">
        <v>0.64306072535246495</v>
      </c>
      <c r="G671" s="4">
        <v>0.45400000000000001</v>
      </c>
      <c r="H671" s="4">
        <v>0.37962962962962998</v>
      </c>
      <c r="I671" s="4">
        <v>0.97199999999999998</v>
      </c>
      <c r="J671" s="4">
        <v>0.9</v>
      </c>
      <c r="K671" s="5">
        <v>0</v>
      </c>
      <c r="L671" s="5">
        <v>0</v>
      </c>
      <c r="M671" s="5">
        <v>100</v>
      </c>
      <c r="N671" s="5">
        <v>100</v>
      </c>
      <c r="O671" s="2">
        <v>0.78965808094078904</v>
      </c>
      <c r="P671" s="2">
        <v>0.96855916041991097</v>
      </c>
      <c r="Q671" s="2">
        <v>2.8399474521698002E-2</v>
      </c>
      <c r="R671" s="2">
        <v>0.10536051565782628</v>
      </c>
    </row>
    <row r="672" spans="1:18" x14ac:dyDescent="0.3">
      <c r="A672" s="7">
        <v>625</v>
      </c>
      <c r="B672" s="7">
        <v>165</v>
      </c>
      <c r="C672" s="7">
        <v>0</v>
      </c>
      <c r="D672" s="7">
        <v>1</v>
      </c>
      <c r="E672" s="20" t="str">
        <f t="shared" si="10"/>
        <v>01</v>
      </c>
      <c r="F672" s="21">
        <v>0.64411543423731998</v>
      </c>
      <c r="G672" s="4">
        <v>0.61499999999999999</v>
      </c>
      <c r="H672" s="4">
        <v>0.44235924932975901</v>
      </c>
      <c r="I672" s="4">
        <v>0.84799999999999998</v>
      </c>
      <c r="J672" s="4">
        <v>0.73899999999999999</v>
      </c>
      <c r="K672" s="5">
        <v>100</v>
      </c>
      <c r="L672" s="5">
        <v>0</v>
      </c>
      <c r="M672" s="5">
        <v>100</v>
      </c>
      <c r="N672" s="5">
        <v>100</v>
      </c>
      <c r="O672" s="2">
        <v>0.48613301117561919</v>
      </c>
      <c r="P672" s="2">
        <v>0.81563294574323431</v>
      </c>
      <c r="Q672" s="2">
        <v>0.16487464319023401</v>
      </c>
      <c r="R672" s="2">
        <v>0.30245735803393531</v>
      </c>
    </row>
    <row r="673" spans="1:18" x14ac:dyDescent="0.3">
      <c r="A673" s="7">
        <v>732</v>
      </c>
      <c r="B673" s="7">
        <v>162</v>
      </c>
      <c r="C673" s="7">
        <v>0</v>
      </c>
      <c r="D673" s="7">
        <v>1</v>
      </c>
      <c r="E673" s="20" t="str">
        <f t="shared" si="10"/>
        <v>01</v>
      </c>
      <c r="F673" s="21">
        <v>0.65723658677600905</v>
      </c>
      <c r="G673" s="4">
        <v>0.46500000000000002</v>
      </c>
      <c r="H673" s="4">
        <v>0.371764705882353</v>
      </c>
      <c r="I673" s="4">
        <v>0.90800000000000003</v>
      </c>
      <c r="J673" s="4">
        <v>0.89900000000000002</v>
      </c>
      <c r="K673" s="5">
        <v>0</v>
      </c>
      <c r="L673" s="5">
        <v>0</v>
      </c>
      <c r="M673" s="5">
        <v>100</v>
      </c>
      <c r="N673" s="5">
        <v>100</v>
      </c>
      <c r="O673" s="2">
        <v>0.7657178733947807</v>
      </c>
      <c r="P673" s="2">
        <v>0.98949413589744983</v>
      </c>
      <c r="Q673" s="2">
        <v>9.6510900380843728E-2</v>
      </c>
      <c r="R673" s="2">
        <v>0.10647224451051676</v>
      </c>
    </row>
    <row r="674" spans="1:18" x14ac:dyDescent="0.3">
      <c r="A674" s="7">
        <v>990</v>
      </c>
      <c r="B674" s="7">
        <v>170</v>
      </c>
      <c r="C674" s="7">
        <v>0</v>
      </c>
      <c r="D674" s="7">
        <v>1</v>
      </c>
      <c r="E674" s="20" t="str">
        <f t="shared" si="10"/>
        <v>01</v>
      </c>
      <c r="F674" s="21">
        <v>0.668862225712203</v>
      </c>
      <c r="G674" s="4">
        <v>0.57399999999999995</v>
      </c>
      <c r="H674" s="4">
        <v>0.39420289855072499</v>
      </c>
      <c r="I674" s="4">
        <v>0.60299999999999998</v>
      </c>
      <c r="J674" s="4">
        <v>0.55300000000000005</v>
      </c>
      <c r="K674" s="5">
        <v>100</v>
      </c>
      <c r="L674" s="5">
        <v>0</v>
      </c>
      <c r="M674" s="5">
        <v>100</v>
      </c>
      <c r="N674" s="5">
        <v>100</v>
      </c>
      <c r="O674" s="2">
        <v>0.55512588266257068</v>
      </c>
      <c r="P674" s="2">
        <v>0.93088953129530683</v>
      </c>
      <c r="Q674" s="2">
        <v>0.50583808225495164</v>
      </c>
      <c r="R674" s="2">
        <v>0.5923972774598022</v>
      </c>
    </row>
    <row r="675" spans="1:18" x14ac:dyDescent="0.3">
      <c r="A675" s="7">
        <v>689</v>
      </c>
      <c r="B675" s="7">
        <v>280</v>
      </c>
      <c r="C675" s="7">
        <v>0</v>
      </c>
      <c r="D675" s="7">
        <v>1</v>
      </c>
      <c r="E675" s="20" t="str">
        <f t="shared" si="10"/>
        <v>01</v>
      </c>
      <c r="F675" s="21">
        <v>0.67024927263272904</v>
      </c>
      <c r="G675" s="4">
        <v>0.46200000000000002</v>
      </c>
      <c r="H675" s="4">
        <v>0.35629453681710199</v>
      </c>
      <c r="I675" s="4">
        <v>0.114</v>
      </c>
      <c r="J675" s="4">
        <v>0.105</v>
      </c>
      <c r="K675" s="5">
        <v>0</v>
      </c>
      <c r="L675" s="5">
        <v>0</v>
      </c>
      <c r="M675" s="5">
        <v>0</v>
      </c>
      <c r="N675" s="5">
        <v>0</v>
      </c>
      <c r="O675" s="2">
        <v>0.77219038790039818</v>
      </c>
      <c r="P675" s="2">
        <v>1.0319975395861261</v>
      </c>
      <c r="Q675" s="2">
        <v>2.1715568305876416</v>
      </c>
      <c r="R675" s="2">
        <v>2.2537949288246137</v>
      </c>
    </row>
    <row r="676" spans="1:18" x14ac:dyDescent="0.3">
      <c r="A676" s="7">
        <v>899</v>
      </c>
      <c r="B676" s="7">
        <v>304</v>
      </c>
      <c r="C676" s="7">
        <v>0</v>
      </c>
      <c r="D676" s="7">
        <v>1</v>
      </c>
      <c r="E676" s="20" t="str">
        <f t="shared" si="10"/>
        <v>01</v>
      </c>
      <c r="F676" s="21">
        <v>0.67223900269324799</v>
      </c>
      <c r="G676" s="4">
        <v>0.34899999999999998</v>
      </c>
      <c r="H676" s="4">
        <v>0.32976445396145598</v>
      </c>
      <c r="I676" s="4">
        <v>0.53600000000000003</v>
      </c>
      <c r="J676" s="4">
        <v>0.48799999999999999</v>
      </c>
      <c r="K676" s="5">
        <v>0</v>
      </c>
      <c r="L676" s="5">
        <v>0</v>
      </c>
      <c r="M676" s="5">
        <v>100</v>
      </c>
      <c r="N676" s="5">
        <v>0</v>
      </c>
      <c r="O676" s="2">
        <v>1.05268335677971</v>
      </c>
      <c r="P676" s="2">
        <v>1.1093766552552684</v>
      </c>
      <c r="Q676" s="2">
        <v>0.62362111791133501</v>
      </c>
      <c r="R676" s="2">
        <v>0.71743987312898994</v>
      </c>
    </row>
    <row r="677" spans="1:18" x14ac:dyDescent="0.3">
      <c r="A677" s="7">
        <v>242</v>
      </c>
      <c r="B677" s="7">
        <v>145</v>
      </c>
      <c r="C677" s="7">
        <v>0</v>
      </c>
      <c r="D677" s="7">
        <v>1</v>
      </c>
      <c r="E677" s="20" t="str">
        <f t="shared" si="10"/>
        <v>01</v>
      </c>
      <c r="F677" s="21">
        <v>0.682234227111432</v>
      </c>
      <c r="G677" s="4">
        <v>0.84599999999999997</v>
      </c>
      <c r="H677" s="4">
        <v>0.67452830188679203</v>
      </c>
      <c r="I677" s="4">
        <v>0.93300000000000005</v>
      </c>
      <c r="J677" s="4">
        <v>0.85599999999999998</v>
      </c>
      <c r="K677" s="5">
        <v>100</v>
      </c>
      <c r="L677" s="5">
        <v>100</v>
      </c>
      <c r="M677" s="5">
        <v>100</v>
      </c>
      <c r="N677" s="5">
        <v>100</v>
      </c>
      <c r="O677" s="2">
        <v>0.16723591937591381</v>
      </c>
      <c r="P677" s="2">
        <v>0.3937416444121058</v>
      </c>
      <c r="Q677" s="2">
        <v>6.9350078134793172E-2</v>
      </c>
      <c r="R677" s="2">
        <v>0.15548490284039498</v>
      </c>
    </row>
    <row r="678" spans="1:18" x14ac:dyDescent="0.3">
      <c r="A678" s="7">
        <v>920</v>
      </c>
      <c r="B678" s="7">
        <v>171</v>
      </c>
      <c r="C678" s="7">
        <v>0</v>
      </c>
      <c r="D678" s="7">
        <v>1</v>
      </c>
      <c r="E678" s="20" t="str">
        <f t="shared" si="10"/>
        <v>01</v>
      </c>
      <c r="F678" s="21">
        <v>0.69444463227184094</v>
      </c>
      <c r="G678" s="4">
        <v>0.52600000000000002</v>
      </c>
      <c r="H678" s="4">
        <v>0.42739726027397301</v>
      </c>
      <c r="I678" s="4">
        <v>0.87</v>
      </c>
      <c r="J678" s="4">
        <v>0.873</v>
      </c>
      <c r="K678" s="5">
        <v>100</v>
      </c>
      <c r="L678" s="5">
        <v>0</v>
      </c>
      <c r="M678" s="5">
        <v>100</v>
      </c>
      <c r="N678" s="5">
        <v>100</v>
      </c>
      <c r="O678" s="2">
        <v>0.64245406624442714</v>
      </c>
      <c r="P678" s="2">
        <v>0.85004134633295347</v>
      </c>
      <c r="Q678" s="2">
        <v>0.13926206733350766</v>
      </c>
      <c r="R678" s="2">
        <v>0.13581972314253485</v>
      </c>
    </row>
    <row r="679" spans="1:18" x14ac:dyDescent="0.3">
      <c r="A679" s="7">
        <v>813</v>
      </c>
      <c r="B679" s="7">
        <v>153</v>
      </c>
      <c r="C679" s="7">
        <v>0</v>
      </c>
      <c r="D679" s="7">
        <v>1</v>
      </c>
      <c r="E679" s="20" t="str">
        <f t="shared" si="10"/>
        <v>01</v>
      </c>
      <c r="F679" s="21">
        <v>0.69691925078060701</v>
      </c>
      <c r="G679" s="4">
        <v>0.61299999999999999</v>
      </c>
      <c r="H679" s="4">
        <v>0.47683923705722098</v>
      </c>
      <c r="I679" s="4">
        <v>0.35299999999999998</v>
      </c>
      <c r="J679" s="4">
        <v>0.34</v>
      </c>
      <c r="K679" s="5">
        <v>100</v>
      </c>
      <c r="L679" s="5">
        <v>0</v>
      </c>
      <c r="M679" s="5">
        <v>0</v>
      </c>
      <c r="N679" s="5">
        <v>0</v>
      </c>
      <c r="O679" s="2">
        <v>0.48939034304592566</v>
      </c>
      <c r="P679" s="2">
        <v>0.74057587413105563</v>
      </c>
      <c r="Q679" s="2">
        <v>1.0412872220488403</v>
      </c>
      <c r="R679" s="2">
        <v>1.0788096613719298</v>
      </c>
    </row>
    <row r="680" spans="1:18" x14ac:dyDescent="0.3">
      <c r="A680" s="7">
        <v>357</v>
      </c>
      <c r="B680" s="7">
        <v>155</v>
      </c>
      <c r="C680" s="7">
        <v>0</v>
      </c>
      <c r="D680" s="7">
        <v>1</v>
      </c>
      <c r="E680" s="20" t="str">
        <f t="shared" si="10"/>
        <v>01</v>
      </c>
      <c r="F680" s="21">
        <v>0.69748050160365405</v>
      </c>
      <c r="G680" s="4">
        <v>0.624</v>
      </c>
      <c r="H680" s="4">
        <v>0.49575070821529699</v>
      </c>
      <c r="I680" s="4">
        <v>0.876</v>
      </c>
      <c r="J680" s="4">
        <v>0.79600000000000004</v>
      </c>
      <c r="K680" s="5">
        <v>100</v>
      </c>
      <c r="L680" s="5">
        <v>0</v>
      </c>
      <c r="M680" s="5">
        <v>100</v>
      </c>
      <c r="N680" s="5">
        <v>100</v>
      </c>
      <c r="O680" s="2">
        <v>0.47160491061270937</v>
      </c>
      <c r="P680" s="2">
        <v>0.70168208300978363</v>
      </c>
      <c r="Q680" s="2">
        <v>0.13238918804574562</v>
      </c>
      <c r="R680" s="2">
        <v>0.22815609313775398</v>
      </c>
    </row>
    <row r="681" spans="1:18" x14ac:dyDescent="0.3">
      <c r="A681" s="7">
        <v>348</v>
      </c>
      <c r="B681" s="7">
        <v>146</v>
      </c>
      <c r="C681" s="7">
        <v>0</v>
      </c>
      <c r="D681" s="7">
        <v>1</v>
      </c>
      <c r="E681" s="20" t="str">
        <f t="shared" si="10"/>
        <v>01</v>
      </c>
      <c r="F681" s="21">
        <v>0.70559402148856099</v>
      </c>
      <c r="G681" s="4">
        <v>0.78400000000000003</v>
      </c>
      <c r="H681" s="4">
        <v>0.61702127659574502</v>
      </c>
      <c r="I681" s="4">
        <v>0.96599999999999997</v>
      </c>
      <c r="J681" s="4">
        <v>0.90700000000000003</v>
      </c>
      <c r="K681" s="5">
        <v>100</v>
      </c>
      <c r="L681" s="5">
        <v>100</v>
      </c>
      <c r="M681" s="5">
        <v>100</v>
      </c>
      <c r="N681" s="5">
        <v>100</v>
      </c>
      <c r="O681" s="2">
        <v>0.24334625863172918</v>
      </c>
      <c r="P681" s="2">
        <v>0.48285177172358401</v>
      </c>
      <c r="Q681" s="2">
        <v>3.459144476961909E-2</v>
      </c>
      <c r="R681" s="2">
        <v>9.7612828867000415E-2</v>
      </c>
    </row>
    <row r="682" spans="1:18" x14ac:dyDescent="0.3">
      <c r="A682" s="7">
        <v>638</v>
      </c>
      <c r="B682" s="7">
        <v>162</v>
      </c>
      <c r="C682" s="7">
        <v>0</v>
      </c>
      <c r="D682" s="7">
        <v>1</v>
      </c>
      <c r="E682" s="20" t="str">
        <f t="shared" si="10"/>
        <v>01</v>
      </c>
      <c r="F682" s="21">
        <v>0.70854729503886305</v>
      </c>
      <c r="G682" s="4">
        <v>0.61299999999999999</v>
      </c>
      <c r="H682" s="4">
        <v>0.42499999999999999</v>
      </c>
      <c r="I682" s="4">
        <v>0.108</v>
      </c>
      <c r="J682" s="4">
        <v>0.109</v>
      </c>
      <c r="K682" s="5">
        <v>100</v>
      </c>
      <c r="L682" s="5">
        <v>0</v>
      </c>
      <c r="M682" s="5">
        <v>0</v>
      </c>
      <c r="N682" s="5">
        <v>0</v>
      </c>
      <c r="O682" s="2">
        <v>0.48939034304592566</v>
      </c>
      <c r="P682" s="2">
        <v>0.8556661100577202</v>
      </c>
      <c r="Q682" s="2">
        <v>2.2256240518579173</v>
      </c>
      <c r="R682" s="2">
        <v>2.2164073967529934</v>
      </c>
    </row>
    <row r="683" spans="1:18" x14ac:dyDescent="0.3">
      <c r="A683" s="7">
        <v>723</v>
      </c>
      <c r="B683" s="7">
        <v>158</v>
      </c>
      <c r="C683" s="7">
        <v>0</v>
      </c>
      <c r="D683" s="7">
        <v>1</v>
      </c>
      <c r="E683" s="20" t="str">
        <f t="shared" si="10"/>
        <v>01</v>
      </c>
      <c r="F683" s="21">
        <v>0.71739931205382101</v>
      </c>
      <c r="G683" s="4">
        <v>0.61499999999999999</v>
      </c>
      <c r="H683" s="4">
        <v>0.49071618037135301</v>
      </c>
      <c r="I683" s="4">
        <v>0.158</v>
      </c>
      <c r="J683" s="4">
        <v>0.13600000000000001</v>
      </c>
      <c r="K683" s="5">
        <v>100</v>
      </c>
      <c r="L683" s="5">
        <v>0</v>
      </c>
      <c r="M683" s="5">
        <v>0</v>
      </c>
      <c r="N683" s="5">
        <v>0</v>
      </c>
      <c r="O683" s="2">
        <v>0.48613301117561919</v>
      </c>
      <c r="P683" s="2">
        <v>0.71188936236968547</v>
      </c>
      <c r="Q683" s="2">
        <v>1.8451602459551701</v>
      </c>
      <c r="R683" s="2">
        <v>1.9951003932460849</v>
      </c>
    </row>
    <row r="684" spans="1:18" x14ac:dyDescent="0.3">
      <c r="A684" s="7">
        <v>674</v>
      </c>
      <c r="B684" s="7">
        <v>158</v>
      </c>
      <c r="C684" s="7">
        <v>0</v>
      </c>
      <c r="D684" s="7">
        <v>1</v>
      </c>
      <c r="E684" s="20" t="str">
        <f t="shared" si="10"/>
        <v>01</v>
      </c>
      <c r="F684" s="21">
        <v>0.72238331208679096</v>
      </c>
      <c r="G684" s="4">
        <v>0.67</v>
      </c>
      <c r="H684" s="4">
        <v>0.48064516129032298</v>
      </c>
      <c r="I684" s="4">
        <v>0.95299999999999996</v>
      </c>
      <c r="J684" s="4">
        <v>0.874</v>
      </c>
      <c r="K684" s="5">
        <v>100</v>
      </c>
      <c r="L684" s="5">
        <v>0</v>
      </c>
      <c r="M684" s="5">
        <v>100</v>
      </c>
      <c r="N684" s="5">
        <v>100</v>
      </c>
      <c r="O684" s="2">
        <v>0.40047756659712525</v>
      </c>
      <c r="P684" s="2">
        <v>0.73262599153373198</v>
      </c>
      <c r="Q684" s="2">
        <v>4.8140375327934984E-2</v>
      </c>
      <c r="R684" s="2">
        <v>0.13467490332660159</v>
      </c>
    </row>
    <row r="685" spans="1:18" x14ac:dyDescent="0.3">
      <c r="A685" s="7">
        <v>8</v>
      </c>
      <c r="B685" s="7">
        <v>268</v>
      </c>
      <c r="C685" s="7">
        <v>0</v>
      </c>
      <c r="D685" s="7">
        <v>1</v>
      </c>
      <c r="E685" s="20" t="str">
        <f t="shared" si="10"/>
        <v>01</v>
      </c>
      <c r="F685" s="21">
        <v>0.72699232027101501</v>
      </c>
      <c r="G685" s="4">
        <v>0.52400000000000002</v>
      </c>
      <c r="H685" s="4">
        <v>0.41707317073170702</v>
      </c>
      <c r="I685" s="4">
        <v>0.95299999999999996</v>
      </c>
      <c r="J685" s="4">
        <v>0.88400000000000001</v>
      </c>
      <c r="K685" s="5">
        <v>100</v>
      </c>
      <c r="L685" s="5">
        <v>0</v>
      </c>
      <c r="M685" s="5">
        <v>100</v>
      </c>
      <c r="N685" s="5">
        <v>100</v>
      </c>
      <c r="O685" s="2">
        <v>0.64626359466109484</v>
      </c>
      <c r="P685" s="2">
        <v>0.87449360319569436</v>
      </c>
      <c r="Q685" s="2">
        <v>4.8140375327934984E-2</v>
      </c>
      <c r="R685" s="2">
        <v>0.1232982163444936</v>
      </c>
    </row>
    <row r="686" spans="1:18" x14ac:dyDescent="0.3">
      <c r="A686" s="7">
        <v>968</v>
      </c>
      <c r="B686" s="7">
        <v>140</v>
      </c>
      <c r="C686" s="7">
        <v>0</v>
      </c>
      <c r="D686" s="7">
        <v>1</v>
      </c>
      <c r="E686" s="20" t="str">
        <f t="shared" si="10"/>
        <v>01</v>
      </c>
      <c r="F686" s="21">
        <v>0.72868721478583798</v>
      </c>
      <c r="G686" s="4">
        <v>0.49</v>
      </c>
      <c r="H686" s="4">
        <v>0.41079812206572802</v>
      </c>
      <c r="I686" s="4">
        <v>0.88500000000000001</v>
      </c>
      <c r="J686" s="4">
        <v>0.86199999999999999</v>
      </c>
      <c r="K686" s="5">
        <v>0</v>
      </c>
      <c r="L686" s="5">
        <v>0</v>
      </c>
      <c r="M686" s="5">
        <v>100</v>
      </c>
      <c r="N686" s="5">
        <v>100</v>
      </c>
      <c r="O686" s="2">
        <v>0.71334988787746478</v>
      </c>
      <c r="P686" s="2">
        <v>0.88965337234585562</v>
      </c>
      <c r="Q686" s="2">
        <v>0.12216763397420753</v>
      </c>
      <c r="R686" s="2">
        <v>0.14850000831844395</v>
      </c>
    </row>
    <row r="687" spans="1:18" x14ac:dyDescent="0.3">
      <c r="A687" s="7">
        <v>143</v>
      </c>
      <c r="B687" s="7">
        <v>146</v>
      </c>
      <c r="C687" s="7">
        <v>0</v>
      </c>
      <c r="D687" s="7">
        <v>1</v>
      </c>
      <c r="E687" s="20" t="str">
        <f t="shared" si="10"/>
        <v>01</v>
      </c>
      <c r="F687" s="21">
        <v>0.73295894104901604</v>
      </c>
      <c r="G687" s="4">
        <v>0.504</v>
      </c>
      <c r="H687" s="4">
        <v>0.462389380530973</v>
      </c>
      <c r="I687" s="4">
        <v>0.90900000000000003</v>
      </c>
      <c r="J687" s="4">
        <v>0.88900000000000001</v>
      </c>
      <c r="K687" s="5">
        <v>100</v>
      </c>
      <c r="L687" s="5">
        <v>0</v>
      </c>
      <c r="M687" s="5">
        <v>100</v>
      </c>
      <c r="N687" s="5">
        <v>100</v>
      </c>
      <c r="O687" s="2">
        <v>0.68517901091076838</v>
      </c>
      <c r="P687" s="2">
        <v>0.77134792786742112</v>
      </c>
      <c r="Q687" s="2">
        <v>9.5410184804658182E-2</v>
      </c>
      <c r="R687" s="2">
        <v>0.11765804346823246</v>
      </c>
    </row>
    <row r="688" spans="1:18" x14ac:dyDescent="0.3">
      <c r="A688" s="7">
        <v>894</v>
      </c>
      <c r="B688" s="7">
        <v>136</v>
      </c>
      <c r="C688" s="7">
        <v>0</v>
      </c>
      <c r="D688" s="7">
        <v>1</v>
      </c>
      <c r="E688" s="20" t="str">
        <f t="shared" si="10"/>
        <v>01</v>
      </c>
      <c r="F688" s="21">
        <v>0.73910484264367404</v>
      </c>
      <c r="G688" s="4">
        <v>0.54400000000000004</v>
      </c>
      <c r="H688" s="4">
        <v>0.35752688172043001</v>
      </c>
      <c r="I688" s="4">
        <v>0.91100000000000003</v>
      </c>
      <c r="J688" s="4">
        <v>0.80200000000000005</v>
      </c>
      <c r="K688" s="5">
        <v>100</v>
      </c>
      <c r="L688" s="5">
        <v>0</v>
      </c>
      <c r="M688" s="5">
        <v>100</v>
      </c>
      <c r="N688" s="5">
        <v>100</v>
      </c>
      <c r="O688" s="2">
        <v>0.60880603212619433</v>
      </c>
      <c r="P688" s="2">
        <v>1.0285447260513931</v>
      </c>
      <c r="Q688" s="2">
        <v>9.3212381722178703E-2</v>
      </c>
      <c r="R688" s="2">
        <v>0.2206466711156225</v>
      </c>
    </row>
    <row r="689" spans="1:18" x14ac:dyDescent="0.3">
      <c r="A689" s="7">
        <v>365</v>
      </c>
      <c r="B689" s="7">
        <v>164</v>
      </c>
      <c r="C689" s="7">
        <v>0</v>
      </c>
      <c r="D689" s="7">
        <v>1</v>
      </c>
      <c r="E689" s="20" t="str">
        <f t="shared" si="10"/>
        <v>01</v>
      </c>
      <c r="F689" s="21">
        <v>0.739343781294729</v>
      </c>
      <c r="G689" s="4">
        <v>0.38100000000000001</v>
      </c>
      <c r="H689" s="4">
        <v>0.30133928571428598</v>
      </c>
      <c r="I689" s="4">
        <v>0.89600000000000002</v>
      </c>
      <c r="J689" s="4">
        <v>0.89200000000000002</v>
      </c>
      <c r="K689" s="5">
        <v>0</v>
      </c>
      <c r="L689" s="5">
        <v>0</v>
      </c>
      <c r="M689" s="5">
        <v>100</v>
      </c>
      <c r="N689" s="5">
        <v>100</v>
      </c>
      <c r="O689" s="2">
        <v>0.96495590385543606</v>
      </c>
      <c r="P689" s="2">
        <v>1.1995184539765549</v>
      </c>
      <c r="Q689" s="2">
        <v>0.10981486600720657</v>
      </c>
      <c r="R689" s="2">
        <v>0.11428914640212766</v>
      </c>
    </row>
    <row r="690" spans="1:18" x14ac:dyDescent="0.3">
      <c r="A690" s="7">
        <v>426</v>
      </c>
      <c r="B690" s="7">
        <v>126</v>
      </c>
      <c r="C690" s="7">
        <v>0</v>
      </c>
      <c r="D690" s="7">
        <v>1</v>
      </c>
      <c r="E690" s="20" t="str">
        <f t="shared" si="10"/>
        <v>01</v>
      </c>
      <c r="F690" s="21">
        <v>0.741753094907874</v>
      </c>
      <c r="G690" s="4">
        <v>0.504</v>
      </c>
      <c r="H690" s="4">
        <v>0.42431761786600503</v>
      </c>
      <c r="I690" s="4">
        <v>0.90200000000000002</v>
      </c>
      <c r="J690" s="4">
        <v>0.83199999999999996</v>
      </c>
      <c r="K690" s="5">
        <v>100</v>
      </c>
      <c r="L690" s="5">
        <v>0</v>
      </c>
      <c r="M690" s="5">
        <v>100</v>
      </c>
      <c r="N690" s="5">
        <v>100</v>
      </c>
      <c r="O690" s="2">
        <v>0.68517901091076838</v>
      </c>
      <c r="P690" s="2">
        <v>0.85727300544402296</v>
      </c>
      <c r="Q690" s="2">
        <v>0.10314075891951337</v>
      </c>
      <c r="R690" s="2">
        <v>0.1839228381609285</v>
      </c>
    </row>
    <row r="691" spans="1:18" x14ac:dyDescent="0.3">
      <c r="A691" s="7">
        <v>743</v>
      </c>
      <c r="B691" s="7">
        <v>264</v>
      </c>
      <c r="C691" s="7">
        <v>0</v>
      </c>
      <c r="D691" s="7">
        <v>1</v>
      </c>
      <c r="E691" s="20" t="str">
        <f t="shared" si="10"/>
        <v>01</v>
      </c>
      <c r="F691" s="21">
        <v>0.76386933567440396</v>
      </c>
      <c r="G691" s="4">
        <v>0.45700000000000002</v>
      </c>
      <c r="H691" s="4">
        <v>0.36511627906976701</v>
      </c>
      <c r="I691" s="4">
        <v>0.89700000000000002</v>
      </c>
      <c r="J691" s="4">
        <v>0.90200000000000002</v>
      </c>
      <c r="K691" s="5">
        <v>0</v>
      </c>
      <c r="L691" s="5">
        <v>0</v>
      </c>
      <c r="M691" s="5">
        <v>100</v>
      </c>
      <c r="N691" s="5">
        <v>100</v>
      </c>
      <c r="O691" s="2">
        <v>0.78307188808793227</v>
      </c>
      <c r="P691" s="2">
        <v>1.0075394033393013</v>
      </c>
      <c r="Q691" s="2">
        <v>0.10869941692334091</v>
      </c>
      <c r="R691" s="2">
        <v>0.10314075891951337</v>
      </c>
    </row>
    <row r="692" spans="1:18" x14ac:dyDescent="0.3">
      <c r="A692" s="7">
        <v>33</v>
      </c>
      <c r="B692" s="7">
        <v>137</v>
      </c>
      <c r="C692" s="7">
        <v>0</v>
      </c>
      <c r="D692" s="7">
        <v>1</v>
      </c>
      <c r="E692" s="20" t="str">
        <f t="shared" si="10"/>
        <v>01</v>
      </c>
      <c r="F692" s="21">
        <v>0.76454338517801401</v>
      </c>
      <c r="G692" s="4">
        <v>0.40899999999999997</v>
      </c>
      <c r="H692" s="4">
        <v>0.31786542923433903</v>
      </c>
      <c r="I692" s="4">
        <v>0.88500000000000001</v>
      </c>
      <c r="J692" s="4">
        <v>0.88600000000000001</v>
      </c>
      <c r="K692" s="5">
        <v>0</v>
      </c>
      <c r="L692" s="5">
        <v>0</v>
      </c>
      <c r="M692" s="5">
        <v>100</v>
      </c>
      <c r="N692" s="5">
        <v>100</v>
      </c>
      <c r="O692" s="2">
        <v>0.89404012293933532</v>
      </c>
      <c r="P692" s="2">
        <v>1.1461271642756219</v>
      </c>
      <c r="Q692" s="2">
        <v>0.12216763397420753</v>
      </c>
      <c r="R692" s="2">
        <v>0.1210383283770561</v>
      </c>
    </row>
    <row r="693" spans="1:18" x14ac:dyDescent="0.3">
      <c r="A693" s="7">
        <v>395</v>
      </c>
      <c r="B693" s="7">
        <v>138</v>
      </c>
      <c r="C693" s="7">
        <v>0</v>
      </c>
      <c r="D693" s="7">
        <v>1</v>
      </c>
      <c r="E693" s="20" t="str">
        <f t="shared" si="10"/>
        <v>01</v>
      </c>
      <c r="F693" s="21">
        <v>0.76789952431388797</v>
      </c>
      <c r="G693" s="4">
        <v>0.61599999999999999</v>
      </c>
      <c r="H693" s="4">
        <v>0.48517520215633397</v>
      </c>
      <c r="I693" s="4">
        <v>0.93899999999999995</v>
      </c>
      <c r="J693" s="4">
        <v>0.89200000000000002</v>
      </c>
      <c r="K693" s="5">
        <v>100</v>
      </c>
      <c r="L693" s="5">
        <v>0</v>
      </c>
      <c r="M693" s="5">
        <v>100</v>
      </c>
      <c r="N693" s="5">
        <v>100</v>
      </c>
      <c r="O693" s="2">
        <v>0.48450831544861728</v>
      </c>
      <c r="P693" s="2">
        <v>0.72324521171722533</v>
      </c>
      <c r="Q693" s="2">
        <v>6.2939799773874205E-2</v>
      </c>
      <c r="R693" s="2">
        <v>0.11428914640212766</v>
      </c>
    </row>
    <row r="694" spans="1:18" x14ac:dyDescent="0.3">
      <c r="A694" s="7">
        <v>529</v>
      </c>
      <c r="B694" s="7">
        <v>125</v>
      </c>
      <c r="C694" s="7">
        <v>0</v>
      </c>
      <c r="D694" s="7">
        <v>1</v>
      </c>
      <c r="E694" s="20" t="str">
        <f t="shared" si="10"/>
        <v>01</v>
      </c>
      <c r="F694" s="21">
        <v>0.78447384098194695</v>
      </c>
      <c r="G694" s="4">
        <v>0.73699999999999999</v>
      </c>
      <c r="H694" s="4">
        <v>0.55910543130990398</v>
      </c>
      <c r="I694" s="4">
        <v>0.109</v>
      </c>
      <c r="J694" s="4">
        <v>0.107</v>
      </c>
      <c r="K694" s="5">
        <v>100</v>
      </c>
      <c r="L694" s="5">
        <v>100</v>
      </c>
      <c r="M694" s="5">
        <v>0</v>
      </c>
      <c r="N694" s="5">
        <v>0</v>
      </c>
      <c r="O694" s="2">
        <v>0.30516738679280048</v>
      </c>
      <c r="P694" s="2">
        <v>0.58141721661663948</v>
      </c>
      <c r="Q694" s="2">
        <v>2.2164073967529934</v>
      </c>
      <c r="R694" s="2">
        <v>2.234926444520231</v>
      </c>
    </row>
    <row r="695" spans="1:18" x14ac:dyDescent="0.3">
      <c r="A695" s="7">
        <v>332</v>
      </c>
      <c r="B695" s="7">
        <v>116</v>
      </c>
      <c r="C695" s="7">
        <v>0</v>
      </c>
      <c r="D695" s="7">
        <v>1</v>
      </c>
      <c r="E695" s="20" t="str">
        <f t="shared" si="10"/>
        <v>01</v>
      </c>
      <c r="F695" s="21">
        <v>0.78564645314751702</v>
      </c>
      <c r="G695" s="4">
        <v>0.52100000000000002</v>
      </c>
      <c r="H695" s="4">
        <v>0.42014742014742001</v>
      </c>
      <c r="I695" s="4">
        <v>0.95899999999999996</v>
      </c>
      <c r="J695" s="4">
        <v>0.85499999999999998</v>
      </c>
      <c r="K695" s="5">
        <v>100</v>
      </c>
      <c r="L695" s="5">
        <v>0</v>
      </c>
      <c r="M695" s="5">
        <v>100</v>
      </c>
      <c r="N695" s="5">
        <v>100</v>
      </c>
      <c r="O695" s="2">
        <v>0.65200523722877013</v>
      </c>
      <c r="P695" s="2">
        <v>0.86714962893993541</v>
      </c>
      <c r="Q695" s="2">
        <v>4.1864204098698871E-2</v>
      </c>
      <c r="R695" s="2">
        <v>0.15665381004537685</v>
      </c>
    </row>
    <row r="696" spans="1:18" x14ac:dyDescent="0.3">
      <c r="A696" s="7">
        <v>67</v>
      </c>
      <c r="B696" s="7">
        <v>136</v>
      </c>
      <c r="C696" s="7">
        <v>0</v>
      </c>
      <c r="D696" s="7">
        <v>1</v>
      </c>
      <c r="E696" s="20" t="str">
        <f t="shared" si="10"/>
        <v>01</v>
      </c>
      <c r="F696" s="21">
        <v>0.79619114066242902</v>
      </c>
      <c r="G696" s="4">
        <v>0.41099999999999998</v>
      </c>
      <c r="H696" s="4">
        <v>0.34966592427616899</v>
      </c>
      <c r="I696" s="4">
        <v>0.85599999999999998</v>
      </c>
      <c r="J696" s="4">
        <v>0.85499999999999998</v>
      </c>
      <c r="K696" s="5">
        <v>0</v>
      </c>
      <c r="L696" s="5">
        <v>0</v>
      </c>
      <c r="M696" s="5">
        <v>100</v>
      </c>
      <c r="N696" s="5">
        <v>100</v>
      </c>
      <c r="O696" s="2">
        <v>0.88916206448590251</v>
      </c>
      <c r="P696" s="2">
        <v>1.0507770823939471</v>
      </c>
      <c r="Q696" s="2">
        <v>0.15548490284039498</v>
      </c>
      <c r="R696" s="2">
        <v>0.15665381004537685</v>
      </c>
    </row>
    <row r="697" spans="1:18" x14ac:dyDescent="0.3">
      <c r="A697" s="7">
        <v>126</v>
      </c>
      <c r="B697" s="7">
        <v>130</v>
      </c>
      <c r="C697" s="7">
        <v>0</v>
      </c>
      <c r="D697" s="7">
        <v>1</v>
      </c>
      <c r="E697" s="20" t="str">
        <f t="shared" si="10"/>
        <v>01</v>
      </c>
      <c r="F697" s="21">
        <v>0.79787725639912099</v>
      </c>
      <c r="G697" s="4">
        <v>0.51</v>
      </c>
      <c r="H697" s="4">
        <v>0.37801608579088503</v>
      </c>
      <c r="I697" s="4">
        <v>0.95399999999999996</v>
      </c>
      <c r="J697" s="4">
        <v>0.875</v>
      </c>
      <c r="K697" s="5">
        <v>100</v>
      </c>
      <c r="L697" s="5">
        <v>0</v>
      </c>
      <c r="M697" s="5">
        <v>100</v>
      </c>
      <c r="N697" s="5">
        <v>100</v>
      </c>
      <c r="O697" s="2">
        <v>0.67334455326376563</v>
      </c>
      <c r="P697" s="2">
        <v>0.97281852926564649</v>
      </c>
      <c r="Q697" s="2">
        <v>4.7091607533850569E-2</v>
      </c>
      <c r="R697" s="2">
        <v>0.13353139262452263</v>
      </c>
    </row>
    <row r="698" spans="1:18" x14ac:dyDescent="0.3">
      <c r="A698" s="7">
        <v>499</v>
      </c>
      <c r="B698" s="7">
        <v>141</v>
      </c>
      <c r="C698" s="7">
        <v>0</v>
      </c>
      <c r="D698" s="7">
        <v>1</v>
      </c>
      <c r="E698" s="20" t="str">
        <f t="shared" si="10"/>
        <v>01</v>
      </c>
      <c r="F698" s="21">
        <v>0.80248958830189399</v>
      </c>
      <c r="G698" s="4">
        <v>0.40899999999999997</v>
      </c>
      <c r="H698" s="4">
        <v>0.33181818181818201</v>
      </c>
      <c r="I698" s="4">
        <v>0.67300000000000004</v>
      </c>
      <c r="J698" s="4">
        <v>0.61299999999999999</v>
      </c>
      <c r="K698" s="5">
        <v>0</v>
      </c>
      <c r="L698" s="5">
        <v>0</v>
      </c>
      <c r="M698" s="5">
        <v>100</v>
      </c>
      <c r="N698" s="5">
        <v>100</v>
      </c>
      <c r="O698" s="2">
        <v>0.89404012293933532</v>
      </c>
      <c r="P698" s="2">
        <v>1.1031681052039699</v>
      </c>
      <c r="Q698" s="2">
        <v>0.39600994933740918</v>
      </c>
      <c r="R698" s="2">
        <v>0.48939034304592566</v>
      </c>
    </row>
    <row r="699" spans="1:18" x14ac:dyDescent="0.3">
      <c r="A699" s="7">
        <v>512</v>
      </c>
      <c r="B699" s="7">
        <v>115</v>
      </c>
      <c r="C699" s="7">
        <v>0</v>
      </c>
      <c r="D699" s="7">
        <v>1</v>
      </c>
      <c r="E699" s="20" t="str">
        <f t="shared" si="10"/>
        <v>01</v>
      </c>
      <c r="F699" s="21">
        <v>0.80982553818541303</v>
      </c>
      <c r="G699" s="4">
        <v>0.67900000000000005</v>
      </c>
      <c r="H699" s="4">
        <v>0.51304347826087005</v>
      </c>
      <c r="I699" s="4">
        <v>0.76600000000000001</v>
      </c>
      <c r="J699" s="4">
        <v>0.68200000000000005</v>
      </c>
      <c r="K699" s="5">
        <v>100</v>
      </c>
      <c r="L699" s="5">
        <v>100</v>
      </c>
      <c r="M699" s="5">
        <v>100</v>
      </c>
      <c r="N699" s="5">
        <v>100</v>
      </c>
      <c r="O699" s="2">
        <v>0.38713415142344088</v>
      </c>
      <c r="P699" s="2">
        <v>0.6673946844575297</v>
      </c>
      <c r="Q699" s="2">
        <v>0.26657310924154576</v>
      </c>
      <c r="R699" s="2">
        <v>0.38272562113867487</v>
      </c>
    </row>
    <row r="700" spans="1:18" x14ac:dyDescent="0.3">
      <c r="A700" s="7">
        <v>589</v>
      </c>
      <c r="B700" s="7">
        <v>243</v>
      </c>
      <c r="C700" s="7">
        <v>0</v>
      </c>
      <c r="D700" s="7">
        <v>1</v>
      </c>
      <c r="E700" s="20" t="str">
        <f t="shared" si="10"/>
        <v>01</v>
      </c>
      <c r="F700" s="21">
        <v>0.814764121451096</v>
      </c>
      <c r="G700" s="4">
        <v>0.48099999999999998</v>
      </c>
      <c r="H700" s="4">
        <v>0.374117647058824</v>
      </c>
      <c r="I700" s="4">
        <v>0.96599999999999997</v>
      </c>
      <c r="J700" s="4">
        <v>0.93700000000000006</v>
      </c>
      <c r="K700" s="5">
        <v>0</v>
      </c>
      <c r="L700" s="5">
        <v>0</v>
      </c>
      <c r="M700" s="5">
        <v>100</v>
      </c>
      <c r="N700" s="5">
        <v>100</v>
      </c>
      <c r="O700" s="2">
        <v>0.73188800887637595</v>
      </c>
      <c r="P700" s="2">
        <v>0.98318496670418409</v>
      </c>
      <c r="Q700" s="2">
        <v>3.459144476961909E-2</v>
      </c>
      <c r="R700" s="2">
        <v>6.5071996743714805E-2</v>
      </c>
    </row>
    <row r="701" spans="1:18" x14ac:dyDescent="0.3">
      <c r="A701" s="7">
        <v>879</v>
      </c>
      <c r="B701" s="7">
        <v>92</v>
      </c>
      <c r="C701" s="7">
        <v>0</v>
      </c>
      <c r="D701" s="7">
        <v>1</v>
      </c>
      <c r="E701" s="20" t="str">
        <f t="shared" si="10"/>
        <v>01</v>
      </c>
      <c r="F701" s="21">
        <v>0.81836307484874904</v>
      </c>
      <c r="G701" s="4">
        <v>0.60699999999999998</v>
      </c>
      <c r="H701" s="4">
        <v>0.422343324250681</v>
      </c>
      <c r="I701" s="4">
        <v>0.93700000000000006</v>
      </c>
      <c r="J701" s="4">
        <v>0.81200000000000006</v>
      </c>
      <c r="K701" s="5">
        <v>100</v>
      </c>
      <c r="L701" s="5">
        <v>0</v>
      </c>
      <c r="M701" s="5">
        <v>100</v>
      </c>
      <c r="N701" s="5">
        <v>100</v>
      </c>
      <c r="O701" s="2">
        <v>0.4992264879226388</v>
      </c>
      <c r="P701" s="2">
        <v>0.8619367311353241</v>
      </c>
      <c r="Q701" s="2">
        <v>6.5071996743714805E-2</v>
      </c>
      <c r="R701" s="2">
        <v>0.20825493882045903</v>
      </c>
    </row>
    <row r="702" spans="1:18" x14ac:dyDescent="0.3">
      <c r="A702" s="7">
        <v>624</v>
      </c>
      <c r="B702" s="7">
        <v>118</v>
      </c>
      <c r="C702" s="7">
        <v>0</v>
      </c>
      <c r="D702" s="7">
        <v>1</v>
      </c>
      <c r="E702" s="20" t="str">
        <f t="shared" si="10"/>
        <v>01</v>
      </c>
      <c r="F702" s="21">
        <v>0.82335949069811598</v>
      </c>
      <c r="G702" s="4">
        <v>0.65800000000000003</v>
      </c>
      <c r="H702" s="4">
        <v>0.51404494382022503</v>
      </c>
      <c r="I702" s="4">
        <v>0.36199999999999999</v>
      </c>
      <c r="J702" s="4">
        <v>0.33</v>
      </c>
      <c r="K702" s="5">
        <v>100</v>
      </c>
      <c r="L702" s="5">
        <v>100</v>
      </c>
      <c r="M702" s="5">
        <v>0</v>
      </c>
      <c r="N702" s="5">
        <v>0</v>
      </c>
      <c r="O702" s="2">
        <v>0.41855034765681981</v>
      </c>
      <c r="P702" s="2">
        <v>0.66544457801060886</v>
      </c>
      <c r="Q702" s="2">
        <v>1.016111067156366</v>
      </c>
      <c r="R702" s="2">
        <v>1.1086626245216111</v>
      </c>
    </row>
    <row r="703" spans="1:18" x14ac:dyDescent="0.3">
      <c r="A703" s="7">
        <v>921</v>
      </c>
      <c r="B703" s="7">
        <v>130</v>
      </c>
      <c r="C703" s="7">
        <v>0</v>
      </c>
      <c r="D703" s="7">
        <v>1</v>
      </c>
      <c r="E703" s="20" t="str">
        <f t="shared" si="10"/>
        <v>01</v>
      </c>
      <c r="F703" s="21">
        <v>0.82688591816388302</v>
      </c>
      <c r="G703" s="4">
        <v>0.66</v>
      </c>
      <c r="H703" s="4">
        <v>0.57027027027027</v>
      </c>
      <c r="I703" s="4">
        <v>0.20499999999999999</v>
      </c>
      <c r="J703" s="4">
        <v>0.22900000000000001</v>
      </c>
      <c r="K703" s="5">
        <v>100</v>
      </c>
      <c r="L703" s="5">
        <v>100</v>
      </c>
      <c r="M703" s="5">
        <v>0</v>
      </c>
      <c r="N703" s="5">
        <v>0</v>
      </c>
      <c r="O703" s="2">
        <v>0.41551544396166579</v>
      </c>
      <c r="P703" s="2">
        <v>0.56164487216220416</v>
      </c>
      <c r="Q703" s="2">
        <v>1.584745299843729</v>
      </c>
      <c r="R703" s="2">
        <v>1.4740332754278973</v>
      </c>
    </row>
    <row r="704" spans="1:18" x14ac:dyDescent="0.3">
      <c r="A704" s="7">
        <v>281</v>
      </c>
      <c r="B704" s="7">
        <v>123</v>
      </c>
      <c r="C704" s="7">
        <v>0</v>
      </c>
      <c r="D704" s="7">
        <v>1</v>
      </c>
      <c r="E704" s="20" t="str">
        <f t="shared" si="10"/>
        <v>01</v>
      </c>
      <c r="F704" s="21">
        <v>0.83147259428763798</v>
      </c>
      <c r="G704" s="4">
        <v>0.56299999999999994</v>
      </c>
      <c r="H704" s="4">
        <v>0.43193717277486898</v>
      </c>
      <c r="I704" s="4">
        <v>0.94299999999999995</v>
      </c>
      <c r="J704" s="4">
        <v>0.86399999999999999</v>
      </c>
      <c r="K704" s="5">
        <v>100</v>
      </c>
      <c r="L704" s="5">
        <v>0</v>
      </c>
      <c r="M704" s="5">
        <v>100</v>
      </c>
      <c r="N704" s="5">
        <v>100</v>
      </c>
      <c r="O704" s="2">
        <v>0.57447565084244678</v>
      </c>
      <c r="P704" s="2">
        <v>0.83947513470599489</v>
      </c>
      <c r="Q704" s="2">
        <v>5.8688996348679613E-2</v>
      </c>
      <c r="R704" s="2">
        <v>0.14618251017808145</v>
      </c>
    </row>
    <row r="705" spans="1:18" x14ac:dyDescent="0.3">
      <c r="A705" s="7">
        <v>131</v>
      </c>
      <c r="B705" s="7">
        <v>110</v>
      </c>
      <c r="C705" s="7">
        <v>0</v>
      </c>
      <c r="D705" s="7">
        <v>1</v>
      </c>
      <c r="E705" s="20" t="str">
        <f t="shared" si="10"/>
        <v>01</v>
      </c>
      <c r="F705" s="21">
        <v>0.842120798295249</v>
      </c>
      <c r="G705" s="4">
        <v>0.58199999999999996</v>
      </c>
      <c r="H705" s="4">
        <v>0.43989071038251398</v>
      </c>
      <c r="I705" s="4">
        <v>0.90400000000000003</v>
      </c>
      <c r="J705" s="4">
        <v>0.83399999999999996</v>
      </c>
      <c r="K705" s="5">
        <v>100</v>
      </c>
      <c r="L705" s="5">
        <v>0</v>
      </c>
      <c r="M705" s="5">
        <v>100</v>
      </c>
      <c r="N705" s="5">
        <v>100</v>
      </c>
      <c r="O705" s="2">
        <v>0.54128483125069926</v>
      </c>
      <c r="P705" s="2">
        <v>0.82122896841690252</v>
      </c>
      <c r="Q705" s="2">
        <v>0.10092591858996053</v>
      </c>
      <c r="R705" s="2">
        <v>0.18152187662339034</v>
      </c>
    </row>
    <row r="706" spans="1:18" x14ac:dyDescent="0.3">
      <c r="A706" s="7">
        <v>561</v>
      </c>
      <c r="B706" s="7">
        <v>124</v>
      </c>
      <c r="C706" s="7">
        <v>0</v>
      </c>
      <c r="D706" s="7">
        <v>1</v>
      </c>
      <c r="E706" s="20" t="str">
        <f t="shared" ref="E706:E769" si="11">_xlfn.CONCAT(C706,D706)</f>
        <v>01</v>
      </c>
      <c r="F706" s="21">
        <v>0.84445075715753803</v>
      </c>
      <c r="G706" s="4">
        <v>0.77100000000000002</v>
      </c>
      <c r="H706" s="4">
        <v>0.65798045602605904</v>
      </c>
      <c r="I706" s="4">
        <v>0.93799999999999994</v>
      </c>
      <c r="J706" s="4">
        <v>0.87</v>
      </c>
      <c r="K706" s="5">
        <v>100</v>
      </c>
      <c r="L706" s="5">
        <v>100</v>
      </c>
      <c r="M706" s="5">
        <v>100</v>
      </c>
      <c r="N706" s="5">
        <v>100</v>
      </c>
      <c r="O706" s="2">
        <v>0.26006690541880756</v>
      </c>
      <c r="P706" s="2">
        <v>0.41858005018599176</v>
      </c>
      <c r="Q706" s="2">
        <v>6.4005329975912434E-2</v>
      </c>
      <c r="R706" s="2">
        <v>0.13926206733350766</v>
      </c>
    </row>
    <row r="707" spans="1:18" x14ac:dyDescent="0.3">
      <c r="A707" s="7">
        <v>574</v>
      </c>
      <c r="B707" s="7">
        <v>116</v>
      </c>
      <c r="C707" s="7">
        <v>0</v>
      </c>
      <c r="D707" s="7">
        <v>1</v>
      </c>
      <c r="E707" s="20" t="str">
        <f t="shared" si="11"/>
        <v>01</v>
      </c>
      <c r="F707" s="21">
        <v>0.84785773683362697</v>
      </c>
      <c r="G707" s="4">
        <v>0.66800000000000004</v>
      </c>
      <c r="H707" s="4">
        <v>0.47987616099071201</v>
      </c>
      <c r="I707" s="4">
        <v>0.93500000000000005</v>
      </c>
      <c r="J707" s="4">
        <v>0.85199999999999998</v>
      </c>
      <c r="K707" s="5">
        <v>100</v>
      </c>
      <c r="L707" s="5">
        <v>0</v>
      </c>
      <c r="M707" s="5">
        <v>100</v>
      </c>
      <c r="N707" s="5">
        <v>100</v>
      </c>
      <c r="O707" s="2">
        <v>0.40346710544549125</v>
      </c>
      <c r="P707" s="2">
        <v>0.7342272063034101</v>
      </c>
      <c r="Q707" s="2">
        <v>6.720874969344999E-2</v>
      </c>
      <c r="R707" s="2">
        <v>0.16016875215282134</v>
      </c>
    </row>
    <row r="708" spans="1:18" x14ac:dyDescent="0.3">
      <c r="A708" s="7">
        <v>60</v>
      </c>
      <c r="B708" s="7">
        <v>115</v>
      </c>
      <c r="C708" s="7">
        <v>0</v>
      </c>
      <c r="D708" s="7">
        <v>1</v>
      </c>
      <c r="E708" s="20" t="str">
        <f t="shared" si="11"/>
        <v>01</v>
      </c>
      <c r="F708" s="21">
        <v>0.85487332804023497</v>
      </c>
      <c r="G708" s="4">
        <v>0.39200000000000002</v>
      </c>
      <c r="H708" s="4">
        <v>0.317016317016317</v>
      </c>
      <c r="I708" s="4">
        <v>0.89</v>
      </c>
      <c r="J708" s="4">
        <v>0.84</v>
      </c>
      <c r="K708" s="5">
        <v>0</v>
      </c>
      <c r="L708" s="5">
        <v>0</v>
      </c>
      <c r="M708" s="5">
        <v>100</v>
      </c>
      <c r="N708" s="5">
        <v>100</v>
      </c>
      <c r="O708" s="2">
        <v>0.93649343919167449</v>
      </c>
      <c r="P708" s="2">
        <v>1.1488020331919651</v>
      </c>
      <c r="Q708" s="2">
        <v>0.11653381625595151</v>
      </c>
      <c r="R708" s="2">
        <v>0.1743533871447778</v>
      </c>
    </row>
    <row r="709" spans="1:18" x14ac:dyDescent="0.3">
      <c r="A709" s="7">
        <v>351</v>
      </c>
      <c r="B709" s="7">
        <v>111</v>
      </c>
      <c r="C709" s="7">
        <v>0</v>
      </c>
      <c r="D709" s="7">
        <v>1</v>
      </c>
      <c r="E709" s="20" t="str">
        <f t="shared" si="11"/>
        <v>01</v>
      </c>
      <c r="F709" s="21">
        <v>0.85551344044373201</v>
      </c>
      <c r="G709" s="4">
        <v>0.55200000000000005</v>
      </c>
      <c r="H709" s="4">
        <v>0.42268041237113402</v>
      </c>
      <c r="I709" s="4">
        <v>0.90200000000000002</v>
      </c>
      <c r="J709" s="4">
        <v>0.88400000000000001</v>
      </c>
      <c r="K709" s="5">
        <v>100</v>
      </c>
      <c r="L709" s="5">
        <v>0</v>
      </c>
      <c r="M709" s="5">
        <v>100</v>
      </c>
      <c r="N709" s="5">
        <v>100</v>
      </c>
      <c r="O709" s="2">
        <v>0.59420723270504161</v>
      </c>
      <c r="P709" s="2">
        <v>0.86113891179907498</v>
      </c>
      <c r="Q709" s="2">
        <v>0.10314075891951337</v>
      </c>
      <c r="R709" s="2">
        <v>0.1232982163444936</v>
      </c>
    </row>
    <row r="710" spans="1:18" x14ac:dyDescent="0.3">
      <c r="A710" s="7">
        <v>135</v>
      </c>
      <c r="B710" s="7">
        <v>100</v>
      </c>
      <c r="C710" s="7">
        <v>0</v>
      </c>
      <c r="D710" s="7">
        <v>1</v>
      </c>
      <c r="E710" s="20" t="str">
        <f t="shared" si="11"/>
        <v>01</v>
      </c>
      <c r="F710" s="21">
        <v>0.85810585272912199</v>
      </c>
      <c r="G710" s="4">
        <v>0.63400000000000001</v>
      </c>
      <c r="H710" s="4">
        <v>0.54615384615384599</v>
      </c>
      <c r="I710" s="4">
        <v>0.91500000000000004</v>
      </c>
      <c r="J710" s="4">
        <v>0.84399999999999997</v>
      </c>
      <c r="K710" s="5">
        <v>100</v>
      </c>
      <c r="L710" s="5">
        <v>100</v>
      </c>
      <c r="M710" s="5">
        <v>100</v>
      </c>
      <c r="N710" s="5">
        <v>100</v>
      </c>
      <c r="O710" s="2">
        <v>0.45570632454491111</v>
      </c>
      <c r="P710" s="2">
        <v>0.60485457341426729</v>
      </c>
      <c r="Q710" s="2">
        <v>8.8831213706615703E-2</v>
      </c>
      <c r="R710" s="2">
        <v>0.16960278438617998</v>
      </c>
    </row>
    <row r="711" spans="1:18" x14ac:dyDescent="0.3">
      <c r="A711" s="7">
        <v>50</v>
      </c>
      <c r="B711" s="7">
        <v>128</v>
      </c>
      <c r="C711" s="7">
        <v>0</v>
      </c>
      <c r="D711" s="7">
        <v>1</v>
      </c>
      <c r="E711" s="20" t="str">
        <f t="shared" si="11"/>
        <v>01</v>
      </c>
      <c r="F711" s="21">
        <v>0.865873613234731</v>
      </c>
      <c r="G711" s="4">
        <v>0.48299999999999998</v>
      </c>
      <c r="H711" s="4">
        <v>0.37019230769230799</v>
      </c>
      <c r="I711" s="4">
        <v>0.35099999999999998</v>
      </c>
      <c r="J711" s="4">
        <v>0.41899999999999998</v>
      </c>
      <c r="K711" s="5">
        <v>0</v>
      </c>
      <c r="L711" s="5">
        <v>0</v>
      </c>
      <c r="M711" s="5">
        <v>0</v>
      </c>
      <c r="N711" s="5">
        <v>0</v>
      </c>
      <c r="O711" s="2">
        <v>0.72773862532956435</v>
      </c>
      <c r="P711" s="2">
        <v>0.99373265784763332</v>
      </c>
      <c r="Q711" s="2">
        <v>1.0469690555162714</v>
      </c>
      <c r="R711" s="2">
        <v>0.86988435905999939</v>
      </c>
    </row>
    <row r="712" spans="1:18" x14ac:dyDescent="0.3">
      <c r="A712" s="7">
        <v>264</v>
      </c>
      <c r="B712" s="7">
        <v>105</v>
      </c>
      <c r="C712" s="7">
        <v>0</v>
      </c>
      <c r="D712" s="7">
        <v>1</v>
      </c>
      <c r="E712" s="20" t="str">
        <f t="shared" si="11"/>
        <v>01</v>
      </c>
      <c r="F712" s="21">
        <v>0.86707336446682204</v>
      </c>
      <c r="G712" s="4">
        <v>0.58699999999999997</v>
      </c>
      <c r="H712" s="4">
        <v>0.41758241758241799</v>
      </c>
      <c r="I712" s="4">
        <v>0.94299999999999995</v>
      </c>
      <c r="J712" s="4">
        <v>0.83099999999999996</v>
      </c>
      <c r="K712" s="5">
        <v>100</v>
      </c>
      <c r="L712" s="5">
        <v>0</v>
      </c>
      <c r="M712" s="5">
        <v>100</v>
      </c>
      <c r="N712" s="5">
        <v>100</v>
      </c>
      <c r="O712" s="2">
        <v>0.53273045915404071</v>
      </c>
      <c r="P712" s="2">
        <v>0.87327334679046331</v>
      </c>
      <c r="Q712" s="2">
        <v>5.8688996348679613E-2</v>
      </c>
      <c r="R712" s="2">
        <v>0.18512548412668892</v>
      </c>
    </row>
    <row r="713" spans="1:18" x14ac:dyDescent="0.3">
      <c r="A713" s="7">
        <v>40</v>
      </c>
      <c r="B713" s="7">
        <v>84</v>
      </c>
      <c r="C713" s="7">
        <v>0</v>
      </c>
      <c r="D713" s="7">
        <v>1</v>
      </c>
      <c r="E713" s="20" t="str">
        <f t="shared" si="11"/>
        <v>01</v>
      </c>
      <c r="F713" s="21">
        <v>0.87014490008902101</v>
      </c>
      <c r="G713" s="4">
        <v>0.67</v>
      </c>
      <c r="H713" s="4">
        <v>0.49849849849849798</v>
      </c>
      <c r="I713" s="4">
        <v>0.92200000000000004</v>
      </c>
      <c r="J713" s="4">
        <v>0.83199999999999996</v>
      </c>
      <c r="K713" s="5">
        <v>100</v>
      </c>
      <c r="L713" s="5">
        <v>0</v>
      </c>
      <c r="M713" s="5">
        <v>100</v>
      </c>
      <c r="N713" s="5">
        <v>100</v>
      </c>
      <c r="O713" s="2">
        <v>0.40047756659712525</v>
      </c>
      <c r="P713" s="2">
        <v>0.69615470162390169</v>
      </c>
      <c r="Q713" s="2">
        <v>8.1210055425543173E-2</v>
      </c>
      <c r="R713" s="2">
        <v>0.1839228381609285</v>
      </c>
    </row>
    <row r="714" spans="1:18" x14ac:dyDescent="0.3">
      <c r="A714" s="7">
        <v>102</v>
      </c>
      <c r="B714" s="7">
        <v>104</v>
      </c>
      <c r="C714" s="7">
        <v>0</v>
      </c>
      <c r="D714" s="7">
        <v>1</v>
      </c>
      <c r="E714" s="20" t="str">
        <f t="shared" si="11"/>
        <v>01</v>
      </c>
      <c r="F714" s="21">
        <v>0.87432649023336395</v>
      </c>
      <c r="G714" s="4">
        <v>0.59699999999999998</v>
      </c>
      <c r="H714" s="4">
        <v>0.42485549132947997</v>
      </c>
      <c r="I714" s="4">
        <v>0.95499999999999996</v>
      </c>
      <c r="J714" s="4">
        <v>0.92400000000000004</v>
      </c>
      <c r="K714" s="5">
        <v>100</v>
      </c>
      <c r="L714" s="5">
        <v>0</v>
      </c>
      <c r="M714" s="5">
        <v>100</v>
      </c>
      <c r="N714" s="5">
        <v>100</v>
      </c>
      <c r="O714" s="2">
        <v>0.51583816558953499</v>
      </c>
      <c r="P714" s="2">
        <v>0.85600618827898745</v>
      </c>
      <c r="Q714" s="2">
        <v>4.6043938501406846E-2</v>
      </c>
      <c r="R714" s="2">
        <v>7.9043207340452851E-2</v>
      </c>
    </row>
    <row r="715" spans="1:18" x14ac:dyDescent="0.3">
      <c r="A715" s="7">
        <v>473</v>
      </c>
      <c r="B715" s="7">
        <v>112</v>
      </c>
      <c r="C715" s="7">
        <v>0</v>
      </c>
      <c r="D715" s="7">
        <v>1</v>
      </c>
      <c r="E715" s="20" t="str">
        <f t="shared" si="11"/>
        <v>01</v>
      </c>
      <c r="F715" s="21">
        <v>0.88179577385281904</v>
      </c>
      <c r="G715" s="4">
        <v>0.63500000000000001</v>
      </c>
      <c r="H715" s="4">
        <v>0.45808383233532901</v>
      </c>
      <c r="I715" s="4">
        <v>0.94</v>
      </c>
      <c r="J715" s="4">
        <v>0.86899999999999999</v>
      </c>
      <c r="K715" s="5">
        <v>100</v>
      </c>
      <c r="L715" s="5">
        <v>0</v>
      </c>
      <c r="M715" s="5">
        <v>100</v>
      </c>
      <c r="N715" s="5">
        <v>100</v>
      </c>
      <c r="O715" s="2">
        <v>0.45413028008944539</v>
      </c>
      <c r="P715" s="2">
        <v>0.78070307158426566</v>
      </c>
      <c r="Q715" s="2">
        <v>6.1875403718087529E-2</v>
      </c>
      <c r="R715" s="2">
        <v>0.14041215371674501</v>
      </c>
    </row>
    <row r="716" spans="1:18" x14ac:dyDescent="0.3">
      <c r="A716" s="7">
        <v>801</v>
      </c>
      <c r="B716" s="7">
        <v>304</v>
      </c>
      <c r="C716" s="7">
        <v>0</v>
      </c>
      <c r="D716" s="7">
        <v>1</v>
      </c>
      <c r="E716" s="20" t="str">
        <f t="shared" si="11"/>
        <v>01</v>
      </c>
      <c r="F716" s="21">
        <v>0.897956281681487</v>
      </c>
      <c r="G716" s="4">
        <v>0.73499999999999999</v>
      </c>
      <c r="H716" s="4">
        <v>0.57692307692307698</v>
      </c>
      <c r="I716" s="4">
        <v>0.93799999999999994</v>
      </c>
      <c r="J716" s="4">
        <v>0.84599999999999997</v>
      </c>
      <c r="K716" s="5">
        <v>100</v>
      </c>
      <c r="L716" s="5">
        <v>100</v>
      </c>
      <c r="M716" s="5">
        <v>100</v>
      </c>
      <c r="N716" s="5">
        <v>100</v>
      </c>
      <c r="O716" s="2">
        <v>0.3078847797693004</v>
      </c>
      <c r="P716" s="2">
        <v>0.55004633691927185</v>
      </c>
      <c r="Q716" s="2">
        <v>6.4005329975912434E-2</v>
      </c>
      <c r="R716" s="2">
        <v>0.16723591937591381</v>
      </c>
    </row>
    <row r="717" spans="1:18" x14ac:dyDescent="0.3">
      <c r="A717" s="7">
        <v>522</v>
      </c>
      <c r="B717" s="7">
        <v>105</v>
      </c>
      <c r="C717" s="7">
        <v>0</v>
      </c>
      <c r="D717" s="7">
        <v>1</v>
      </c>
      <c r="E717" s="20" t="str">
        <f t="shared" si="11"/>
        <v>01</v>
      </c>
      <c r="F717" s="21">
        <v>0.92401369352370699</v>
      </c>
      <c r="G717" s="4">
        <v>0.40899999999999997</v>
      </c>
      <c r="H717" s="4">
        <v>0.338028169014085</v>
      </c>
      <c r="I717" s="4">
        <v>0.152</v>
      </c>
      <c r="J717" s="4">
        <v>0.14099999999999999</v>
      </c>
      <c r="K717" s="5">
        <v>0</v>
      </c>
      <c r="L717" s="5">
        <v>0</v>
      </c>
      <c r="M717" s="5">
        <v>0</v>
      </c>
      <c r="N717" s="5">
        <v>0</v>
      </c>
      <c r="O717" s="2">
        <v>0.89404012293933532</v>
      </c>
      <c r="P717" s="2">
        <v>1.0846260466933684</v>
      </c>
      <c r="Q717" s="2">
        <v>1.8838747581358606</v>
      </c>
      <c r="R717" s="2">
        <v>1.9589953886039688</v>
      </c>
    </row>
    <row r="718" spans="1:18" x14ac:dyDescent="0.3">
      <c r="A718" s="7">
        <v>866</v>
      </c>
      <c r="B718" s="7">
        <v>95</v>
      </c>
      <c r="C718" s="7">
        <v>0</v>
      </c>
      <c r="D718" s="7">
        <v>1</v>
      </c>
      <c r="E718" s="20" t="str">
        <f t="shared" si="11"/>
        <v>01</v>
      </c>
      <c r="F718" s="21">
        <v>0.92447017765376005</v>
      </c>
      <c r="G718" s="4">
        <v>0.64200000000000002</v>
      </c>
      <c r="H718" s="4">
        <v>0.53203342618384397</v>
      </c>
      <c r="I718" s="4">
        <v>0.92</v>
      </c>
      <c r="J718" s="4">
        <v>0.82099999999999995</v>
      </c>
      <c r="K718" s="5">
        <v>100</v>
      </c>
      <c r="L718" s="5">
        <v>100</v>
      </c>
      <c r="M718" s="5">
        <v>100</v>
      </c>
      <c r="N718" s="5">
        <v>100</v>
      </c>
      <c r="O718" s="2">
        <v>0.44316697529217586</v>
      </c>
      <c r="P718" s="2">
        <v>0.63104896044164904</v>
      </c>
      <c r="Q718" s="2">
        <v>8.3381608939051013E-2</v>
      </c>
      <c r="R718" s="2">
        <v>0.1972321695297089</v>
      </c>
    </row>
    <row r="719" spans="1:18" x14ac:dyDescent="0.3">
      <c r="A719" s="7">
        <v>865</v>
      </c>
      <c r="B719" s="7">
        <v>103</v>
      </c>
      <c r="C719" s="7">
        <v>0</v>
      </c>
      <c r="D719" s="7">
        <v>1</v>
      </c>
      <c r="E719" s="20" t="str">
        <f t="shared" si="11"/>
        <v>01</v>
      </c>
      <c r="F719" s="21">
        <v>0.92483028335572304</v>
      </c>
      <c r="G719" s="4">
        <v>0.59399999999999997</v>
      </c>
      <c r="H719" s="4">
        <v>0.441176470588235</v>
      </c>
      <c r="I719" s="4">
        <v>0.93400000000000005</v>
      </c>
      <c r="J719" s="4">
        <v>0.83599999999999997</v>
      </c>
      <c r="K719" s="5">
        <v>100</v>
      </c>
      <c r="L719" s="5">
        <v>0</v>
      </c>
      <c r="M719" s="5">
        <v>100</v>
      </c>
      <c r="N719" s="5">
        <v>100</v>
      </c>
      <c r="O719" s="2">
        <v>0.52087595961949218</v>
      </c>
      <c r="P719" s="2">
        <v>0.81831032351395194</v>
      </c>
      <c r="Q719" s="2">
        <v>6.8278840753294379E-2</v>
      </c>
      <c r="R719" s="2">
        <v>0.17912666589743548</v>
      </c>
    </row>
    <row r="720" spans="1:18" x14ac:dyDescent="0.3">
      <c r="A720" s="7">
        <v>166</v>
      </c>
      <c r="B720" s="7">
        <v>100</v>
      </c>
      <c r="C720" s="7">
        <v>0</v>
      </c>
      <c r="D720" s="7">
        <v>1</v>
      </c>
      <c r="E720" s="20" t="str">
        <f t="shared" si="11"/>
        <v>01</v>
      </c>
      <c r="F720" s="21">
        <v>0.93495610791494599</v>
      </c>
      <c r="G720" s="4">
        <v>0.505</v>
      </c>
      <c r="H720" s="4">
        <v>0.34036939313984199</v>
      </c>
      <c r="I720" s="4">
        <v>0.97299999999999998</v>
      </c>
      <c r="J720" s="4">
        <v>0.94499999999999995</v>
      </c>
      <c r="K720" s="5">
        <v>100</v>
      </c>
      <c r="L720" s="5">
        <v>0</v>
      </c>
      <c r="M720" s="5">
        <v>100</v>
      </c>
      <c r="N720" s="5">
        <v>100</v>
      </c>
      <c r="O720" s="2">
        <v>0.68319684970677719</v>
      </c>
      <c r="P720" s="2">
        <v>1.0777238007207532</v>
      </c>
      <c r="Q720" s="2">
        <v>2.7371196796132015E-2</v>
      </c>
      <c r="R720" s="2">
        <v>5.6570351488394351E-2</v>
      </c>
    </row>
    <row r="721" spans="1:18" x14ac:dyDescent="0.3">
      <c r="A721" s="7">
        <v>891</v>
      </c>
      <c r="B721" s="7">
        <v>97</v>
      </c>
      <c r="C721" s="7">
        <v>0</v>
      </c>
      <c r="D721" s="7">
        <v>1</v>
      </c>
      <c r="E721" s="20" t="str">
        <f t="shared" si="11"/>
        <v>01</v>
      </c>
      <c r="F721" s="21">
        <v>0.93694076572816398</v>
      </c>
      <c r="G721" s="4">
        <v>0.48199999999999998</v>
      </c>
      <c r="H721" s="4">
        <v>0.35114503816793902</v>
      </c>
      <c r="I721" s="4">
        <v>0.91400000000000003</v>
      </c>
      <c r="J721" s="4">
        <v>0.8</v>
      </c>
      <c r="K721" s="5">
        <v>0</v>
      </c>
      <c r="L721" s="5">
        <v>0</v>
      </c>
      <c r="M721" s="5">
        <v>100</v>
      </c>
      <c r="N721" s="5">
        <v>100</v>
      </c>
      <c r="O721" s="2">
        <v>0.72981116493153675</v>
      </c>
      <c r="P721" s="2">
        <v>1.0465559267120563</v>
      </c>
      <c r="Q721" s="2">
        <v>8.9924707527987008E-2</v>
      </c>
      <c r="R721" s="2">
        <v>0.22314355131420971</v>
      </c>
    </row>
    <row r="722" spans="1:18" x14ac:dyDescent="0.3">
      <c r="A722" s="7">
        <v>189</v>
      </c>
      <c r="B722" s="7">
        <v>91</v>
      </c>
      <c r="C722" s="7">
        <v>0</v>
      </c>
      <c r="D722" s="7">
        <v>1</v>
      </c>
      <c r="E722" s="20" t="str">
        <f t="shared" si="11"/>
        <v>01</v>
      </c>
      <c r="F722" s="21">
        <v>0.94226903519875005</v>
      </c>
      <c r="G722" s="4">
        <v>0.54800000000000004</v>
      </c>
      <c r="H722" s="4">
        <v>0.42199488491048598</v>
      </c>
      <c r="I722" s="4">
        <v>0.92800000000000005</v>
      </c>
      <c r="J722" s="4">
        <v>0.86899999999999999</v>
      </c>
      <c r="K722" s="5">
        <v>100</v>
      </c>
      <c r="L722" s="5">
        <v>0</v>
      </c>
      <c r="M722" s="5">
        <v>100</v>
      </c>
      <c r="N722" s="5">
        <v>100</v>
      </c>
      <c r="O722" s="2">
        <v>0.60147999203412139</v>
      </c>
      <c r="P722" s="2">
        <v>0.86276208608478511</v>
      </c>
      <c r="Q722" s="2">
        <v>7.4723546195936422E-2</v>
      </c>
      <c r="R722" s="2">
        <v>0.14041215371674501</v>
      </c>
    </row>
    <row r="723" spans="1:18" x14ac:dyDescent="0.3">
      <c r="A723" s="7">
        <v>12</v>
      </c>
      <c r="B723" s="7">
        <v>99</v>
      </c>
      <c r="C723" s="7">
        <v>0</v>
      </c>
      <c r="D723" s="7">
        <v>1</v>
      </c>
      <c r="E723" s="20" t="str">
        <f t="shared" si="11"/>
        <v>01</v>
      </c>
      <c r="F723" s="21">
        <v>0.96141341926548396</v>
      </c>
      <c r="G723" s="4">
        <v>0.52900000000000003</v>
      </c>
      <c r="H723" s="4">
        <v>0.40049751243781101</v>
      </c>
      <c r="I723" s="4">
        <v>0.86399999999999999</v>
      </c>
      <c r="J723" s="4">
        <v>0.83699999999999997</v>
      </c>
      <c r="K723" s="5">
        <v>100</v>
      </c>
      <c r="L723" s="5">
        <v>0</v>
      </c>
      <c r="M723" s="5">
        <v>100</v>
      </c>
      <c r="N723" s="5">
        <v>100</v>
      </c>
      <c r="O723" s="2">
        <v>0.63676684712383758</v>
      </c>
      <c r="P723" s="2">
        <v>0.91504772363455789</v>
      </c>
      <c r="Q723" s="2">
        <v>0.14618251017808145</v>
      </c>
      <c r="R723" s="2">
        <v>0.17793120849266178</v>
      </c>
    </row>
    <row r="724" spans="1:18" x14ac:dyDescent="0.3">
      <c r="A724" s="7">
        <v>56</v>
      </c>
      <c r="B724" s="7">
        <v>100</v>
      </c>
      <c r="C724" s="7">
        <v>0</v>
      </c>
      <c r="D724" s="7">
        <v>1</v>
      </c>
      <c r="E724" s="20" t="str">
        <f t="shared" si="11"/>
        <v>01</v>
      </c>
      <c r="F724" s="21">
        <v>0.96364649514637002</v>
      </c>
      <c r="G724" s="4">
        <v>0.76800000000000002</v>
      </c>
      <c r="H724" s="4">
        <v>0.62751677852348997</v>
      </c>
      <c r="I724" s="4">
        <v>0.92500000000000004</v>
      </c>
      <c r="J724" s="4">
        <v>0.81599999999999995</v>
      </c>
      <c r="K724" s="5">
        <v>100</v>
      </c>
      <c r="L724" s="5">
        <v>100</v>
      </c>
      <c r="M724" s="5">
        <v>100</v>
      </c>
      <c r="N724" s="5">
        <v>100</v>
      </c>
      <c r="O724" s="2">
        <v>0.26396554583446485</v>
      </c>
      <c r="P724" s="2">
        <v>0.46598486965081776</v>
      </c>
      <c r="Q724" s="2">
        <v>7.7961541469711806E-2</v>
      </c>
      <c r="R724" s="2">
        <v>0.20334092401803011</v>
      </c>
    </row>
    <row r="725" spans="1:18" x14ac:dyDescent="0.3">
      <c r="A725" s="7">
        <v>298</v>
      </c>
      <c r="B725" s="7">
        <v>102</v>
      </c>
      <c r="C725" s="7">
        <v>0</v>
      </c>
      <c r="D725" s="7">
        <v>1</v>
      </c>
      <c r="E725" s="20" t="str">
        <f t="shared" si="11"/>
        <v>01</v>
      </c>
      <c r="F725" s="21">
        <v>0.97348201598614104</v>
      </c>
      <c r="G725" s="4">
        <v>0.80400000000000005</v>
      </c>
      <c r="H725" s="4">
        <v>0.67128027681660896</v>
      </c>
      <c r="I725" s="4">
        <v>0.16500000000000001</v>
      </c>
      <c r="J725" s="4">
        <v>0.16</v>
      </c>
      <c r="K725" s="5">
        <v>100</v>
      </c>
      <c r="L725" s="5">
        <v>100</v>
      </c>
      <c r="M725" s="5">
        <v>0</v>
      </c>
      <c r="N725" s="5">
        <v>0</v>
      </c>
      <c r="O725" s="2">
        <v>0.21815600980317063</v>
      </c>
      <c r="P725" s="2">
        <v>0.39856852904910411</v>
      </c>
      <c r="Q725" s="2">
        <v>1.8018098050815563</v>
      </c>
      <c r="R725" s="2">
        <v>1.8325814637483102</v>
      </c>
    </row>
    <row r="726" spans="1:18" x14ac:dyDescent="0.3">
      <c r="A726" s="7">
        <v>602</v>
      </c>
      <c r="B726" s="7">
        <v>100</v>
      </c>
      <c r="C726" s="7">
        <v>0</v>
      </c>
      <c r="D726" s="7">
        <v>1</v>
      </c>
      <c r="E726" s="20" t="str">
        <f t="shared" si="11"/>
        <v>01</v>
      </c>
      <c r="F726" s="21">
        <v>0.98697590452699002</v>
      </c>
      <c r="G726" s="4">
        <v>0.37</v>
      </c>
      <c r="H726" s="4">
        <v>0.29767441860465099</v>
      </c>
      <c r="I726" s="4">
        <v>0.81</v>
      </c>
      <c r="J726" s="4">
        <v>0.72399999999999998</v>
      </c>
      <c r="K726" s="5">
        <v>0</v>
      </c>
      <c r="L726" s="5">
        <v>0</v>
      </c>
      <c r="M726" s="5">
        <v>100</v>
      </c>
      <c r="N726" s="5">
        <v>100</v>
      </c>
      <c r="O726" s="2">
        <v>0.9942522733438669</v>
      </c>
      <c r="P726" s="2">
        <v>1.2117549447679916</v>
      </c>
      <c r="Q726" s="2">
        <v>0.21072103131565253</v>
      </c>
      <c r="R726" s="2">
        <v>0.32296388659642072</v>
      </c>
    </row>
    <row r="727" spans="1:18" x14ac:dyDescent="0.3">
      <c r="A727" s="7">
        <v>207</v>
      </c>
      <c r="B727" s="7">
        <v>90</v>
      </c>
      <c r="C727" s="7">
        <v>0</v>
      </c>
      <c r="D727" s="7">
        <v>1</v>
      </c>
      <c r="E727" s="20" t="str">
        <f t="shared" si="11"/>
        <v>01</v>
      </c>
      <c r="F727" s="21">
        <v>0.98845361779002505</v>
      </c>
      <c r="G727" s="4">
        <v>0.73199999999999998</v>
      </c>
      <c r="H727" s="4">
        <v>0.59663865546218497</v>
      </c>
      <c r="I727" s="4">
        <v>0.23499999999999999</v>
      </c>
      <c r="J727" s="4">
        <v>0.183</v>
      </c>
      <c r="K727" s="5">
        <v>100</v>
      </c>
      <c r="L727" s="5">
        <v>100</v>
      </c>
      <c r="M727" s="5">
        <v>0</v>
      </c>
      <c r="N727" s="5">
        <v>0</v>
      </c>
      <c r="O727" s="2">
        <v>0.3119747650208255</v>
      </c>
      <c r="P727" s="2">
        <v>0.51644361607021383</v>
      </c>
      <c r="Q727" s="2">
        <v>1.4481697648379781</v>
      </c>
      <c r="R727" s="2">
        <v>1.6982691261407161</v>
      </c>
    </row>
    <row r="728" spans="1:18" x14ac:dyDescent="0.3">
      <c r="A728" s="7">
        <v>794</v>
      </c>
      <c r="B728" s="7">
        <v>88</v>
      </c>
      <c r="C728" s="7">
        <v>0</v>
      </c>
      <c r="D728" s="7">
        <v>1</v>
      </c>
      <c r="E728" s="20" t="str">
        <f t="shared" si="11"/>
        <v>01</v>
      </c>
      <c r="F728" s="21">
        <v>0.99302521048189596</v>
      </c>
      <c r="G728" s="4">
        <v>0.71</v>
      </c>
      <c r="H728" s="4">
        <v>0.587209302325581</v>
      </c>
      <c r="I728" s="4">
        <v>0.34100000000000003</v>
      </c>
      <c r="J728" s="4">
        <v>0.27900000000000003</v>
      </c>
      <c r="K728" s="5">
        <v>100</v>
      </c>
      <c r="L728" s="5">
        <v>100</v>
      </c>
      <c r="M728" s="5">
        <v>0</v>
      </c>
      <c r="N728" s="5">
        <v>0</v>
      </c>
      <c r="O728" s="2">
        <v>0.34249030894677601</v>
      </c>
      <c r="P728" s="2">
        <v>0.53237395997219428</v>
      </c>
      <c r="Q728" s="2">
        <v>1.0758728016986201</v>
      </c>
      <c r="R728" s="2">
        <v>1.2765434971607714</v>
      </c>
    </row>
    <row r="729" spans="1:18" x14ac:dyDescent="0.3">
      <c r="A729" s="7">
        <v>152</v>
      </c>
      <c r="B729" s="7">
        <v>81</v>
      </c>
      <c r="C729" s="7">
        <v>0</v>
      </c>
      <c r="D729" s="7">
        <v>1</v>
      </c>
      <c r="E729" s="20" t="str">
        <f t="shared" si="11"/>
        <v>01</v>
      </c>
      <c r="F729" s="21">
        <v>1.0202204438860201</v>
      </c>
      <c r="G729" s="4">
        <v>0.51800000000000002</v>
      </c>
      <c r="H729" s="4">
        <v>0.386243386243386</v>
      </c>
      <c r="I729" s="4">
        <v>0.84599999999999997</v>
      </c>
      <c r="J729" s="4">
        <v>0.78300000000000003</v>
      </c>
      <c r="K729" s="5">
        <v>100</v>
      </c>
      <c r="L729" s="5">
        <v>0</v>
      </c>
      <c r="M729" s="5">
        <v>100</v>
      </c>
      <c r="N729" s="5">
        <v>100</v>
      </c>
      <c r="O729" s="2">
        <v>0.65778003672265395</v>
      </c>
      <c r="P729" s="2">
        <v>0.95128757391125185</v>
      </c>
      <c r="Q729" s="2">
        <v>0.16723591937591381</v>
      </c>
      <c r="R729" s="2">
        <v>0.24462258299133391</v>
      </c>
    </row>
    <row r="730" spans="1:18" x14ac:dyDescent="0.3">
      <c r="A730" s="7">
        <v>434</v>
      </c>
      <c r="B730" s="7">
        <v>82</v>
      </c>
      <c r="C730" s="7">
        <v>0</v>
      </c>
      <c r="D730" s="7">
        <v>1</v>
      </c>
      <c r="E730" s="20" t="str">
        <f t="shared" si="11"/>
        <v>01</v>
      </c>
      <c r="F730" s="21">
        <v>1.0222491564693701</v>
      </c>
      <c r="G730" s="4">
        <v>0.64700000000000002</v>
      </c>
      <c r="H730" s="4">
        <v>0.54871794871794899</v>
      </c>
      <c r="I730" s="4">
        <v>0.79500000000000004</v>
      </c>
      <c r="J730" s="4">
        <v>0.749</v>
      </c>
      <c r="K730" s="5">
        <v>100</v>
      </c>
      <c r="L730" s="5">
        <v>100</v>
      </c>
      <c r="M730" s="5">
        <v>100</v>
      </c>
      <c r="N730" s="5">
        <v>100</v>
      </c>
      <c r="O730" s="2">
        <v>0.43540898448123644</v>
      </c>
      <c r="P730" s="2">
        <v>0.60017072410184014</v>
      </c>
      <c r="Q730" s="2">
        <v>0.22941316432780509</v>
      </c>
      <c r="R730" s="2">
        <v>0.28901629546491758</v>
      </c>
    </row>
    <row r="731" spans="1:18" x14ac:dyDescent="0.3">
      <c r="A731" s="7">
        <v>1</v>
      </c>
      <c r="B731" s="7">
        <v>95</v>
      </c>
      <c r="C731" s="7">
        <v>0</v>
      </c>
      <c r="D731" s="7">
        <v>1</v>
      </c>
      <c r="E731" s="20" t="str">
        <f t="shared" si="11"/>
        <v>01</v>
      </c>
      <c r="F731" s="21">
        <v>1.02738984647612</v>
      </c>
      <c r="G731" s="4">
        <v>0.47599999999999998</v>
      </c>
      <c r="H731" s="4">
        <v>0.34634146341463401</v>
      </c>
      <c r="I731" s="4">
        <v>0.121</v>
      </c>
      <c r="J731" s="4">
        <v>0.13100000000000001</v>
      </c>
      <c r="K731" s="5">
        <v>0</v>
      </c>
      <c r="L731" s="5">
        <v>0</v>
      </c>
      <c r="M731" s="5">
        <v>0</v>
      </c>
      <c r="N731" s="5">
        <v>0</v>
      </c>
      <c r="O731" s="2">
        <v>0.74233742475071707</v>
      </c>
      <c r="P731" s="2">
        <v>1.0603301020970932</v>
      </c>
      <c r="Q731" s="2">
        <v>2.1119647333853959</v>
      </c>
      <c r="R731" s="2">
        <v>2.0325579557809856</v>
      </c>
    </row>
    <row r="732" spans="1:18" x14ac:dyDescent="0.3">
      <c r="A732" s="7">
        <v>52</v>
      </c>
      <c r="B732" s="7">
        <v>71</v>
      </c>
      <c r="C732" s="7">
        <v>0</v>
      </c>
      <c r="D732" s="7">
        <v>1</v>
      </c>
      <c r="E732" s="20" t="str">
        <f t="shared" si="11"/>
        <v>01</v>
      </c>
      <c r="F732" s="21">
        <v>1.0313036973240699</v>
      </c>
      <c r="G732" s="4">
        <v>0.49399999999999999</v>
      </c>
      <c r="H732" s="4">
        <v>0.34036939313984199</v>
      </c>
      <c r="I732" s="4">
        <v>0.89500000000000002</v>
      </c>
      <c r="J732" s="4">
        <v>0.80200000000000005</v>
      </c>
      <c r="K732" s="5">
        <v>0</v>
      </c>
      <c r="L732" s="5">
        <v>0</v>
      </c>
      <c r="M732" s="5">
        <v>100</v>
      </c>
      <c r="N732" s="5">
        <v>100</v>
      </c>
      <c r="O732" s="2">
        <v>0.70521976179421453</v>
      </c>
      <c r="P732" s="2">
        <v>1.0777238007207532</v>
      </c>
      <c r="Q732" s="2">
        <v>0.11093156070728166</v>
      </c>
      <c r="R732" s="2">
        <v>0.2206466711156225</v>
      </c>
    </row>
    <row r="733" spans="1:18" x14ac:dyDescent="0.3">
      <c r="A733" s="7">
        <v>605</v>
      </c>
      <c r="B733" s="7">
        <v>85</v>
      </c>
      <c r="C733" s="7">
        <v>0</v>
      </c>
      <c r="D733" s="7">
        <v>1</v>
      </c>
      <c r="E733" s="20" t="str">
        <f t="shared" si="11"/>
        <v>01</v>
      </c>
      <c r="F733" s="21">
        <v>1.03474340602982</v>
      </c>
      <c r="G733" s="4">
        <v>0.59199999999999997</v>
      </c>
      <c r="H733" s="4">
        <v>0.42215568862275399</v>
      </c>
      <c r="I733" s="4">
        <v>0.64500000000000002</v>
      </c>
      <c r="J733" s="4">
        <v>0.47899999999999998</v>
      </c>
      <c r="K733" s="5">
        <v>100</v>
      </c>
      <c r="L733" s="5">
        <v>0</v>
      </c>
      <c r="M733" s="5">
        <v>100</v>
      </c>
      <c r="N733" s="5">
        <v>0</v>
      </c>
      <c r="O733" s="2">
        <v>0.52424864409813143</v>
      </c>
      <c r="P733" s="2">
        <v>0.86238110259853329</v>
      </c>
      <c r="Q733" s="2">
        <v>0.43850496218636453</v>
      </c>
      <c r="R733" s="2">
        <v>0.73605468157122189</v>
      </c>
    </row>
    <row r="734" spans="1:18" x14ac:dyDescent="0.3">
      <c r="A734" s="7">
        <v>852</v>
      </c>
      <c r="B734" s="7">
        <v>76</v>
      </c>
      <c r="C734" s="7">
        <v>0</v>
      </c>
      <c r="D734" s="7">
        <v>1</v>
      </c>
      <c r="E734" s="20" t="str">
        <f t="shared" si="11"/>
        <v>01</v>
      </c>
      <c r="F734" s="21">
        <v>1.0555605177594101</v>
      </c>
      <c r="G734" s="4">
        <v>0.54</v>
      </c>
      <c r="H734" s="4">
        <v>0.41708542713567798</v>
      </c>
      <c r="I734" s="4">
        <v>0.40799999999999997</v>
      </c>
      <c r="J734" s="4">
        <v>0.39</v>
      </c>
      <c r="K734" s="5">
        <v>100</v>
      </c>
      <c r="L734" s="5">
        <v>0</v>
      </c>
      <c r="M734" s="5">
        <v>0</v>
      </c>
      <c r="N734" s="5">
        <v>0</v>
      </c>
      <c r="O734" s="2">
        <v>0.61618613942381695</v>
      </c>
      <c r="P734" s="2">
        <v>0.87446421692789544</v>
      </c>
      <c r="Q734" s="2">
        <v>0.89648810457797545</v>
      </c>
      <c r="R734" s="2">
        <v>0.94160853985844495</v>
      </c>
    </row>
    <row r="735" spans="1:18" x14ac:dyDescent="0.3">
      <c r="A735" s="7">
        <v>81</v>
      </c>
      <c r="B735" s="7">
        <v>203</v>
      </c>
      <c r="C735" s="7">
        <v>0</v>
      </c>
      <c r="D735" s="7">
        <v>1</v>
      </c>
      <c r="E735" s="20" t="str">
        <f t="shared" si="11"/>
        <v>01</v>
      </c>
      <c r="F735" s="21">
        <v>1.06884199682843</v>
      </c>
      <c r="G735" s="4">
        <v>0.58099999999999996</v>
      </c>
      <c r="H735" s="4">
        <v>0.47474747474747497</v>
      </c>
      <c r="I735" s="4">
        <v>0.90200000000000002</v>
      </c>
      <c r="J735" s="4">
        <v>0.82399999999999995</v>
      </c>
      <c r="K735" s="5">
        <v>100</v>
      </c>
      <c r="L735" s="5">
        <v>0</v>
      </c>
      <c r="M735" s="5">
        <v>100</v>
      </c>
      <c r="N735" s="5">
        <v>100</v>
      </c>
      <c r="O735" s="2">
        <v>0.54300452213022588</v>
      </c>
      <c r="P735" s="2">
        <v>0.74497224842453091</v>
      </c>
      <c r="Q735" s="2">
        <v>0.10314075891951337</v>
      </c>
      <c r="R735" s="2">
        <v>0.1935847490726654</v>
      </c>
    </row>
    <row r="736" spans="1:18" x14ac:dyDescent="0.3">
      <c r="A736" s="7">
        <v>393</v>
      </c>
      <c r="B736" s="7">
        <v>91</v>
      </c>
      <c r="C736" s="7">
        <v>0</v>
      </c>
      <c r="D736" s="7">
        <v>1</v>
      </c>
      <c r="E736" s="20" t="str">
        <f t="shared" si="11"/>
        <v>01</v>
      </c>
      <c r="F736" s="21">
        <v>1.0749326655642799</v>
      </c>
      <c r="G736" s="4">
        <v>0.54100000000000004</v>
      </c>
      <c r="H736" s="4">
        <v>0.42183622828784101</v>
      </c>
      <c r="I736" s="4">
        <v>0.871</v>
      </c>
      <c r="J736" s="4">
        <v>0.84199999999999997</v>
      </c>
      <c r="K736" s="5">
        <v>100</v>
      </c>
      <c r="L736" s="5">
        <v>0</v>
      </c>
      <c r="M736" s="5">
        <v>100</v>
      </c>
      <c r="N736" s="5">
        <v>100</v>
      </c>
      <c r="O736" s="2">
        <v>0.61433600013565548</v>
      </c>
      <c r="P736" s="2">
        <v>0.86313812489642161</v>
      </c>
      <c r="Q736" s="2">
        <v>0.13811330212963427</v>
      </c>
      <c r="R736" s="2">
        <v>0.17197526473981037</v>
      </c>
    </row>
    <row r="737" spans="1:18" x14ac:dyDescent="0.3">
      <c r="A737" s="7">
        <v>682</v>
      </c>
      <c r="B737" s="7">
        <v>69</v>
      </c>
      <c r="C737" s="7">
        <v>0</v>
      </c>
      <c r="D737" s="7">
        <v>1</v>
      </c>
      <c r="E737" s="20" t="str">
        <f t="shared" si="11"/>
        <v>01</v>
      </c>
      <c r="F737" s="21">
        <v>1.0804404449121701</v>
      </c>
      <c r="G737" s="4">
        <v>0.61799999999999999</v>
      </c>
      <c r="H737" s="4">
        <v>0.478134110787172</v>
      </c>
      <c r="I737" s="4">
        <v>0.73099999999999998</v>
      </c>
      <c r="J737" s="4">
        <v>0.7</v>
      </c>
      <c r="K737" s="5">
        <v>100</v>
      </c>
      <c r="L737" s="5">
        <v>0</v>
      </c>
      <c r="M737" s="5">
        <v>100</v>
      </c>
      <c r="N737" s="5">
        <v>100</v>
      </c>
      <c r="O737" s="2">
        <v>0.48126682152444628</v>
      </c>
      <c r="P737" s="2">
        <v>0.73786401934174151</v>
      </c>
      <c r="Q737" s="2">
        <v>0.3133418192323586</v>
      </c>
      <c r="R737" s="2">
        <v>0.35667494393873245</v>
      </c>
    </row>
    <row r="738" spans="1:18" x14ac:dyDescent="0.3">
      <c r="A738" s="7">
        <v>369</v>
      </c>
      <c r="B738" s="7">
        <v>153</v>
      </c>
      <c r="C738" s="7">
        <v>0</v>
      </c>
      <c r="D738" s="7">
        <v>1</v>
      </c>
      <c r="E738" s="20" t="str">
        <f t="shared" si="11"/>
        <v>01</v>
      </c>
      <c r="F738" s="21">
        <v>1.1086413459078599</v>
      </c>
      <c r="G738" s="4">
        <v>0.45100000000000001</v>
      </c>
      <c r="H738" s="4">
        <v>0.38809523809523799</v>
      </c>
      <c r="I738" s="4">
        <v>0.89900000000000002</v>
      </c>
      <c r="J738" s="4">
        <v>0.82499999999999996</v>
      </c>
      <c r="K738" s="5">
        <v>0</v>
      </c>
      <c r="L738" s="5">
        <v>0</v>
      </c>
      <c r="M738" s="5">
        <v>100</v>
      </c>
      <c r="N738" s="5">
        <v>100</v>
      </c>
      <c r="O738" s="2">
        <v>0.79628793947945864</v>
      </c>
      <c r="P738" s="2">
        <v>0.94650451047065187</v>
      </c>
      <c r="Q738" s="2">
        <v>0.10647224451051676</v>
      </c>
      <c r="R738" s="2">
        <v>0.19237189264745613</v>
      </c>
    </row>
    <row r="739" spans="1:18" x14ac:dyDescent="0.3">
      <c r="A739" s="7">
        <v>129</v>
      </c>
      <c r="B739" s="7">
        <v>62</v>
      </c>
      <c r="C739" s="7">
        <v>0</v>
      </c>
      <c r="D739" s="7">
        <v>1</v>
      </c>
      <c r="E739" s="20" t="str">
        <f t="shared" si="11"/>
        <v>01</v>
      </c>
      <c r="F739" s="21">
        <v>1.1174016451319999</v>
      </c>
      <c r="G739" s="4">
        <v>0.56000000000000005</v>
      </c>
      <c r="H739" s="4">
        <v>0.44887780548628398</v>
      </c>
      <c r="I739" s="4">
        <v>0.157</v>
      </c>
      <c r="J739" s="4">
        <v>0.14299999999999999</v>
      </c>
      <c r="K739" s="5">
        <v>100</v>
      </c>
      <c r="L739" s="5">
        <v>0</v>
      </c>
      <c r="M739" s="5">
        <v>0</v>
      </c>
      <c r="N739" s="5">
        <v>0</v>
      </c>
      <c r="O739" s="2">
        <v>0.57981849525294205</v>
      </c>
      <c r="P739" s="2">
        <v>0.80100457641635947</v>
      </c>
      <c r="Q739" s="2">
        <v>1.8515094736338289</v>
      </c>
      <c r="R739" s="2">
        <v>1.9449106487222299</v>
      </c>
    </row>
    <row r="740" spans="1:18" x14ac:dyDescent="0.3">
      <c r="A740" s="7">
        <v>285</v>
      </c>
      <c r="B740" s="7">
        <v>260</v>
      </c>
      <c r="C740" s="7">
        <v>0</v>
      </c>
      <c r="D740" s="7">
        <v>1</v>
      </c>
      <c r="E740" s="20" t="str">
        <f t="shared" si="11"/>
        <v>01</v>
      </c>
      <c r="F740" s="21">
        <v>1.12365276051333</v>
      </c>
      <c r="G740" s="4">
        <v>0.51300000000000001</v>
      </c>
      <c r="H740" s="4">
        <v>0.42788461538461497</v>
      </c>
      <c r="I740" s="4">
        <v>0.90400000000000003</v>
      </c>
      <c r="J740" s="4">
        <v>0.86599999999999999</v>
      </c>
      <c r="K740" s="5">
        <v>100</v>
      </c>
      <c r="L740" s="5">
        <v>0</v>
      </c>
      <c r="M740" s="5">
        <v>100</v>
      </c>
      <c r="N740" s="5">
        <v>100</v>
      </c>
      <c r="O740" s="2">
        <v>0.66747943381136754</v>
      </c>
      <c r="P740" s="2">
        <v>0.84890170996917913</v>
      </c>
      <c r="Q740" s="2">
        <v>0.10092591858996053</v>
      </c>
      <c r="R740" s="2">
        <v>0.14387037041970191</v>
      </c>
    </row>
    <row r="741" spans="1:18" x14ac:dyDescent="0.3">
      <c r="A741" s="7">
        <v>450</v>
      </c>
      <c r="B741" s="7">
        <v>81</v>
      </c>
      <c r="C741" s="7">
        <v>0</v>
      </c>
      <c r="D741" s="7">
        <v>1</v>
      </c>
      <c r="E741" s="20" t="str">
        <f t="shared" si="11"/>
        <v>01</v>
      </c>
      <c r="F741" s="21">
        <v>1.13653511585038</v>
      </c>
      <c r="G741" s="4">
        <v>0.45800000000000002</v>
      </c>
      <c r="H741" s="4">
        <v>0.37327188940092199</v>
      </c>
      <c r="I741" s="4">
        <v>0.16400000000000001</v>
      </c>
      <c r="J741" s="4">
        <v>0.13600000000000001</v>
      </c>
      <c r="K741" s="5">
        <v>0</v>
      </c>
      <c r="L741" s="5">
        <v>0</v>
      </c>
      <c r="M741" s="5">
        <v>0</v>
      </c>
      <c r="N741" s="5">
        <v>0</v>
      </c>
      <c r="O741" s="2">
        <v>0.78088609486795202</v>
      </c>
      <c r="P741" s="2">
        <v>0.98544819886801993</v>
      </c>
      <c r="Q741" s="2">
        <v>1.8078888511579385</v>
      </c>
      <c r="R741" s="2">
        <v>1.9951003932460849</v>
      </c>
    </row>
    <row r="742" spans="1:18" x14ac:dyDescent="0.3">
      <c r="A742" s="7">
        <v>24</v>
      </c>
      <c r="B742" s="7">
        <v>66</v>
      </c>
      <c r="C742" s="7">
        <v>0</v>
      </c>
      <c r="D742" s="7">
        <v>1</v>
      </c>
      <c r="E742" s="20" t="str">
        <f t="shared" si="11"/>
        <v>01</v>
      </c>
      <c r="F742" s="21">
        <v>1.1546520635992501</v>
      </c>
      <c r="G742" s="4">
        <v>0.55700000000000005</v>
      </c>
      <c r="H742" s="4">
        <v>0.45707070707070702</v>
      </c>
      <c r="I742" s="4">
        <v>0.80700000000000005</v>
      </c>
      <c r="J742" s="4">
        <v>0.67200000000000004</v>
      </c>
      <c r="K742" s="5">
        <v>100</v>
      </c>
      <c r="L742" s="5">
        <v>0</v>
      </c>
      <c r="M742" s="5">
        <v>100</v>
      </c>
      <c r="N742" s="5">
        <v>100</v>
      </c>
      <c r="O742" s="2">
        <v>0.5851900390548529</v>
      </c>
      <c r="P742" s="2">
        <v>0.78291717998865495</v>
      </c>
      <c r="Q742" s="2">
        <v>0.21443161071218819</v>
      </c>
      <c r="R742" s="2">
        <v>0.39749693845898743</v>
      </c>
    </row>
    <row r="743" spans="1:18" x14ac:dyDescent="0.3">
      <c r="A743" s="7">
        <v>994</v>
      </c>
      <c r="B743" s="7">
        <v>76</v>
      </c>
      <c r="C743" s="7">
        <v>0</v>
      </c>
      <c r="D743" s="7">
        <v>1</v>
      </c>
      <c r="E743" s="20" t="str">
        <f t="shared" si="11"/>
        <v>01</v>
      </c>
      <c r="F743" s="21">
        <v>1.1710645466239</v>
      </c>
      <c r="G743" s="4">
        <v>0.504</v>
      </c>
      <c r="H743" s="4">
        <v>0.346055979643766</v>
      </c>
      <c r="I743" s="4">
        <v>0.82599999999999996</v>
      </c>
      <c r="J743" s="4">
        <v>0.79600000000000004</v>
      </c>
      <c r="K743" s="5">
        <v>100</v>
      </c>
      <c r="L743" s="5">
        <v>0</v>
      </c>
      <c r="M743" s="5">
        <v>100</v>
      </c>
      <c r="N743" s="5">
        <v>100</v>
      </c>
      <c r="O743" s="2">
        <v>0.68517901091076838</v>
      </c>
      <c r="P743" s="2">
        <v>1.061154726133209</v>
      </c>
      <c r="Q743" s="2">
        <v>0.19116050546115904</v>
      </c>
      <c r="R743" s="2">
        <v>0.22815609313775398</v>
      </c>
    </row>
    <row r="744" spans="1:18" x14ac:dyDescent="0.3">
      <c r="A744" s="7">
        <v>124</v>
      </c>
      <c r="B744" s="7">
        <v>58</v>
      </c>
      <c r="C744" s="7">
        <v>0</v>
      </c>
      <c r="D744" s="7">
        <v>1</v>
      </c>
      <c r="E744" s="20" t="str">
        <f t="shared" si="11"/>
        <v>01</v>
      </c>
      <c r="F744" s="21">
        <v>1.17730753071146</v>
      </c>
      <c r="G744" s="4">
        <v>0.502</v>
      </c>
      <c r="H744" s="4">
        <v>0.36868686868686901</v>
      </c>
      <c r="I744" s="4">
        <v>0.91300000000000003</v>
      </c>
      <c r="J744" s="4">
        <v>0.88300000000000001</v>
      </c>
      <c r="K744" s="5">
        <v>100</v>
      </c>
      <c r="L744" s="5">
        <v>0</v>
      </c>
      <c r="M744" s="5">
        <v>100</v>
      </c>
      <c r="N744" s="5">
        <v>100</v>
      </c>
      <c r="O744" s="2">
        <v>0.68915515929040783</v>
      </c>
      <c r="P744" s="2">
        <v>0.99780758954614324</v>
      </c>
      <c r="Q744" s="2">
        <v>9.1019398387168549E-2</v>
      </c>
      <c r="R744" s="2">
        <v>0.12443007837817703</v>
      </c>
    </row>
    <row r="745" spans="1:18" x14ac:dyDescent="0.3">
      <c r="A745" s="7">
        <v>786</v>
      </c>
      <c r="B745" s="7">
        <v>105</v>
      </c>
      <c r="C745" s="7">
        <v>0</v>
      </c>
      <c r="D745" s="7">
        <v>1</v>
      </c>
      <c r="E745" s="20" t="str">
        <f t="shared" si="11"/>
        <v>01</v>
      </c>
      <c r="F745" s="21">
        <v>1.20605417030115</v>
      </c>
      <c r="G745" s="4">
        <v>0.55700000000000005</v>
      </c>
      <c r="H745" s="4">
        <v>0.40700808625336898</v>
      </c>
      <c r="I745" s="4">
        <v>0.84399999999999997</v>
      </c>
      <c r="J745" s="4">
        <v>0.64</v>
      </c>
      <c r="K745" s="5">
        <v>100</v>
      </c>
      <c r="L745" s="5">
        <v>0</v>
      </c>
      <c r="M745" s="5">
        <v>100</v>
      </c>
      <c r="N745" s="5">
        <v>100</v>
      </c>
      <c r="O745" s="2">
        <v>0.5851900390548529</v>
      </c>
      <c r="P745" s="2">
        <v>0.89892222579251146</v>
      </c>
      <c r="Q745" s="2">
        <v>0.16960278438617998</v>
      </c>
      <c r="R745" s="2">
        <v>0.44628710262841947</v>
      </c>
    </row>
    <row r="746" spans="1:18" x14ac:dyDescent="0.3">
      <c r="A746" s="7">
        <v>474</v>
      </c>
      <c r="B746" s="7">
        <v>63</v>
      </c>
      <c r="C746" s="7">
        <v>0</v>
      </c>
      <c r="D746" s="7">
        <v>1</v>
      </c>
      <c r="E746" s="20" t="str">
        <f t="shared" si="11"/>
        <v>01</v>
      </c>
      <c r="F746" s="21">
        <v>1.20758308621426</v>
      </c>
      <c r="G746" s="4">
        <v>0.71099999999999997</v>
      </c>
      <c r="H746" s="4">
        <v>0.55902777777777801</v>
      </c>
      <c r="I746" s="4">
        <v>0.871</v>
      </c>
      <c r="J746" s="4">
        <v>0.746</v>
      </c>
      <c r="K746" s="5">
        <v>100</v>
      </c>
      <c r="L746" s="5">
        <v>100</v>
      </c>
      <c r="M746" s="5">
        <v>100</v>
      </c>
      <c r="N746" s="5">
        <v>100</v>
      </c>
      <c r="O746" s="2">
        <v>0.3410828491788962</v>
      </c>
      <c r="P746" s="2">
        <v>0.58155611515148253</v>
      </c>
      <c r="Q746" s="2">
        <v>0.13811330212963427</v>
      </c>
      <c r="R746" s="2">
        <v>0.29302967877837621</v>
      </c>
    </row>
    <row r="747" spans="1:18" x14ac:dyDescent="0.3">
      <c r="A747" s="7">
        <v>954</v>
      </c>
      <c r="B747" s="7">
        <v>66</v>
      </c>
      <c r="C747" s="7">
        <v>0</v>
      </c>
      <c r="D747" s="7">
        <v>1</v>
      </c>
      <c r="E747" s="20" t="str">
        <f t="shared" si="11"/>
        <v>01</v>
      </c>
      <c r="F747" s="21">
        <v>1.2555468795970599</v>
      </c>
      <c r="G747" s="4">
        <v>0.55600000000000005</v>
      </c>
      <c r="H747" s="4">
        <v>0.42227979274611399</v>
      </c>
      <c r="I747" s="4">
        <v>0.94299999999999995</v>
      </c>
      <c r="J747" s="4">
        <v>0.88500000000000001</v>
      </c>
      <c r="K747" s="5">
        <v>100</v>
      </c>
      <c r="L747" s="5">
        <v>0</v>
      </c>
      <c r="M747" s="5">
        <v>100</v>
      </c>
      <c r="N747" s="5">
        <v>100</v>
      </c>
      <c r="O747" s="2">
        <v>0.58698698473155464</v>
      </c>
      <c r="P747" s="2">
        <v>0.86208716865806856</v>
      </c>
      <c r="Q747" s="2">
        <v>5.8688996348679613E-2</v>
      </c>
      <c r="R747" s="2">
        <v>0.12216763397420753</v>
      </c>
    </row>
    <row r="748" spans="1:18" x14ac:dyDescent="0.3">
      <c r="A748" s="7">
        <v>100</v>
      </c>
      <c r="B748" s="7">
        <v>54</v>
      </c>
      <c r="C748" s="7">
        <v>0</v>
      </c>
      <c r="D748" s="7">
        <v>1</v>
      </c>
      <c r="E748" s="20" t="str">
        <f t="shared" si="11"/>
        <v>01</v>
      </c>
      <c r="F748" s="21">
        <v>1.2619523670445001</v>
      </c>
      <c r="G748" s="4">
        <v>0.61799999999999999</v>
      </c>
      <c r="H748" s="4">
        <v>0.46153846153846201</v>
      </c>
      <c r="I748" s="4">
        <v>0.91300000000000003</v>
      </c>
      <c r="J748" s="4">
        <v>0.79300000000000004</v>
      </c>
      <c r="K748" s="5">
        <v>100</v>
      </c>
      <c r="L748" s="5">
        <v>0</v>
      </c>
      <c r="M748" s="5">
        <v>100</v>
      </c>
      <c r="N748" s="5">
        <v>100</v>
      </c>
      <c r="O748" s="2">
        <v>0.48126682152444628</v>
      </c>
      <c r="P748" s="2">
        <v>0.77318988823348067</v>
      </c>
      <c r="Q748" s="2">
        <v>9.1019398387168549E-2</v>
      </c>
      <c r="R748" s="2">
        <v>0.23193205734728903</v>
      </c>
    </row>
    <row r="749" spans="1:18" x14ac:dyDescent="0.3">
      <c r="A749" s="7">
        <v>841</v>
      </c>
      <c r="B749" s="7">
        <v>50</v>
      </c>
      <c r="C749" s="7">
        <v>0</v>
      </c>
      <c r="D749" s="7">
        <v>1</v>
      </c>
      <c r="E749" s="20" t="str">
        <f t="shared" si="11"/>
        <v>01</v>
      </c>
      <c r="F749" s="21">
        <v>1.3194060945752299</v>
      </c>
      <c r="G749" s="4">
        <v>0.51400000000000001</v>
      </c>
      <c r="H749" s="4">
        <v>0.45346062052505998</v>
      </c>
      <c r="I749" s="4">
        <v>0.93100000000000005</v>
      </c>
      <c r="J749" s="4">
        <v>0.81100000000000005</v>
      </c>
      <c r="K749" s="5">
        <v>100</v>
      </c>
      <c r="L749" s="5">
        <v>0</v>
      </c>
      <c r="M749" s="5">
        <v>100</v>
      </c>
      <c r="N749" s="5">
        <v>100</v>
      </c>
      <c r="O749" s="2">
        <v>0.66553201352697189</v>
      </c>
      <c r="P749" s="2">
        <v>0.79084684776165093</v>
      </c>
      <c r="Q749" s="2">
        <v>7.1496001705069923E-2</v>
      </c>
      <c r="R749" s="2">
        <v>0.20948722486672405</v>
      </c>
    </row>
    <row r="750" spans="1:18" x14ac:dyDescent="0.3">
      <c r="A750" s="7">
        <v>389</v>
      </c>
      <c r="B750" s="7">
        <v>296</v>
      </c>
      <c r="C750" s="7">
        <v>0</v>
      </c>
      <c r="D750" s="7">
        <v>1</v>
      </c>
      <c r="E750" s="20" t="str">
        <f t="shared" si="11"/>
        <v>01</v>
      </c>
      <c r="F750" s="21">
        <v>1.3327989960731501</v>
      </c>
      <c r="G750" s="4">
        <v>0.64900000000000002</v>
      </c>
      <c r="H750" s="4">
        <v>0.51142857142857101</v>
      </c>
      <c r="I750" s="4">
        <v>0.89900000000000002</v>
      </c>
      <c r="J750" s="4">
        <v>0.77800000000000002</v>
      </c>
      <c r="K750" s="5">
        <v>100</v>
      </c>
      <c r="L750" s="5">
        <v>100</v>
      </c>
      <c r="M750" s="5">
        <v>100</v>
      </c>
      <c r="N750" s="5">
        <v>100</v>
      </c>
      <c r="O750" s="2">
        <v>0.43232256227804705</v>
      </c>
      <c r="P750" s="2">
        <v>0.67054734864270515</v>
      </c>
      <c r="Q750" s="2">
        <v>0.10647224451051676</v>
      </c>
      <c r="R750" s="2">
        <v>0.25102875480374542</v>
      </c>
    </row>
    <row r="751" spans="1:18" x14ac:dyDescent="0.3">
      <c r="A751" s="7">
        <v>960</v>
      </c>
      <c r="B751" s="7">
        <v>42</v>
      </c>
      <c r="C751" s="7">
        <v>0</v>
      </c>
      <c r="D751" s="7">
        <v>1</v>
      </c>
      <c r="E751" s="20" t="str">
        <f t="shared" si="11"/>
        <v>01</v>
      </c>
      <c r="F751" s="21">
        <v>1.33393315308867</v>
      </c>
      <c r="G751" s="4">
        <v>0.46899999999999997</v>
      </c>
      <c r="H751" s="4">
        <v>0.41330166270783802</v>
      </c>
      <c r="I751" s="4">
        <v>0.77600000000000002</v>
      </c>
      <c r="J751" s="4">
        <v>0.76900000000000002</v>
      </c>
      <c r="K751" s="5">
        <v>0</v>
      </c>
      <c r="L751" s="5">
        <v>0</v>
      </c>
      <c r="M751" s="5">
        <v>100</v>
      </c>
      <c r="N751" s="5">
        <v>100</v>
      </c>
      <c r="O751" s="2">
        <v>0.75715251053585775</v>
      </c>
      <c r="P751" s="2">
        <v>0.88357753446785348</v>
      </c>
      <c r="Q751" s="2">
        <v>0.25360275879891825</v>
      </c>
      <c r="R751" s="2">
        <v>0.26266430947649305</v>
      </c>
    </row>
    <row r="752" spans="1:18" x14ac:dyDescent="0.3">
      <c r="A752" s="7">
        <v>734</v>
      </c>
      <c r="B752" s="7">
        <v>57</v>
      </c>
      <c r="C752" s="7">
        <v>0</v>
      </c>
      <c r="D752" s="7">
        <v>1</v>
      </c>
      <c r="E752" s="20" t="str">
        <f t="shared" si="11"/>
        <v>01</v>
      </c>
      <c r="F752" s="21">
        <v>1.34265946386609</v>
      </c>
      <c r="G752" s="4">
        <v>0.48699999999999999</v>
      </c>
      <c r="H752" s="4">
        <v>0.40099009900990101</v>
      </c>
      <c r="I752" s="4">
        <v>0.66600000000000004</v>
      </c>
      <c r="J752" s="4">
        <v>0.53400000000000003</v>
      </c>
      <c r="K752" s="5">
        <v>0</v>
      </c>
      <c r="L752" s="5">
        <v>0</v>
      </c>
      <c r="M752" s="5">
        <v>100</v>
      </c>
      <c r="N752" s="5">
        <v>100</v>
      </c>
      <c r="O752" s="2">
        <v>0.71949115589954726</v>
      </c>
      <c r="P752" s="2">
        <v>0.91381854272876595</v>
      </c>
      <c r="Q752" s="2">
        <v>0.40646560844174784</v>
      </c>
      <c r="R752" s="2">
        <v>0.62735944002194211</v>
      </c>
    </row>
    <row r="753" spans="1:18" x14ac:dyDescent="0.3">
      <c r="A753" s="7">
        <v>568</v>
      </c>
      <c r="B753" s="7">
        <v>115</v>
      </c>
      <c r="C753" s="7">
        <v>0</v>
      </c>
      <c r="D753" s="7">
        <v>1</v>
      </c>
      <c r="E753" s="20" t="str">
        <f t="shared" si="11"/>
        <v>01</v>
      </c>
      <c r="F753" s="21">
        <v>1.3583951927654001</v>
      </c>
      <c r="G753" s="4">
        <v>0.39700000000000002</v>
      </c>
      <c r="H753" s="4">
        <v>0.328260869565217</v>
      </c>
      <c r="I753" s="4">
        <v>0.84299999999999997</v>
      </c>
      <c r="J753" s="4">
        <v>0.81699999999999995</v>
      </c>
      <c r="K753" s="5">
        <v>0</v>
      </c>
      <c r="L753" s="5">
        <v>0</v>
      </c>
      <c r="M753" s="5">
        <v>100</v>
      </c>
      <c r="N753" s="5">
        <v>100</v>
      </c>
      <c r="O753" s="2">
        <v>0.92381899829494663</v>
      </c>
      <c r="P753" s="2">
        <v>1.1139466526682176</v>
      </c>
      <c r="Q753" s="2">
        <v>0.17078832098028163</v>
      </c>
      <c r="R753" s="2">
        <v>0.20211618412213422</v>
      </c>
    </row>
    <row r="754" spans="1:18" x14ac:dyDescent="0.3">
      <c r="A754" s="7">
        <v>480</v>
      </c>
      <c r="B754" s="7">
        <v>43</v>
      </c>
      <c r="C754" s="7">
        <v>0</v>
      </c>
      <c r="D754" s="7">
        <v>1</v>
      </c>
      <c r="E754" s="20" t="str">
        <f t="shared" si="11"/>
        <v>01</v>
      </c>
      <c r="F754" s="21">
        <v>1.3659672384532999</v>
      </c>
      <c r="G754" s="4">
        <v>0.39300000000000002</v>
      </c>
      <c r="H754" s="4">
        <v>0.328089887640449</v>
      </c>
      <c r="I754" s="4">
        <v>0.74299999999999999</v>
      </c>
      <c r="J754" s="4">
        <v>0.73599999999999999</v>
      </c>
      <c r="K754" s="5">
        <v>0</v>
      </c>
      <c r="L754" s="5">
        <v>0</v>
      </c>
      <c r="M754" s="5">
        <v>100</v>
      </c>
      <c r="N754" s="5">
        <v>100</v>
      </c>
      <c r="O754" s="2">
        <v>0.93394566711287574</v>
      </c>
      <c r="P754" s="2">
        <v>1.1144676604579051</v>
      </c>
      <c r="Q754" s="2">
        <v>0.29705923426437791</v>
      </c>
      <c r="R754" s="2">
        <v>0.30652516025326082</v>
      </c>
    </row>
    <row r="755" spans="1:18" x14ac:dyDescent="0.3">
      <c r="A755" s="7">
        <v>387</v>
      </c>
      <c r="B755" s="7">
        <v>71</v>
      </c>
      <c r="C755" s="7">
        <v>0</v>
      </c>
      <c r="D755" s="7">
        <v>1</v>
      </c>
      <c r="E755" s="20" t="str">
        <f t="shared" si="11"/>
        <v>01</v>
      </c>
      <c r="F755" s="21">
        <v>1.3836572524992601</v>
      </c>
      <c r="G755" s="4">
        <v>0.71599999999999997</v>
      </c>
      <c r="H755" s="4">
        <v>0.54599406528189898</v>
      </c>
      <c r="I755" s="4">
        <v>0.83499999999999996</v>
      </c>
      <c r="J755" s="4">
        <v>0.68100000000000005</v>
      </c>
      <c r="K755" s="5">
        <v>100</v>
      </c>
      <c r="L755" s="5">
        <v>100</v>
      </c>
      <c r="M755" s="5">
        <v>100</v>
      </c>
      <c r="N755" s="5">
        <v>100</v>
      </c>
      <c r="O755" s="2">
        <v>0.33407511202149148</v>
      </c>
      <c r="P755" s="2">
        <v>0.60514717274337637</v>
      </c>
      <c r="Q755" s="2">
        <v>0.18032355413128162</v>
      </c>
      <c r="R755" s="2">
        <v>0.3841929728326246</v>
      </c>
    </row>
    <row r="756" spans="1:18" x14ac:dyDescent="0.3">
      <c r="A756" s="7">
        <v>11</v>
      </c>
      <c r="B756" s="7">
        <v>46</v>
      </c>
      <c r="C756" s="7">
        <v>0</v>
      </c>
      <c r="D756" s="7">
        <v>1</v>
      </c>
      <c r="E756" s="20" t="str">
        <f t="shared" si="11"/>
        <v>01</v>
      </c>
      <c r="F756" s="21">
        <v>1.3880671145163599</v>
      </c>
      <c r="G756" s="4">
        <v>0.5</v>
      </c>
      <c r="H756" s="4">
        <v>0.39622641509433998</v>
      </c>
      <c r="I756" s="4">
        <v>0.72599999999999998</v>
      </c>
      <c r="J756" s="4">
        <v>0.65500000000000003</v>
      </c>
      <c r="K756" s="5">
        <v>0</v>
      </c>
      <c r="L756" s="5">
        <v>0</v>
      </c>
      <c r="M756" s="5">
        <v>100</v>
      </c>
      <c r="N756" s="5">
        <v>100</v>
      </c>
      <c r="O756" s="2">
        <v>0.69314718055994529</v>
      </c>
      <c r="P756" s="2">
        <v>0.92576947582869795</v>
      </c>
      <c r="Q756" s="2">
        <v>0.32020526415734102</v>
      </c>
      <c r="R756" s="2">
        <v>0.42312004334688508</v>
      </c>
    </row>
    <row r="757" spans="1:18" x14ac:dyDescent="0.3">
      <c r="A757" s="7">
        <v>346</v>
      </c>
      <c r="B757" s="7">
        <v>43</v>
      </c>
      <c r="C757" s="7">
        <v>0</v>
      </c>
      <c r="D757" s="7">
        <v>1</v>
      </c>
      <c r="E757" s="20" t="str">
        <f t="shared" si="11"/>
        <v>01</v>
      </c>
      <c r="F757" s="21">
        <v>1.42062356008879</v>
      </c>
      <c r="G757" s="4">
        <v>0.621</v>
      </c>
      <c r="H757" s="4">
        <v>0.511278195488722</v>
      </c>
      <c r="I757" s="4">
        <v>0.81699999999999995</v>
      </c>
      <c r="J757" s="4">
        <v>0.749</v>
      </c>
      <c r="K757" s="5">
        <v>100</v>
      </c>
      <c r="L757" s="5">
        <v>100</v>
      </c>
      <c r="M757" s="5">
        <v>100</v>
      </c>
      <c r="N757" s="5">
        <v>100</v>
      </c>
      <c r="O757" s="2">
        <v>0.47642419704865829</v>
      </c>
      <c r="P757" s="2">
        <v>0.67084142304564665</v>
      </c>
      <c r="Q757" s="2">
        <v>0.20211618412213422</v>
      </c>
      <c r="R757" s="2">
        <v>0.28901629546491758</v>
      </c>
    </row>
    <row r="758" spans="1:18" x14ac:dyDescent="0.3">
      <c r="A758" s="7">
        <v>334</v>
      </c>
      <c r="B758" s="7">
        <v>47</v>
      </c>
      <c r="C758" s="7">
        <v>0</v>
      </c>
      <c r="D758" s="7">
        <v>1</v>
      </c>
      <c r="E758" s="20" t="str">
        <f t="shared" si="11"/>
        <v>01</v>
      </c>
      <c r="F758" s="21">
        <v>1.4355668852910899</v>
      </c>
      <c r="G758" s="4">
        <v>0.79100000000000004</v>
      </c>
      <c r="H758" s="4">
        <v>0.5625</v>
      </c>
      <c r="I758" s="4">
        <v>0.95899999999999996</v>
      </c>
      <c r="J758" s="4">
        <v>0.91500000000000004</v>
      </c>
      <c r="K758" s="5">
        <v>100</v>
      </c>
      <c r="L758" s="5">
        <v>100</v>
      </c>
      <c r="M758" s="5">
        <v>100</v>
      </c>
      <c r="N758" s="5">
        <v>100</v>
      </c>
      <c r="O758" s="2">
        <v>0.23445731121448313</v>
      </c>
      <c r="P758" s="2">
        <v>0.5753641449035618</v>
      </c>
      <c r="Q758" s="2">
        <v>4.1864204098698871E-2</v>
      </c>
      <c r="R758" s="2">
        <v>8.8831213706615703E-2</v>
      </c>
    </row>
    <row r="759" spans="1:18" x14ac:dyDescent="0.3">
      <c r="A759" s="7">
        <v>551</v>
      </c>
      <c r="B759" s="7">
        <v>35</v>
      </c>
      <c r="C759" s="7">
        <v>0</v>
      </c>
      <c r="D759" s="7">
        <v>1</v>
      </c>
      <c r="E759" s="20" t="str">
        <f t="shared" si="11"/>
        <v>01</v>
      </c>
      <c r="F759" s="21">
        <v>1.45117035220542</v>
      </c>
      <c r="G759" s="4">
        <v>0.54100000000000004</v>
      </c>
      <c r="H759" s="4">
        <v>0.46889952153109998</v>
      </c>
      <c r="I759" s="4">
        <v>0.79600000000000004</v>
      </c>
      <c r="J759" s="4">
        <v>0.81</v>
      </c>
      <c r="K759" s="5">
        <v>100</v>
      </c>
      <c r="L759" s="5">
        <v>0</v>
      </c>
      <c r="M759" s="5">
        <v>100</v>
      </c>
      <c r="N759" s="5">
        <v>100</v>
      </c>
      <c r="O759" s="2">
        <v>0.61433600013565548</v>
      </c>
      <c r="P759" s="2">
        <v>0.75736677329424018</v>
      </c>
      <c r="Q759" s="2">
        <v>0.22815609313775398</v>
      </c>
      <c r="R759" s="2">
        <v>0.21072103131565253</v>
      </c>
    </row>
    <row r="760" spans="1:18" x14ac:dyDescent="0.3">
      <c r="A760" s="7">
        <v>567</v>
      </c>
      <c r="B760" s="7">
        <v>55</v>
      </c>
      <c r="C760" s="7">
        <v>0</v>
      </c>
      <c r="D760" s="7">
        <v>1</v>
      </c>
      <c r="E760" s="20" t="str">
        <f t="shared" si="11"/>
        <v>01</v>
      </c>
      <c r="F760" s="21">
        <v>1.4800986932949201</v>
      </c>
      <c r="G760" s="4">
        <v>0.502</v>
      </c>
      <c r="H760" s="4">
        <v>0.40786240786240802</v>
      </c>
      <c r="I760" s="4">
        <v>0.36199999999999999</v>
      </c>
      <c r="J760" s="4">
        <v>0.28100000000000003</v>
      </c>
      <c r="K760" s="5">
        <v>100</v>
      </c>
      <c r="L760" s="5">
        <v>0</v>
      </c>
      <c r="M760" s="5">
        <v>0</v>
      </c>
      <c r="N760" s="5">
        <v>0</v>
      </c>
      <c r="O760" s="2">
        <v>0.68915515929040783</v>
      </c>
      <c r="P760" s="2">
        <v>0.89682539708605136</v>
      </c>
      <c r="Q760" s="2">
        <v>1.016111067156366</v>
      </c>
      <c r="R760" s="2">
        <v>1.2694006096483912</v>
      </c>
    </row>
    <row r="761" spans="1:18" x14ac:dyDescent="0.3">
      <c r="A761" s="7">
        <v>243</v>
      </c>
      <c r="B761" s="7">
        <v>41</v>
      </c>
      <c r="C761" s="7">
        <v>0</v>
      </c>
      <c r="D761" s="7">
        <v>1</v>
      </c>
      <c r="E761" s="20" t="str">
        <f t="shared" si="11"/>
        <v>01</v>
      </c>
      <c r="F761" s="21">
        <v>1.5271080494221001</v>
      </c>
      <c r="G761" s="4">
        <v>0.53100000000000003</v>
      </c>
      <c r="H761" s="4">
        <v>0.41387559808612401</v>
      </c>
      <c r="I761" s="4">
        <v>0.79700000000000004</v>
      </c>
      <c r="J761" s="4">
        <v>0.72399999999999998</v>
      </c>
      <c r="K761" s="5">
        <v>100</v>
      </c>
      <c r="L761" s="5">
        <v>0</v>
      </c>
      <c r="M761" s="5">
        <v>100</v>
      </c>
      <c r="N761" s="5">
        <v>100</v>
      </c>
      <c r="O761" s="2">
        <v>0.63299325774019821</v>
      </c>
      <c r="P761" s="2">
        <v>0.88218983802697837</v>
      </c>
      <c r="Q761" s="2">
        <v>0.22690060019192196</v>
      </c>
      <c r="R761" s="2">
        <v>0.32296388659642072</v>
      </c>
    </row>
    <row r="762" spans="1:18" x14ac:dyDescent="0.3">
      <c r="A762" s="7">
        <v>935</v>
      </c>
      <c r="B762" s="7">
        <v>37</v>
      </c>
      <c r="C762" s="7">
        <v>0</v>
      </c>
      <c r="D762" s="7">
        <v>1</v>
      </c>
      <c r="E762" s="20" t="str">
        <f t="shared" si="11"/>
        <v>01</v>
      </c>
      <c r="F762" s="21">
        <v>1.57569526616901</v>
      </c>
      <c r="G762" s="4">
        <v>0.68799999999999994</v>
      </c>
      <c r="H762" s="4">
        <v>0.57422969187675099</v>
      </c>
      <c r="I762" s="4">
        <v>0.82899999999999996</v>
      </c>
      <c r="J762" s="4">
        <v>0.61199999999999999</v>
      </c>
      <c r="K762" s="5">
        <v>100</v>
      </c>
      <c r="L762" s="5">
        <v>100</v>
      </c>
      <c r="M762" s="5">
        <v>100</v>
      </c>
      <c r="N762" s="5">
        <v>100</v>
      </c>
      <c r="O762" s="2">
        <v>0.37396644104879345</v>
      </c>
      <c r="P762" s="2">
        <v>0.55472580264123039</v>
      </c>
      <c r="Q762" s="2">
        <v>0.18753512384684212</v>
      </c>
      <c r="R762" s="2">
        <v>0.49102299646981101</v>
      </c>
    </row>
    <row r="763" spans="1:18" x14ac:dyDescent="0.3">
      <c r="A763" s="7">
        <v>729</v>
      </c>
      <c r="B763" s="7">
        <v>49</v>
      </c>
      <c r="C763" s="7">
        <v>0</v>
      </c>
      <c r="D763" s="7">
        <v>1</v>
      </c>
      <c r="E763" s="20" t="str">
        <f t="shared" si="11"/>
        <v>01</v>
      </c>
      <c r="F763" s="21">
        <v>1.5784102255219701</v>
      </c>
      <c r="G763" s="4">
        <v>0.61</v>
      </c>
      <c r="H763" s="4">
        <v>0.45321637426900602</v>
      </c>
      <c r="I763" s="4">
        <v>0.94699999999999995</v>
      </c>
      <c r="J763" s="4">
        <v>0.81399999999999995</v>
      </c>
      <c r="K763" s="5">
        <v>100</v>
      </c>
      <c r="L763" s="5">
        <v>0</v>
      </c>
      <c r="M763" s="5">
        <v>100</v>
      </c>
      <c r="N763" s="5">
        <v>100</v>
      </c>
      <c r="O763" s="2">
        <v>0.49429632181478012</v>
      </c>
      <c r="P763" s="2">
        <v>0.79138562014335812</v>
      </c>
      <c r="Q763" s="2">
        <v>5.4456185796058855E-2</v>
      </c>
      <c r="R763" s="2">
        <v>0.20579491297959682</v>
      </c>
    </row>
    <row r="764" spans="1:18" x14ac:dyDescent="0.3">
      <c r="A764" s="7">
        <v>292</v>
      </c>
      <c r="B764" s="7">
        <v>23</v>
      </c>
      <c r="C764" s="7">
        <v>0</v>
      </c>
      <c r="D764" s="7">
        <v>1</v>
      </c>
      <c r="E764" s="20" t="str">
        <f t="shared" si="11"/>
        <v>01</v>
      </c>
      <c r="F764" s="21">
        <v>1.5795970427428101</v>
      </c>
      <c r="G764" s="4">
        <v>0.55900000000000005</v>
      </c>
      <c r="H764" s="4">
        <v>0.5</v>
      </c>
      <c r="I764" s="4">
        <v>0.77100000000000002</v>
      </c>
      <c r="J764" s="4">
        <v>0.77900000000000003</v>
      </c>
      <c r="K764" s="5">
        <v>100</v>
      </c>
      <c r="L764" s="5">
        <v>0</v>
      </c>
      <c r="M764" s="5">
        <v>100</v>
      </c>
      <c r="N764" s="5">
        <v>100</v>
      </c>
      <c r="O764" s="2">
        <v>0.5816058058270378</v>
      </c>
      <c r="P764" s="2">
        <v>0.69314718055994529</v>
      </c>
      <c r="Q764" s="2">
        <v>0.26006690541880756</v>
      </c>
      <c r="R764" s="2">
        <v>0.24974423311138874</v>
      </c>
    </row>
    <row r="765" spans="1:18" x14ac:dyDescent="0.3">
      <c r="A765" s="7">
        <v>918</v>
      </c>
      <c r="B765" s="7">
        <v>74</v>
      </c>
      <c r="C765" s="7">
        <v>0</v>
      </c>
      <c r="D765" s="7">
        <v>1</v>
      </c>
      <c r="E765" s="20" t="str">
        <f t="shared" si="11"/>
        <v>01</v>
      </c>
      <c r="F765" s="21">
        <v>1.6230295694144099</v>
      </c>
      <c r="G765" s="4">
        <v>0.59</v>
      </c>
      <c r="H765" s="4">
        <v>0.48994974874371899</v>
      </c>
      <c r="I765" s="4">
        <v>0.33100000000000002</v>
      </c>
      <c r="J765" s="4">
        <v>0.27500000000000002</v>
      </c>
      <c r="K765" s="5">
        <v>100</v>
      </c>
      <c r="L765" s="5">
        <v>0</v>
      </c>
      <c r="M765" s="5">
        <v>0</v>
      </c>
      <c r="N765" s="5">
        <v>0</v>
      </c>
      <c r="O765" s="2">
        <v>0.52763274208237199</v>
      </c>
      <c r="P765" s="2">
        <v>0.71345244672069008</v>
      </c>
      <c r="Q765" s="2">
        <v>1.1056369036050742</v>
      </c>
      <c r="R765" s="2">
        <v>1.2909841813155656</v>
      </c>
    </row>
    <row r="766" spans="1:18" x14ac:dyDescent="0.3">
      <c r="A766" s="7">
        <v>10</v>
      </c>
      <c r="B766" s="7">
        <v>19</v>
      </c>
      <c r="C766" s="7">
        <v>0</v>
      </c>
      <c r="D766" s="7">
        <v>1</v>
      </c>
      <c r="E766" s="20" t="str">
        <f t="shared" si="11"/>
        <v>01</v>
      </c>
      <c r="F766" s="21">
        <v>1.69339989304927</v>
      </c>
      <c r="G766" s="4">
        <v>0.52900000000000003</v>
      </c>
      <c r="H766" s="4">
        <v>0.42857142857142899</v>
      </c>
      <c r="I766" s="4">
        <v>0.78100000000000003</v>
      </c>
      <c r="J766" s="4">
        <v>0.80600000000000005</v>
      </c>
      <c r="K766" s="5">
        <v>100</v>
      </c>
      <c r="L766" s="5">
        <v>0</v>
      </c>
      <c r="M766" s="5">
        <v>100</v>
      </c>
      <c r="N766" s="5">
        <v>100</v>
      </c>
      <c r="O766" s="2">
        <v>0.63676684712383758</v>
      </c>
      <c r="P766" s="2">
        <v>0.84729786038720267</v>
      </c>
      <c r="Q766" s="2">
        <v>0.24718012914245105</v>
      </c>
      <c r="R766" s="2">
        <v>0.21567153647550871</v>
      </c>
    </row>
    <row r="767" spans="1:18" x14ac:dyDescent="0.3">
      <c r="A767" s="7">
        <v>312</v>
      </c>
      <c r="B767" s="7">
        <v>32</v>
      </c>
      <c r="C767" s="7">
        <v>0</v>
      </c>
      <c r="D767" s="7">
        <v>1</v>
      </c>
      <c r="E767" s="20" t="str">
        <f t="shared" si="11"/>
        <v>01</v>
      </c>
      <c r="F767" s="21">
        <v>1.7017628219971499</v>
      </c>
      <c r="G767" s="4">
        <v>0.66400000000000003</v>
      </c>
      <c r="H767" s="4">
        <v>0.43157894736842101</v>
      </c>
      <c r="I767" s="4">
        <v>0.67600000000000005</v>
      </c>
      <c r="J767" s="4">
        <v>0.47199999999999998</v>
      </c>
      <c r="K767" s="5">
        <v>100</v>
      </c>
      <c r="L767" s="5">
        <v>0</v>
      </c>
      <c r="M767" s="5">
        <v>100</v>
      </c>
      <c r="N767" s="5">
        <v>0</v>
      </c>
      <c r="O767" s="2">
        <v>0.40947312950570314</v>
      </c>
      <c r="P767" s="2">
        <v>0.84030482489623315</v>
      </c>
      <c r="Q767" s="2">
        <v>0.39156220293917288</v>
      </c>
      <c r="R767" s="2">
        <v>0.7507762933965817</v>
      </c>
    </row>
    <row r="768" spans="1:18" x14ac:dyDescent="0.3">
      <c r="A768" s="7">
        <v>596</v>
      </c>
      <c r="B768" s="7">
        <v>33</v>
      </c>
      <c r="C768" s="7">
        <v>0</v>
      </c>
      <c r="D768" s="7">
        <v>1</v>
      </c>
      <c r="E768" s="20" t="str">
        <f t="shared" si="11"/>
        <v>01</v>
      </c>
      <c r="F768" s="21">
        <v>1.71152424421251</v>
      </c>
      <c r="G768" s="4">
        <v>0.54900000000000004</v>
      </c>
      <c r="H768" s="4">
        <v>0.42162162162162198</v>
      </c>
      <c r="I768" s="4">
        <v>0.86</v>
      </c>
      <c r="J768" s="4">
        <v>0.78800000000000003</v>
      </c>
      <c r="K768" s="5">
        <v>100</v>
      </c>
      <c r="L768" s="5">
        <v>0</v>
      </c>
      <c r="M768" s="5">
        <v>100</v>
      </c>
      <c r="N768" s="5">
        <v>100</v>
      </c>
      <c r="O768" s="2">
        <v>0.59965683747260634</v>
      </c>
      <c r="P768" s="2">
        <v>0.86364699838873227</v>
      </c>
      <c r="Q768" s="2">
        <v>0.15082288973458366</v>
      </c>
      <c r="R768" s="2">
        <v>0.23825718912425789</v>
      </c>
    </row>
    <row r="769" spans="1:18" x14ac:dyDescent="0.3">
      <c r="A769" s="7">
        <v>508</v>
      </c>
      <c r="B769" s="7">
        <v>25</v>
      </c>
      <c r="C769" s="7">
        <v>0</v>
      </c>
      <c r="D769" s="7">
        <v>1</v>
      </c>
      <c r="E769" s="20" t="str">
        <f t="shared" si="11"/>
        <v>01</v>
      </c>
      <c r="F769" s="21">
        <v>1.7594115610946499</v>
      </c>
      <c r="G769" s="4">
        <v>0.51400000000000001</v>
      </c>
      <c r="H769" s="4">
        <v>0.37631578947368399</v>
      </c>
      <c r="I769" s="4">
        <v>0.75</v>
      </c>
      <c r="J769" s="4">
        <v>0.625</v>
      </c>
      <c r="K769" s="5">
        <v>100</v>
      </c>
      <c r="L769" s="5">
        <v>0</v>
      </c>
      <c r="M769" s="5">
        <v>100</v>
      </c>
      <c r="N769" s="5">
        <v>100</v>
      </c>
      <c r="O769" s="2">
        <v>0.66553201352697189</v>
      </c>
      <c r="P769" s="2">
        <v>0.97732662246052471</v>
      </c>
      <c r="Q769" s="2">
        <v>0.2876820724517809</v>
      </c>
      <c r="R769" s="2">
        <v>0.47000362924573558</v>
      </c>
    </row>
    <row r="770" spans="1:18" x14ac:dyDescent="0.3">
      <c r="A770" s="7">
        <v>728</v>
      </c>
      <c r="B770" s="7">
        <v>20</v>
      </c>
      <c r="C770" s="7">
        <v>0</v>
      </c>
      <c r="D770" s="7">
        <v>1</v>
      </c>
      <c r="E770" s="20" t="str">
        <f t="shared" ref="E770:E833" si="12">_xlfn.CONCAT(C770,D770)</f>
        <v>01</v>
      </c>
      <c r="F770" s="21">
        <v>1.75983900989146</v>
      </c>
      <c r="G770" s="4">
        <v>0.70299999999999996</v>
      </c>
      <c r="H770" s="4">
        <v>0.54374999999999996</v>
      </c>
      <c r="I770" s="4">
        <v>0.26800000000000002</v>
      </c>
      <c r="J770" s="4">
        <v>0.253</v>
      </c>
      <c r="K770" s="5">
        <v>100</v>
      </c>
      <c r="L770" s="5">
        <v>100</v>
      </c>
      <c r="M770" s="5">
        <v>0</v>
      </c>
      <c r="N770" s="5">
        <v>0</v>
      </c>
      <c r="O770" s="2">
        <v>0.3523983871714722</v>
      </c>
      <c r="P770" s="2">
        <v>0.60926569657924323</v>
      </c>
      <c r="Q770" s="2">
        <v>1.3167682984712803</v>
      </c>
      <c r="R770" s="2">
        <v>1.3743657902546169</v>
      </c>
    </row>
    <row r="771" spans="1:18" x14ac:dyDescent="0.3">
      <c r="A771" s="7">
        <v>229</v>
      </c>
      <c r="B771" s="7">
        <v>130</v>
      </c>
      <c r="C771" s="7">
        <v>0</v>
      </c>
      <c r="D771" s="7">
        <v>1</v>
      </c>
      <c r="E771" s="20" t="str">
        <f t="shared" si="12"/>
        <v>01</v>
      </c>
      <c r="F771" s="21">
        <v>1.76739902481915</v>
      </c>
      <c r="G771" s="4">
        <v>0.56100000000000005</v>
      </c>
      <c r="H771" s="4">
        <v>0.44020356234096703</v>
      </c>
      <c r="I771" s="4">
        <v>0.27400000000000002</v>
      </c>
      <c r="J771" s="4">
        <v>0.189</v>
      </c>
      <c r="K771" s="5">
        <v>100</v>
      </c>
      <c r="L771" s="5">
        <v>0</v>
      </c>
      <c r="M771" s="5">
        <v>0</v>
      </c>
      <c r="N771" s="5">
        <v>0</v>
      </c>
      <c r="O771" s="2">
        <v>0.57803437345944064</v>
      </c>
      <c r="P771" s="2">
        <v>0.820518017371482</v>
      </c>
      <c r="Q771" s="2">
        <v>1.2946271725940668</v>
      </c>
      <c r="R771" s="2">
        <v>1.6660082639224947</v>
      </c>
    </row>
    <row r="772" spans="1:18" x14ac:dyDescent="0.3">
      <c r="A772" s="7">
        <v>822</v>
      </c>
      <c r="B772" s="7">
        <v>30</v>
      </c>
      <c r="C772" s="7">
        <v>0</v>
      </c>
      <c r="D772" s="7">
        <v>1</v>
      </c>
      <c r="E772" s="20" t="str">
        <f t="shared" si="12"/>
        <v>01</v>
      </c>
      <c r="F772" s="21">
        <v>1.78893361985679</v>
      </c>
      <c r="G772" s="4">
        <v>0.57199999999999995</v>
      </c>
      <c r="H772" s="4">
        <v>0.44300518134715</v>
      </c>
      <c r="I772" s="4">
        <v>0.77300000000000002</v>
      </c>
      <c r="J772" s="4">
        <v>0.76100000000000001</v>
      </c>
      <c r="K772" s="5">
        <v>100</v>
      </c>
      <c r="L772" s="5">
        <v>0</v>
      </c>
      <c r="M772" s="5">
        <v>100</v>
      </c>
      <c r="N772" s="5">
        <v>100</v>
      </c>
      <c r="O772" s="2">
        <v>0.55861628760233928</v>
      </c>
      <c r="P772" s="2">
        <v>0.81417381296217162</v>
      </c>
      <c r="Q772" s="2">
        <v>0.25747623039471507</v>
      </c>
      <c r="R772" s="2">
        <v>0.27312192112045119</v>
      </c>
    </row>
    <row r="773" spans="1:18" x14ac:dyDescent="0.3">
      <c r="A773" s="7">
        <v>213</v>
      </c>
      <c r="B773" s="7">
        <v>272</v>
      </c>
      <c r="C773" s="7">
        <v>0</v>
      </c>
      <c r="D773" s="7">
        <v>1</v>
      </c>
      <c r="E773" s="20" t="str">
        <f t="shared" si="12"/>
        <v>01</v>
      </c>
      <c r="F773" s="21">
        <v>1.8245352689949299</v>
      </c>
      <c r="G773" s="4">
        <v>0.45</v>
      </c>
      <c r="H773" s="4">
        <v>0.34313725490196101</v>
      </c>
      <c r="I773" s="4">
        <v>0.26300000000000001</v>
      </c>
      <c r="J773" s="4">
        <v>0.24</v>
      </c>
      <c r="K773" s="5">
        <v>0</v>
      </c>
      <c r="L773" s="5">
        <v>0</v>
      </c>
      <c r="M773" s="5">
        <v>0</v>
      </c>
      <c r="N773" s="5">
        <v>0</v>
      </c>
      <c r="O773" s="2">
        <v>0.79850769621777162</v>
      </c>
      <c r="P773" s="2">
        <v>1.0696247517948567</v>
      </c>
      <c r="Q773" s="2">
        <v>1.3356012468043725</v>
      </c>
      <c r="R773" s="2">
        <v>1.4271163556401458</v>
      </c>
    </row>
    <row r="774" spans="1:18" x14ac:dyDescent="0.3">
      <c r="A774" s="7">
        <v>868</v>
      </c>
      <c r="B774" s="7">
        <v>20</v>
      </c>
      <c r="C774" s="7">
        <v>0</v>
      </c>
      <c r="D774" s="7">
        <v>1</v>
      </c>
      <c r="E774" s="20" t="str">
        <f t="shared" si="12"/>
        <v>01</v>
      </c>
      <c r="F774" s="21">
        <v>1.9904246734834901</v>
      </c>
      <c r="G774" s="4">
        <v>0.43099999999999999</v>
      </c>
      <c r="H774" s="4">
        <v>0.37352245862884198</v>
      </c>
      <c r="I774" s="4">
        <v>0.24</v>
      </c>
      <c r="J774" s="4">
        <v>0.246</v>
      </c>
      <c r="K774" s="5">
        <v>0</v>
      </c>
      <c r="L774" s="5">
        <v>0</v>
      </c>
      <c r="M774" s="5">
        <v>0</v>
      </c>
      <c r="N774" s="5">
        <v>0</v>
      </c>
      <c r="O774" s="2">
        <v>0.8416471888783893</v>
      </c>
      <c r="P774" s="2">
        <v>0.98477714601931021</v>
      </c>
      <c r="Q774" s="2">
        <v>1.4271163556401458</v>
      </c>
      <c r="R774" s="2">
        <v>1.4024237430497744</v>
      </c>
    </row>
    <row r="775" spans="1:18" x14ac:dyDescent="0.3">
      <c r="A775" s="7">
        <v>443</v>
      </c>
      <c r="B775" s="7">
        <v>68</v>
      </c>
      <c r="C775" s="7">
        <v>0</v>
      </c>
      <c r="D775" s="7">
        <v>1</v>
      </c>
      <c r="E775" s="20" t="str">
        <f t="shared" si="12"/>
        <v>01</v>
      </c>
      <c r="F775" s="21">
        <v>2.0446912327078599</v>
      </c>
      <c r="G775" s="4">
        <v>0.50900000000000001</v>
      </c>
      <c r="H775" s="4">
        <v>0.402985074626866</v>
      </c>
      <c r="I775" s="4">
        <v>0.71399999999999997</v>
      </c>
      <c r="J775" s="4">
        <v>0.80100000000000005</v>
      </c>
      <c r="K775" s="5">
        <v>100</v>
      </c>
      <c r="L775" s="5">
        <v>0</v>
      </c>
      <c r="M775" s="5">
        <v>100</v>
      </c>
      <c r="N775" s="5">
        <v>100</v>
      </c>
      <c r="O775" s="2">
        <v>0.67530726243161432</v>
      </c>
      <c r="P775" s="2">
        <v>0.90885575338663616</v>
      </c>
      <c r="Q775" s="2">
        <v>0.33687231664255274</v>
      </c>
      <c r="R775" s="2">
        <v>0.22189433191377778</v>
      </c>
    </row>
    <row r="776" spans="1:18" x14ac:dyDescent="0.3">
      <c r="A776" s="7">
        <v>199</v>
      </c>
      <c r="B776" s="7">
        <v>131</v>
      </c>
      <c r="C776" s="7">
        <v>0</v>
      </c>
      <c r="D776" s="7">
        <v>1</v>
      </c>
      <c r="E776" s="20" t="str">
        <f t="shared" si="12"/>
        <v>01</v>
      </c>
      <c r="F776" s="21">
        <v>2.40160717221208</v>
      </c>
      <c r="G776" s="4">
        <v>0.76800000000000002</v>
      </c>
      <c r="H776" s="4">
        <v>0.59469696969696995</v>
      </c>
      <c r="I776" s="4">
        <v>0.67</v>
      </c>
      <c r="J776" s="4">
        <v>0.57899999999999996</v>
      </c>
      <c r="K776" s="5">
        <v>100</v>
      </c>
      <c r="L776" s="5">
        <v>100</v>
      </c>
      <c r="M776" s="5">
        <v>100</v>
      </c>
      <c r="N776" s="5">
        <v>100</v>
      </c>
      <c r="O776" s="2">
        <v>0.26396554583446485</v>
      </c>
      <c r="P776" s="2">
        <v>0.51970329779800772</v>
      </c>
      <c r="Q776" s="2">
        <v>0.40047756659712525</v>
      </c>
      <c r="R776" s="2">
        <v>0.54645280140914188</v>
      </c>
    </row>
    <row r="777" spans="1:18" x14ac:dyDescent="0.3">
      <c r="A777" s="7">
        <v>981</v>
      </c>
      <c r="B777" s="7">
        <v>49</v>
      </c>
      <c r="C777" s="7">
        <v>0</v>
      </c>
      <c r="D777" s="7">
        <v>1</v>
      </c>
      <c r="E777" s="20" t="str">
        <f t="shared" si="12"/>
        <v>01</v>
      </c>
      <c r="F777" s="21">
        <v>2.5531294490248002</v>
      </c>
      <c r="G777" s="4">
        <v>0.53600000000000003</v>
      </c>
      <c r="H777" s="4">
        <v>0.42512077294686001</v>
      </c>
      <c r="I777" s="4">
        <v>0.375</v>
      </c>
      <c r="J777" s="4">
        <v>0.29899999999999999</v>
      </c>
      <c r="K777" s="5">
        <v>100</v>
      </c>
      <c r="L777" s="5">
        <v>0</v>
      </c>
      <c r="M777" s="5">
        <v>0</v>
      </c>
      <c r="N777" s="5">
        <v>0</v>
      </c>
      <c r="O777" s="2">
        <v>0.62362111791133501</v>
      </c>
      <c r="P777" s="2">
        <v>0.85538197878716238</v>
      </c>
      <c r="Q777" s="2">
        <v>0.98082925301172619</v>
      </c>
      <c r="R777" s="2">
        <v>1.2073117055914506</v>
      </c>
    </row>
    <row r="778" spans="1:18" x14ac:dyDescent="0.3">
      <c r="A778" s="7">
        <v>709</v>
      </c>
      <c r="B778" s="7">
        <v>30</v>
      </c>
      <c r="C778" s="7">
        <v>0</v>
      </c>
      <c r="D778" s="7">
        <v>1</v>
      </c>
      <c r="E778" s="20" t="str">
        <f t="shared" si="12"/>
        <v>01</v>
      </c>
      <c r="F778" s="21">
        <v>2.5868960958503799</v>
      </c>
      <c r="G778" s="4">
        <v>0.42599999999999999</v>
      </c>
      <c r="H778" s="4">
        <v>0.294840294840295</v>
      </c>
      <c r="I778" s="4">
        <v>0.746</v>
      </c>
      <c r="J778" s="4">
        <v>0.67500000000000004</v>
      </c>
      <c r="K778" s="5">
        <v>0</v>
      </c>
      <c r="L778" s="5">
        <v>0</v>
      </c>
      <c r="M778" s="5">
        <v>100</v>
      </c>
      <c r="N778" s="5">
        <v>100</v>
      </c>
      <c r="O778" s="2">
        <v>0.85331593271276662</v>
      </c>
      <c r="P778" s="2">
        <v>1.2213214426605485</v>
      </c>
      <c r="Q778" s="2">
        <v>0.29302967877837621</v>
      </c>
      <c r="R778" s="2">
        <v>0.39304258810960718</v>
      </c>
    </row>
    <row r="779" spans="1:18" x14ac:dyDescent="0.3">
      <c r="A779" s="7">
        <v>399</v>
      </c>
      <c r="B779" s="7">
        <v>3</v>
      </c>
      <c r="C779" s="7">
        <v>0</v>
      </c>
      <c r="D779" s="7">
        <v>1</v>
      </c>
      <c r="E779" s="20" t="str">
        <f t="shared" si="12"/>
        <v>01</v>
      </c>
      <c r="F779" s="21">
        <v>2.59217169512505</v>
      </c>
      <c r="G779" s="4">
        <v>0.54</v>
      </c>
      <c r="H779" s="4">
        <v>0.452554744525547</v>
      </c>
      <c r="I779" s="4">
        <v>0.66</v>
      </c>
      <c r="J779" s="4">
        <v>0.56899999999999995</v>
      </c>
      <c r="K779" s="5">
        <v>100</v>
      </c>
      <c r="L779" s="5">
        <v>0</v>
      </c>
      <c r="M779" s="5">
        <v>100</v>
      </c>
      <c r="N779" s="5">
        <v>100</v>
      </c>
      <c r="O779" s="2">
        <v>0.61618613942381695</v>
      </c>
      <c r="P779" s="2">
        <v>0.79284654078303429</v>
      </c>
      <c r="Q779" s="2">
        <v>0.41551544396166579</v>
      </c>
      <c r="R779" s="2">
        <v>0.56387484485580619</v>
      </c>
    </row>
    <row r="780" spans="1:18" x14ac:dyDescent="0.3">
      <c r="A780" s="7">
        <v>350</v>
      </c>
      <c r="B780" s="7">
        <v>43</v>
      </c>
      <c r="C780" s="7">
        <v>0</v>
      </c>
      <c r="D780" s="7">
        <v>1</v>
      </c>
      <c r="E780" s="20" t="str">
        <f t="shared" si="12"/>
        <v>01</v>
      </c>
      <c r="F780" s="21">
        <v>2.6487166192327098</v>
      </c>
      <c r="G780" s="4">
        <v>0.54600000000000004</v>
      </c>
      <c r="H780" s="4">
        <v>0.41927083333333298</v>
      </c>
      <c r="I780" s="4">
        <v>0.29199999999999998</v>
      </c>
      <c r="J780" s="4">
        <v>0.20799999999999999</v>
      </c>
      <c r="K780" s="5">
        <v>100</v>
      </c>
      <c r="L780" s="5">
        <v>0</v>
      </c>
      <c r="M780" s="5">
        <v>0</v>
      </c>
      <c r="N780" s="5">
        <v>0</v>
      </c>
      <c r="O780" s="2">
        <v>0.60513630323723189</v>
      </c>
      <c r="P780" s="2">
        <v>0.86923818760326466</v>
      </c>
      <c r="Q780" s="2">
        <v>1.2310014767138553</v>
      </c>
      <c r="R780" s="2">
        <v>1.5702171992808192</v>
      </c>
    </row>
    <row r="781" spans="1:18" x14ac:dyDescent="0.3">
      <c r="A781" s="7">
        <v>363</v>
      </c>
      <c r="B781" s="7">
        <v>155</v>
      </c>
      <c r="C781" s="7">
        <v>0</v>
      </c>
      <c r="D781" s="7">
        <v>1</v>
      </c>
      <c r="E781" s="20" t="str">
        <f t="shared" si="12"/>
        <v>01</v>
      </c>
      <c r="F781" s="21">
        <v>2.6940414093970699</v>
      </c>
      <c r="G781" s="4">
        <v>0.56899999999999995</v>
      </c>
      <c r="H781" s="4">
        <v>0.44356955380577401</v>
      </c>
      <c r="I781" s="4">
        <v>0.76100000000000001</v>
      </c>
      <c r="J781" s="4">
        <v>0.51400000000000001</v>
      </c>
      <c r="K781" s="5">
        <v>100</v>
      </c>
      <c r="L781" s="5">
        <v>0</v>
      </c>
      <c r="M781" s="5">
        <v>100</v>
      </c>
      <c r="N781" s="5">
        <v>100</v>
      </c>
      <c r="O781" s="2">
        <v>0.56387484485580619</v>
      </c>
      <c r="P781" s="2">
        <v>0.81290066020362806</v>
      </c>
      <c r="Q781" s="2">
        <v>0.27312192112045119</v>
      </c>
      <c r="R781" s="2">
        <v>0.66553201352697189</v>
      </c>
    </row>
    <row r="782" spans="1:18" x14ac:dyDescent="0.3">
      <c r="A782" s="7">
        <v>889</v>
      </c>
      <c r="B782" s="7">
        <v>8</v>
      </c>
      <c r="C782" s="7">
        <v>0</v>
      </c>
      <c r="D782" s="7">
        <v>1</v>
      </c>
      <c r="E782" s="20" t="str">
        <f t="shared" si="12"/>
        <v>01</v>
      </c>
      <c r="F782" s="21">
        <v>2.8231017582126299</v>
      </c>
      <c r="G782" s="4">
        <v>0.51900000000000002</v>
      </c>
      <c r="H782" s="4">
        <v>0.37343358395990001</v>
      </c>
      <c r="I782" s="4">
        <v>0.27500000000000002</v>
      </c>
      <c r="J782" s="4">
        <v>0.29699999999999999</v>
      </c>
      <c r="K782" s="5">
        <v>100</v>
      </c>
      <c r="L782" s="5">
        <v>0</v>
      </c>
      <c r="M782" s="5">
        <v>0</v>
      </c>
      <c r="N782" s="5">
        <v>0</v>
      </c>
      <c r="O782" s="2">
        <v>0.65585139581624841</v>
      </c>
      <c r="P782" s="2">
        <v>0.98501511094440364</v>
      </c>
      <c r="Q782" s="2">
        <v>1.2909841813155656</v>
      </c>
      <c r="R782" s="2">
        <v>1.2140231401794375</v>
      </c>
    </row>
    <row r="783" spans="1:18" x14ac:dyDescent="0.3">
      <c r="A783" s="7">
        <v>652</v>
      </c>
      <c r="B783" s="7">
        <v>188</v>
      </c>
      <c r="C783" s="7">
        <v>0</v>
      </c>
      <c r="D783" s="7">
        <v>1</v>
      </c>
      <c r="E783" s="20" t="str">
        <f t="shared" si="12"/>
        <v>01</v>
      </c>
      <c r="F783" s="21">
        <v>2.8361951400635101</v>
      </c>
      <c r="G783" s="4">
        <v>0.59599999999999997</v>
      </c>
      <c r="H783" s="4">
        <v>0.488721804511278</v>
      </c>
      <c r="I783" s="4">
        <v>0.85699999999999998</v>
      </c>
      <c r="J783" s="4">
        <v>0.69899999999999995</v>
      </c>
      <c r="K783" s="5">
        <v>100</v>
      </c>
      <c r="L783" s="5">
        <v>0</v>
      </c>
      <c r="M783" s="5">
        <v>100</v>
      </c>
      <c r="N783" s="5">
        <v>100</v>
      </c>
      <c r="O783" s="2">
        <v>0.51751461191678738</v>
      </c>
      <c r="P783" s="2">
        <v>0.71596185832611703</v>
      </c>
      <c r="Q783" s="2">
        <v>0.15431736038435728</v>
      </c>
      <c r="R783" s="2">
        <v>0.35810453674832687</v>
      </c>
    </row>
    <row r="784" spans="1:18" x14ac:dyDescent="0.3">
      <c r="A784" s="7">
        <v>611</v>
      </c>
      <c r="B784" s="7">
        <v>26</v>
      </c>
      <c r="C784" s="7">
        <v>0</v>
      </c>
      <c r="D784" s="7">
        <v>1</v>
      </c>
      <c r="E784" s="20" t="str">
        <f t="shared" si="12"/>
        <v>01</v>
      </c>
      <c r="F784" s="21">
        <v>3.10708709615482</v>
      </c>
      <c r="G784" s="4">
        <v>0.51500000000000001</v>
      </c>
      <c r="H784" s="4">
        <v>0.40100250626566403</v>
      </c>
      <c r="I784" s="4">
        <v>0.71899999999999997</v>
      </c>
      <c r="J784" s="4">
        <v>0.76800000000000002</v>
      </c>
      <c r="K784" s="5">
        <v>100</v>
      </c>
      <c r="L784" s="5">
        <v>0</v>
      </c>
      <c r="M784" s="5">
        <v>100</v>
      </c>
      <c r="N784" s="5">
        <v>100</v>
      </c>
      <c r="O784" s="2">
        <v>0.6635883783184009</v>
      </c>
      <c r="P784" s="2">
        <v>0.9137876016560369</v>
      </c>
      <c r="Q784" s="2">
        <v>0.32989392126109041</v>
      </c>
      <c r="R784" s="2">
        <v>0.26396554583446485</v>
      </c>
    </row>
    <row r="785" spans="1:18" x14ac:dyDescent="0.3">
      <c r="A785" s="7">
        <v>97</v>
      </c>
      <c r="B785" s="7">
        <v>43</v>
      </c>
      <c r="C785" s="7">
        <v>0</v>
      </c>
      <c r="D785" s="7">
        <v>1</v>
      </c>
      <c r="E785" s="20" t="str">
        <f t="shared" si="12"/>
        <v>01</v>
      </c>
      <c r="F785" s="21">
        <v>3.2929522919690299</v>
      </c>
      <c r="G785" s="4">
        <v>0.54700000000000004</v>
      </c>
      <c r="H785" s="4">
        <v>0.45588235294117602</v>
      </c>
      <c r="I785" s="4">
        <v>0.70399999999999996</v>
      </c>
      <c r="J785" s="4">
        <v>0.66700000000000004</v>
      </c>
      <c r="K785" s="5">
        <v>100</v>
      </c>
      <c r="L785" s="5">
        <v>0</v>
      </c>
      <c r="M785" s="5">
        <v>100</v>
      </c>
      <c r="N785" s="5">
        <v>100</v>
      </c>
      <c r="O785" s="2">
        <v>0.60330647656015579</v>
      </c>
      <c r="P785" s="2">
        <v>0.78552050069096147</v>
      </c>
      <c r="Q785" s="2">
        <v>0.35097692282409471</v>
      </c>
      <c r="R785" s="2">
        <v>0.40496523306651327</v>
      </c>
    </row>
    <row r="786" spans="1:18" x14ac:dyDescent="0.3">
      <c r="A786" s="7">
        <v>821</v>
      </c>
      <c r="B786" s="7">
        <v>3</v>
      </c>
      <c r="C786" s="7">
        <v>0</v>
      </c>
      <c r="D786" s="7">
        <v>1</v>
      </c>
      <c r="E786" s="20" t="str">
        <f t="shared" si="12"/>
        <v>01</v>
      </c>
      <c r="F786" s="21">
        <v>3.4348764217196499</v>
      </c>
      <c r="G786" s="4">
        <v>0.55600000000000005</v>
      </c>
      <c r="H786" s="4">
        <v>0.449519230769231</v>
      </c>
      <c r="I786" s="4">
        <v>0.46899999999999997</v>
      </c>
      <c r="J786" s="4">
        <v>0.35399999999999998</v>
      </c>
      <c r="K786" s="5">
        <v>100</v>
      </c>
      <c r="L786" s="5">
        <v>0</v>
      </c>
      <c r="M786" s="5">
        <v>0</v>
      </c>
      <c r="N786" s="5">
        <v>0</v>
      </c>
      <c r="O786" s="2">
        <v>0.58698698473155464</v>
      </c>
      <c r="P786" s="2">
        <v>0.79957664340667611</v>
      </c>
      <c r="Q786" s="2">
        <v>0.75715251053585775</v>
      </c>
      <c r="R786" s="2">
        <v>1.0384583658483626</v>
      </c>
    </row>
    <row r="787" spans="1:18" x14ac:dyDescent="0.3">
      <c r="A787" s="7">
        <v>702</v>
      </c>
      <c r="B787" s="7">
        <v>1</v>
      </c>
      <c r="C787" s="7">
        <v>0</v>
      </c>
      <c r="D787" s="7">
        <v>1</v>
      </c>
      <c r="E787" s="20" t="str">
        <f t="shared" si="12"/>
        <v>01</v>
      </c>
      <c r="F787" s="21">
        <v>4.30720338683793</v>
      </c>
      <c r="G787" s="4">
        <v>0.58699999999999997</v>
      </c>
      <c r="H787" s="4">
        <v>0.50839328537170303</v>
      </c>
      <c r="I787" s="4">
        <v>0.51300000000000001</v>
      </c>
      <c r="J787" s="4">
        <v>0.36199999999999999</v>
      </c>
      <c r="K787" s="5">
        <v>100</v>
      </c>
      <c r="L787" s="5">
        <v>100</v>
      </c>
      <c r="M787" s="5">
        <v>100</v>
      </c>
      <c r="N787" s="5">
        <v>0</v>
      </c>
      <c r="O787" s="2">
        <v>0.53273045915404071</v>
      </c>
      <c r="P787" s="2">
        <v>0.67649994712678818</v>
      </c>
      <c r="Q787" s="2">
        <v>0.66747943381136754</v>
      </c>
      <c r="R787" s="2">
        <v>1.016111067156366</v>
      </c>
    </row>
    <row r="788" spans="1:18" x14ac:dyDescent="0.3">
      <c r="A788" s="7">
        <v>216</v>
      </c>
      <c r="B788" s="7">
        <v>11</v>
      </c>
      <c r="C788" s="7">
        <v>0</v>
      </c>
      <c r="D788" s="7">
        <v>1</v>
      </c>
      <c r="E788" s="20" t="str">
        <f t="shared" si="12"/>
        <v>01</v>
      </c>
      <c r="F788" s="21">
        <v>5.0147039141787104</v>
      </c>
      <c r="G788" s="4">
        <v>0.434</v>
      </c>
      <c r="H788" s="4">
        <v>0.30392156862745101</v>
      </c>
      <c r="I788" s="4">
        <v>0.36399999999999999</v>
      </c>
      <c r="J788" s="4">
        <v>0.35699999999999998</v>
      </c>
      <c r="K788" s="5">
        <v>0</v>
      </c>
      <c r="L788" s="5">
        <v>0</v>
      </c>
      <c r="M788" s="5">
        <v>0</v>
      </c>
      <c r="N788" s="5">
        <v>0</v>
      </c>
      <c r="O788" s="2">
        <v>0.83471074488173225</v>
      </c>
      <c r="P788" s="2">
        <v>1.1909856087991246</v>
      </c>
      <c r="Q788" s="2">
        <v>1.0106014113453965</v>
      </c>
      <c r="R788" s="2">
        <v>1.0300194972024981</v>
      </c>
    </row>
    <row r="789" spans="1:18" x14ac:dyDescent="0.3">
      <c r="A789" s="7">
        <v>641</v>
      </c>
      <c r="B789" s="7">
        <v>386</v>
      </c>
      <c r="C789" s="7">
        <v>1</v>
      </c>
      <c r="D789" s="7">
        <v>0</v>
      </c>
      <c r="E789" s="20" t="str">
        <f t="shared" si="12"/>
        <v>10</v>
      </c>
      <c r="F789" s="21">
        <v>0.15660130720900201</v>
      </c>
      <c r="G789" s="4">
        <v>0.66100000000000003</v>
      </c>
      <c r="H789" s="4">
        <v>0.98936170212765995</v>
      </c>
      <c r="I789" s="4">
        <v>2.8000000000000001E-2</v>
      </c>
      <c r="J789" s="4">
        <v>1.4E-2</v>
      </c>
      <c r="K789" s="5">
        <v>0</v>
      </c>
      <c r="L789" s="5">
        <v>0</v>
      </c>
      <c r="M789" s="5">
        <v>100</v>
      </c>
      <c r="N789" s="5">
        <v>100</v>
      </c>
      <c r="O789" s="2">
        <v>1.0817551716016869</v>
      </c>
      <c r="P789" s="2">
        <v>4.5432947822700394</v>
      </c>
      <c r="Q789" s="2">
        <v>2.8399474521698002E-2</v>
      </c>
      <c r="R789" s="2">
        <v>1.4098924379501648E-2</v>
      </c>
    </row>
    <row r="790" spans="1:18" x14ac:dyDescent="0.3">
      <c r="A790" s="7">
        <v>20</v>
      </c>
      <c r="B790" s="7">
        <v>325</v>
      </c>
      <c r="C790" s="7">
        <v>1</v>
      </c>
      <c r="D790" s="7">
        <v>0</v>
      </c>
      <c r="E790" s="20" t="str">
        <f t="shared" si="12"/>
        <v>10</v>
      </c>
      <c r="F790" s="21">
        <v>0.25149710997459002</v>
      </c>
      <c r="G790" s="4">
        <v>0.55100000000000005</v>
      </c>
      <c r="H790" s="4">
        <v>0.79473684210526296</v>
      </c>
      <c r="I790" s="4">
        <v>3.9E-2</v>
      </c>
      <c r="J790" s="4">
        <v>0.04</v>
      </c>
      <c r="K790" s="5">
        <v>0</v>
      </c>
      <c r="L790" s="5">
        <v>0</v>
      </c>
      <c r="M790" s="5">
        <v>100</v>
      </c>
      <c r="N790" s="5">
        <v>100</v>
      </c>
      <c r="O790" s="2">
        <v>0.80073239123988282</v>
      </c>
      <c r="P790" s="2">
        <v>1.5834624260308388</v>
      </c>
      <c r="Q790" s="2">
        <v>3.9780870011844598E-2</v>
      </c>
      <c r="R790" s="2">
        <v>4.0821994520255166E-2</v>
      </c>
    </row>
    <row r="791" spans="1:18" x14ac:dyDescent="0.3">
      <c r="A791" s="7">
        <v>153</v>
      </c>
      <c r="B791" s="7">
        <v>101</v>
      </c>
      <c r="C791" s="7">
        <v>1</v>
      </c>
      <c r="D791" s="7">
        <v>0</v>
      </c>
      <c r="E791" s="20" t="str">
        <f t="shared" si="12"/>
        <v>10</v>
      </c>
      <c r="F791" s="21">
        <v>0.88092365513906601</v>
      </c>
      <c r="G791" s="4">
        <v>0.53700000000000003</v>
      </c>
      <c r="H791" s="4">
        <v>0.90833333333333299</v>
      </c>
      <c r="I791" s="4">
        <v>0.622</v>
      </c>
      <c r="J791" s="4">
        <v>0.59099999999999997</v>
      </c>
      <c r="K791" s="5">
        <v>0</v>
      </c>
      <c r="L791" s="5">
        <v>0</v>
      </c>
      <c r="M791" s="5">
        <v>0</v>
      </c>
      <c r="N791" s="5">
        <v>0</v>
      </c>
      <c r="O791" s="2">
        <v>0.77002822489590306</v>
      </c>
      <c r="P791" s="2">
        <v>2.3895964699836716</v>
      </c>
      <c r="Q791" s="2">
        <v>0.97286108336254939</v>
      </c>
      <c r="R791" s="2">
        <v>0.89404012293933521</v>
      </c>
    </row>
    <row r="792" spans="1:18" x14ac:dyDescent="0.3">
      <c r="A792" s="7">
        <v>832</v>
      </c>
      <c r="B792" s="7">
        <v>497</v>
      </c>
      <c r="C792" s="7">
        <v>1</v>
      </c>
      <c r="D792" s="7">
        <v>1</v>
      </c>
      <c r="E792" s="20" t="str">
        <f t="shared" si="12"/>
        <v>11</v>
      </c>
      <c r="F792" s="21">
        <v>1.06357420518077E-3</v>
      </c>
      <c r="G792" s="4">
        <v>0.6</v>
      </c>
      <c r="H792" s="4">
        <v>1</v>
      </c>
      <c r="I792" s="4">
        <v>1</v>
      </c>
      <c r="J792" s="4">
        <v>1</v>
      </c>
      <c r="K792" s="5">
        <v>100</v>
      </c>
      <c r="L792" s="5">
        <v>100</v>
      </c>
      <c r="M792" s="5">
        <v>100</v>
      </c>
      <c r="N792" s="5">
        <v>100</v>
      </c>
      <c r="O792" s="2">
        <v>0.51082562376599072</v>
      </c>
      <c r="P792" s="2">
        <v>1.0000050000287824E-5</v>
      </c>
      <c r="Q792" s="2">
        <v>1.0000050000287824E-5</v>
      </c>
      <c r="R792" s="2">
        <v>1.0000050000287824E-5</v>
      </c>
    </row>
    <row r="793" spans="1:18" x14ac:dyDescent="0.3">
      <c r="A793" s="7">
        <v>149</v>
      </c>
      <c r="B793" s="7">
        <v>500</v>
      </c>
      <c r="C793" s="7">
        <v>1</v>
      </c>
      <c r="D793" s="7">
        <v>1</v>
      </c>
      <c r="E793" s="20" t="str">
        <f t="shared" si="12"/>
        <v>11</v>
      </c>
      <c r="F793" s="21">
        <v>1.09435541259876E-3</v>
      </c>
      <c r="G793" s="4">
        <v>0.56499999999999995</v>
      </c>
      <c r="H793" s="4">
        <v>1</v>
      </c>
      <c r="I793" s="4">
        <v>1</v>
      </c>
      <c r="J793" s="4">
        <v>1</v>
      </c>
      <c r="K793" s="5">
        <v>100</v>
      </c>
      <c r="L793" s="5">
        <v>100</v>
      </c>
      <c r="M793" s="5">
        <v>100</v>
      </c>
      <c r="N793" s="5">
        <v>100</v>
      </c>
      <c r="O793" s="2">
        <v>0.57092954783569616</v>
      </c>
      <c r="P793" s="2">
        <v>1.0000050000287824E-5</v>
      </c>
      <c r="Q793" s="2">
        <v>1.0000050000287824E-5</v>
      </c>
      <c r="R793" s="2">
        <v>1.0000050000287824E-5</v>
      </c>
    </row>
    <row r="794" spans="1:18" x14ac:dyDescent="0.3">
      <c r="A794" s="7">
        <v>672</v>
      </c>
      <c r="B794" s="7">
        <v>498</v>
      </c>
      <c r="C794" s="7">
        <v>1</v>
      </c>
      <c r="D794" s="7">
        <v>1</v>
      </c>
      <c r="E794" s="20" t="str">
        <f t="shared" si="12"/>
        <v>11</v>
      </c>
      <c r="F794" s="21">
        <v>1.1994527518999899E-3</v>
      </c>
      <c r="G794" s="4">
        <v>0.49</v>
      </c>
      <c r="H794" s="4">
        <v>1</v>
      </c>
      <c r="I794" s="4">
        <v>1</v>
      </c>
      <c r="J794" s="4">
        <v>1</v>
      </c>
      <c r="K794" s="5">
        <v>0</v>
      </c>
      <c r="L794" s="5">
        <v>100</v>
      </c>
      <c r="M794" s="5">
        <v>100</v>
      </c>
      <c r="N794" s="5">
        <v>100</v>
      </c>
      <c r="O794" s="2">
        <v>0.71334988787746478</v>
      </c>
      <c r="P794" s="2">
        <v>1.0000050000287824E-5</v>
      </c>
      <c r="Q794" s="2">
        <v>1.0000050000287824E-5</v>
      </c>
      <c r="R794" s="2">
        <v>1.0000050000287824E-5</v>
      </c>
    </row>
    <row r="795" spans="1:18" x14ac:dyDescent="0.3">
      <c r="A795" s="7">
        <v>276</v>
      </c>
      <c r="B795" s="7">
        <v>493</v>
      </c>
      <c r="C795" s="7">
        <v>1</v>
      </c>
      <c r="D795" s="7">
        <v>1</v>
      </c>
      <c r="E795" s="20" t="str">
        <f t="shared" si="12"/>
        <v>11</v>
      </c>
      <c r="F795" s="21">
        <v>4.1175653259693601E-3</v>
      </c>
      <c r="G795" s="4">
        <v>0.41699999999999998</v>
      </c>
      <c r="H795" s="4">
        <v>1</v>
      </c>
      <c r="I795" s="4">
        <v>1</v>
      </c>
      <c r="J795" s="4">
        <v>1</v>
      </c>
      <c r="K795" s="5">
        <v>0</v>
      </c>
      <c r="L795" s="5">
        <v>100</v>
      </c>
      <c r="M795" s="5">
        <v>100</v>
      </c>
      <c r="N795" s="5">
        <v>100</v>
      </c>
      <c r="O795" s="2">
        <v>0.87466905718333565</v>
      </c>
      <c r="P795" s="2">
        <v>1.0000050000287824E-5</v>
      </c>
      <c r="Q795" s="2">
        <v>1.0000050000287824E-5</v>
      </c>
      <c r="R795" s="2">
        <v>1.0000050000287824E-5</v>
      </c>
    </row>
    <row r="796" spans="1:18" x14ac:dyDescent="0.3">
      <c r="A796" s="7">
        <v>162</v>
      </c>
      <c r="B796" s="7">
        <v>495</v>
      </c>
      <c r="C796" s="7">
        <v>1</v>
      </c>
      <c r="D796" s="7">
        <v>1</v>
      </c>
      <c r="E796" s="20" t="str">
        <f t="shared" si="12"/>
        <v>11</v>
      </c>
      <c r="F796" s="21">
        <v>6.0345038187819703E-3</v>
      </c>
      <c r="G796" s="4">
        <v>0.42899999999999999</v>
      </c>
      <c r="H796" s="4">
        <v>1</v>
      </c>
      <c r="I796" s="4">
        <v>0.998</v>
      </c>
      <c r="J796" s="4">
        <v>1</v>
      </c>
      <c r="K796" s="5">
        <v>0</v>
      </c>
      <c r="L796" s="5">
        <v>100</v>
      </c>
      <c r="M796" s="5">
        <v>100</v>
      </c>
      <c r="N796" s="5">
        <v>100</v>
      </c>
      <c r="O796" s="2">
        <v>0.84629836005412007</v>
      </c>
      <c r="P796" s="2">
        <v>1.0000050000287824E-5</v>
      </c>
      <c r="Q796" s="2">
        <v>2.0020026706730793E-3</v>
      </c>
      <c r="R796" s="2">
        <v>1.0000050000287824E-5</v>
      </c>
    </row>
    <row r="797" spans="1:18" x14ac:dyDescent="0.3">
      <c r="A797" s="7">
        <v>406</v>
      </c>
      <c r="B797" s="7">
        <v>492</v>
      </c>
      <c r="C797" s="7">
        <v>1</v>
      </c>
      <c r="D797" s="7">
        <v>1</v>
      </c>
      <c r="E797" s="20" t="str">
        <f t="shared" si="12"/>
        <v>11</v>
      </c>
      <c r="F797" s="21">
        <v>7.5754197327975404E-3</v>
      </c>
      <c r="G797" s="4">
        <v>0.55900000000000005</v>
      </c>
      <c r="H797" s="4">
        <v>1</v>
      </c>
      <c r="I797" s="4">
        <v>1</v>
      </c>
      <c r="J797" s="4">
        <v>1</v>
      </c>
      <c r="K797" s="5">
        <v>100</v>
      </c>
      <c r="L797" s="5">
        <v>100</v>
      </c>
      <c r="M797" s="5">
        <v>100</v>
      </c>
      <c r="N797" s="5">
        <v>100</v>
      </c>
      <c r="O797" s="2">
        <v>0.5816058058270378</v>
      </c>
      <c r="P797" s="2">
        <v>1.0000050000287824E-5</v>
      </c>
      <c r="Q797" s="2">
        <v>1.0000050000287824E-5</v>
      </c>
      <c r="R797" s="2">
        <v>1.0000050000287824E-5</v>
      </c>
    </row>
    <row r="798" spans="1:18" x14ac:dyDescent="0.3">
      <c r="A798" s="7">
        <v>218</v>
      </c>
      <c r="B798" s="7">
        <v>494</v>
      </c>
      <c r="C798" s="7">
        <v>1</v>
      </c>
      <c r="D798" s="7">
        <v>1</v>
      </c>
      <c r="E798" s="20" t="str">
        <f t="shared" si="12"/>
        <v>11</v>
      </c>
      <c r="F798" s="21">
        <v>8.7047289816239107E-3</v>
      </c>
      <c r="G798" s="4">
        <v>0.71599999999999997</v>
      </c>
      <c r="H798" s="4">
        <v>1</v>
      </c>
      <c r="I798" s="4">
        <v>0.999</v>
      </c>
      <c r="J798" s="4">
        <v>1</v>
      </c>
      <c r="K798" s="5">
        <v>100</v>
      </c>
      <c r="L798" s="5">
        <v>100</v>
      </c>
      <c r="M798" s="5">
        <v>100</v>
      </c>
      <c r="N798" s="5">
        <v>100</v>
      </c>
      <c r="O798" s="2">
        <v>0.33407511202149148</v>
      </c>
      <c r="P798" s="2">
        <v>1.0000050000287824E-5</v>
      </c>
      <c r="Q798" s="2">
        <v>1.0005003335835344E-3</v>
      </c>
      <c r="R798" s="2">
        <v>1.0000050000287824E-5</v>
      </c>
    </row>
    <row r="799" spans="1:18" x14ac:dyDescent="0.3">
      <c r="A799" s="7">
        <v>731</v>
      </c>
      <c r="B799" s="7">
        <v>487</v>
      </c>
      <c r="C799" s="7">
        <v>1</v>
      </c>
      <c r="D799" s="7">
        <v>1</v>
      </c>
      <c r="E799" s="20" t="str">
        <f t="shared" si="12"/>
        <v>11</v>
      </c>
      <c r="F799" s="21">
        <v>1.35578564105211E-2</v>
      </c>
      <c r="G799" s="4">
        <v>0.51200000000000001</v>
      </c>
      <c r="H799" s="4">
        <v>1</v>
      </c>
      <c r="I799" s="4">
        <v>0.998</v>
      </c>
      <c r="J799" s="4">
        <v>1</v>
      </c>
      <c r="K799" s="5">
        <v>100</v>
      </c>
      <c r="L799" s="5">
        <v>100</v>
      </c>
      <c r="M799" s="5">
        <v>100</v>
      </c>
      <c r="N799" s="5">
        <v>100</v>
      </c>
      <c r="O799" s="2">
        <v>0.66943065394262924</v>
      </c>
      <c r="P799" s="2">
        <v>1.0000050000287824E-5</v>
      </c>
      <c r="Q799" s="2">
        <v>2.0020026706730793E-3</v>
      </c>
      <c r="R799" s="2">
        <v>1.0000050000287824E-5</v>
      </c>
    </row>
    <row r="800" spans="1:18" x14ac:dyDescent="0.3">
      <c r="A800" s="7">
        <v>861</v>
      </c>
      <c r="B800" s="7">
        <v>485</v>
      </c>
      <c r="C800" s="7">
        <v>1</v>
      </c>
      <c r="D800" s="7">
        <v>1</v>
      </c>
      <c r="E800" s="20" t="str">
        <f t="shared" si="12"/>
        <v>11</v>
      </c>
      <c r="F800" s="21">
        <v>1.4582984378177E-2</v>
      </c>
      <c r="G800" s="4">
        <v>0.32500000000000001</v>
      </c>
      <c r="H800" s="4">
        <v>0.97368421052631604</v>
      </c>
      <c r="I800" s="4">
        <v>0.995</v>
      </c>
      <c r="J800" s="4">
        <v>0.999</v>
      </c>
      <c r="K800" s="5">
        <v>0</v>
      </c>
      <c r="L800" s="5">
        <v>100</v>
      </c>
      <c r="M800" s="5">
        <v>100</v>
      </c>
      <c r="N800" s="5">
        <v>100</v>
      </c>
      <c r="O800" s="2">
        <v>1.1239300966523995</v>
      </c>
      <c r="P800" s="2">
        <v>2.6668247082161069E-2</v>
      </c>
      <c r="Q800" s="2">
        <v>5.0125418235442863E-3</v>
      </c>
      <c r="R800" s="2">
        <v>1.0005003335835344E-3</v>
      </c>
    </row>
    <row r="801" spans="1:18" x14ac:dyDescent="0.3">
      <c r="A801" s="7">
        <v>846</v>
      </c>
      <c r="B801" s="7">
        <v>464</v>
      </c>
      <c r="C801" s="7">
        <v>1</v>
      </c>
      <c r="D801" s="7">
        <v>1</v>
      </c>
      <c r="E801" s="20" t="str">
        <f t="shared" si="12"/>
        <v>11</v>
      </c>
      <c r="F801" s="21">
        <v>2.1219213856898799E-2</v>
      </c>
      <c r="G801" s="4">
        <v>0.46300000000000002</v>
      </c>
      <c r="H801" s="4">
        <v>1</v>
      </c>
      <c r="I801" s="4">
        <v>0.996</v>
      </c>
      <c r="J801" s="4">
        <v>1</v>
      </c>
      <c r="K801" s="5">
        <v>0</v>
      </c>
      <c r="L801" s="5">
        <v>100</v>
      </c>
      <c r="M801" s="5">
        <v>100</v>
      </c>
      <c r="N801" s="5">
        <v>100</v>
      </c>
      <c r="O801" s="2">
        <v>0.77002822489590295</v>
      </c>
      <c r="P801" s="2">
        <v>1.0000050000287824E-5</v>
      </c>
      <c r="Q801" s="2">
        <v>4.0080213975388218E-3</v>
      </c>
      <c r="R801" s="2">
        <v>1.0000050000287824E-5</v>
      </c>
    </row>
    <row r="802" spans="1:18" x14ac:dyDescent="0.3">
      <c r="A802" s="7">
        <v>136</v>
      </c>
      <c r="B802" s="7">
        <v>473</v>
      </c>
      <c r="C802" s="7">
        <v>1</v>
      </c>
      <c r="D802" s="7">
        <v>1</v>
      </c>
      <c r="E802" s="20" t="str">
        <f t="shared" si="12"/>
        <v>11</v>
      </c>
      <c r="F802" s="21">
        <v>2.2595329330841001E-2</v>
      </c>
      <c r="G802" s="4">
        <v>0.49299999999999999</v>
      </c>
      <c r="H802" s="4">
        <v>1</v>
      </c>
      <c r="I802" s="4">
        <v>0.997</v>
      </c>
      <c r="J802" s="4">
        <v>1</v>
      </c>
      <c r="K802" s="5">
        <v>0</v>
      </c>
      <c r="L802" s="5">
        <v>100</v>
      </c>
      <c r="M802" s="5">
        <v>100</v>
      </c>
      <c r="N802" s="5">
        <v>100</v>
      </c>
      <c r="O802" s="2">
        <v>0.70724610493944695</v>
      </c>
      <c r="P802" s="2">
        <v>1.0000050000287824E-5</v>
      </c>
      <c r="Q802" s="2">
        <v>3.0045090202987243E-3</v>
      </c>
      <c r="R802" s="2">
        <v>1.0000050000287824E-5</v>
      </c>
    </row>
    <row r="803" spans="1:18" x14ac:dyDescent="0.3">
      <c r="A803" s="7">
        <v>209</v>
      </c>
      <c r="B803" s="7">
        <v>482</v>
      </c>
      <c r="C803" s="7">
        <v>1</v>
      </c>
      <c r="D803" s="7">
        <v>1</v>
      </c>
      <c r="E803" s="20" t="str">
        <f t="shared" si="12"/>
        <v>11</v>
      </c>
      <c r="F803" s="21">
        <v>2.31321314520384E-2</v>
      </c>
      <c r="G803" s="4">
        <v>0.90300000000000002</v>
      </c>
      <c r="H803" s="4">
        <v>1</v>
      </c>
      <c r="I803" s="4">
        <v>0.998</v>
      </c>
      <c r="J803" s="4">
        <v>1</v>
      </c>
      <c r="K803" s="5">
        <v>100</v>
      </c>
      <c r="L803" s="5">
        <v>100</v>
      </c>
      <c r="M803" s="5">
        <v>100</v>
      </c>
      <c r="N803" s="5">
        <v>100</v>
      </c>
      <c r="O803" s="2">
        <v>0.10203272556515161</v>
      </c>
      <c r="P803" s="2">
        <v>1.0000050000287824E-5</v>
      </c>
      <c r="Q803" s="2">
        <v>2.0020026706730793E-3</v>
      </c>
      <c r="R803" s="2">
        <v>1.0000050000287824E-5</v>
      </c>
    </row>
    <row r="804" spans="1:18" x14ac:dyDescent="0.3">
      <c r="A804" s="7">
        <v>757</v>
      </c>
      <c r="B804" s="7">
        <v>480</v>
      </c>
      <c r="C804" s="7">
        <v>1</v>
      </c>
      <c r="D804" s="7">
        <v>1</v>
      </c>
      <c r="E804" s="20" t="str">
        <f t="shared" si="12"/>
        <v>11</v>
      </c>
      <c r="F804" s="21">
        <v>2.45249204299961E-2</v>
      </c>
      <c r="G804" s="4">
        <v>0.50600000000000001</v>
      </c>
      <c r="H804" s="4">
        <v>0.96875</v>
      </c>
      <c r="I804" s="4">
        <v>0.997</v>
      </c>
      <c r="J804" s="4">
        <v>0.998</v>
      </c>
      <c r="K804" s="5">
        <v>100</v>
      </c>
      <c r="L804" s="5">
        <v>100</v>
      </c>
      <c r="M804" s="5">
        <v>100</v>
      </c>
      <c r="N804" s="5">
        <v>100</v>
      </c>
      <c r="O804" s="2">
        <v>0.68121860969467152</v>
      </c>
      <c r="P804" s="2">
        <v>3.1748698314580298E-2</v>
      </c>
      <c r="Q804" s="2">
        <v>3.0045090202987243E-3</v>
      </c>
      <c r="R804" s="2">
        <v>2.0020026706730793E-3</v>
      </c>
    </row>
    <row r="805" spans="1:18" x14ac:dyDescent="0.3">
      <c r="A805" s="7">
        <v>577</v>
      </c>
      <c r="B805" s="7">
        <v>476</v>
      </c>
      <c r="C805" s="7">
        <v>1</v>
      </c>
      <c r="D805" s="7">
        <v>1</v>
      </c>
      <c r="E805" s="20" t="str">
        <f t="shared" si="12"/>
        <v>11</v>
      </c>
      <c r="F805" s="21">
        <v>2.4644421130169701E-2</v>
      </c>
      <c r="G805" s="4">
        <v>0.51200000000000001</v>
      </c>
      <c r="H805" s="4">
        <v>0.99324324324324298</v>
      </c>
      <c r="I805" s="4">
        <v>0.999</v>
      </c>
      <c r="J805" s="4">
        <v>1</v>
      </c>
      <c r="K805" s="5">
        <v>100</v>
      </c>
      <c r="L805" s="5">
        <v>100</v>
      </c>
      <c r="M805" s="5">
        <v>100</v>
      </c>
      <c r="N805" s="5">
        <v>100</v>
      </c>
      <c r="O805" s="2">
        <v>0.66943065394262924</v>
      </c>
      <c r="P805" s="2">
        <v>6.7796869853790276E-3</v>
      </c>
      <c r="Q805" s="2">
        <v>1.0005003335835344E-3</v>
      </c>
      <c r="R805" s="2">
        <v>1.0000050000287824E-5</v>
      </c>
    </row>
    <row r="806" spans="1:18" x14ac:dyDescent="0.3">
      <c r="A806" s="7">
        <v>696</v>
      </c>
      <c r="B806" s="7">
        <v>474</v>
      </c>
      <c r="C806" s="7">
        <v>1</v>
      </c>
      <c r="D806" s="7">
        <v>1</v>
      </c>
      <c r="E806" s="20" t="str">
        <f t="shared" si="12"/>
        <v>11</v>
      </c>
      <c r="F806" s="21">
        <v>2.75506243363055E-2</v>
      </c>
      <c r="G806" s="4">
        <v>0.55700000000000005</v>
      </c>
      <c r="H806" s="4">
        <v>1</v>
      </c>
      <c r="I806" s="4">
        <v>0.996</v>
      </c>
      <c r="J806" s="4">
        <v>1</v>
      </c>
      <c r="K806" s="5">
        <v>100</v>
      </c>
      <c r="L806" s="5">
        <v>100</v>
      </c>
      <c r="M806" s="5">
        <v>100</v>
      </c>
      <c r="N806" s="5">
        <v>100</v>
      </c>
      <c r="O806" s="2">
        <v>0.5851900390548529</v>
      </c>
      <c r="P806" s="2">
        <v>1.0000050000287824E-5</v>
      </c>
      <c r="Q806" s="2">
        <v>4.0080213975388218E-3</v>
      </c>
      <c r="R806" s="2">
        <v>1.0000050000287824E-5</v>
      </c>
    </row>
    <row r="807" spans="1:18" x14ac:dyDescent="0.3">
      <c r="A807" s="7">
        <v>91</v>
      </c>
      <c r="B807" s="7">
        <v>471</v>
      </c>
      <c r="C807" s="7">
        <v>1</v>
      </c>
      <c r="D807" s="7">
        <v>1</v>
      </c>
      <c r="E807" s="20" t="str">
        <f t="shared" si="12"/>
        <v>11</v>
      </c>
      <c r="F807" s="21">
        <v>3.1435133257700497E-2</v>
      </c>
      <c r="G807" s="4">
        <v>0.72599999999999998</v>
      </c>
      <c r="H807" s="4">
        <v>1</v>
      </c>
      <c r="I807" s="4">
        <v>0.999</v>
      </c>
      <c r="J807" s="4">
        <v>1</v>
      </c>
      <c r="K807" s="5">
        <v>100</v>
      </c>
      <c r="L807" s="5">
        <v>100</v>
      </c>
      <c r="M807" s="5">
        <v>100</v>
      </c>
      <c r="N807" s="5">
        <v>100</v>
      </c>
      <c r="O807" s="2">
        <v>0.32020526415734102</v>
      </c>
      <c r="P807" s="2">
        <v>1.0000050000287824E-5</v>
      </c>
      <c r="Q807" s="2">
        <v>1.0005003335835344E-3</v>
      </c>
      <c r="R807" s="2">
        <v>1.0000050000287824E-5</v>
      </c>
    </row>
    <row r="808" spans="1:18" x14ac:dyDescent="0.3">
      <c r="A808" s="7">
        <v>315</v>
      </c>
      <c r="B808" s="7">
        <v>466</v>
      </c>
      <c r="C808" s="7">
        <v>1</v>
      </c>
      <c r="D808" s="7">
        <v>1</v>
      </c>
      <c r="E808" s="20" t="str">
        <f t="shared" si="12"/>
        <v>11</v>
      </c>
      <c r="F808" s="21">
        <v>3.7107043866047899E-2</v>
      </c>
      <c r="G808" s="4">
        <v>0.57799999999999996</v>
      </c>
      <c r="H808" s="4">
        <v>0.99159663865546199</v>
      </c>
      <c r="I808" s="4">
        <v>0.99299999999999999</v>
      </c>
      <c r="J808" s="4">
        <v>1</v>
      </c>
      <c r="K808" s="5">
        <v>100</v>
      </c>
      <c r="L808" s="5">
        <v>100</v>
      </c>
      <c r="M808" s="5">
        <v>100</v>
      </c>
      <c r="N808" s="5">
        <v>100</v>
      </c>
      <c r="O808" s="2">
        <v>0.54818141030975964</v>
      </c>
      <c r="P808" s="2">
        <v>8.4388686458648186E-3</v>
      </c>
      <c r="Q808" s="2">
        <v>7.0246149369644663E-3</v>
      </c>
      <c r="R808" s="2">
        <v>1.0000050000287824E-5</v>
      </c>
    </row>
    <row r="809" spans="1:18" x14ac:dyDescent="0.3">
      <c r="A809" s="7">
        <v>289</v>
      </c>
      <c r="B809" s="7">
        <v>466</v>
      </c>
      <c r="C809" s="7">
        <v>1</v>
      </c>
      <c r="D809" s="7">
        <v>1</v>
      </c>
      <c r="E809" s="20" t="str">
        <f t="shared" si="12"/>
        <v>11</v>
      </c>
      <c r="F809" s="21">
        <v>4.0635085849753901E-2</v>
      </c>
      <c r="G809" s="4">
        <v>0.432</v>
      </c>
      <c r="H809" s="4">
        <v>1</v>
      </c>
      <c r="I809" s="4">
        <v>0.99199999999999999</v>
      </c>
      <c r="J809" s="4">
        <v>1</v>
      </c>
      <c r="K809" s="5">
        <v>0</v>
      </c>
      <c r="L809" s="5">
        <v>100</v>
      </c>
      <c r="M809" s="5">
        <v>100</v>
      </c>
      <c r="N809" s="5">
        <v>100</v>
      </c>
      <c r="O809" s="2">
        <v>0.83932969073802677</v>
      </c>
      <c r="P809" s="2">
        <v>1.0000050000287824E-5</v>
      </c>
      <c r="Q809" s="2">
        <v>8.0321716972642666E-3</v>
      </c>
      <c r="R809" s="2">
        <v>1.0000050000287824E-5</v>
      </c>
    </row>
    <row r="810" spans="1:18" x14ac:dyDescent="0.3">
      <c r="A810" s="7">
        <v>555</v>
      </c>
      <c r="B810" s="7">
        <v>472</v>
      </c>
      <c r="C810" s="7">
        <v>1</v>
      </c>
      <c r="D810" s="7">
        <v>1</v>
      </c>
      <c r="E810" s="20" t="str">
        <f t="shared" si="12"/>
        <v>11</v>
      </c>
      <c r="F810" s="21">
        <v>4.3256909142768897E-2</v>
      </c>
      <c r="G810" s="4">
        <v>0.41499999999999998</v>
      </c>
      <c r="H810" s="4">
        <v>0.96103896103896103</v>
      </c>
      <c r="I810" s="4">
        <v>0.996</v>
      </c>
      <c r="J810" s="4">
        <v>1</v>
      </c>
      <c r="K810" s="5">
        <v>0</v>
      </c>
      <c r="L810" s="5">
        <v>100</v>
      </c>
      <c r="M810" s="5">
        <v>100</v>
      </c>
      <c r="N810" s="5">
        <v>100</v>
      </c>
      <c r="O810" s="2">
        <v>0.87947675875143883</v>
      </c>
      <c r="P810" s="2">
        <v>3.9740328649514108E-2</v>
      </c>
      <c r="Q810" s="2">
        <v>4.0080213975388218E-3</v>
      </c>
      <c r="R810" s="2">
        <v>1.0000050000287824E-5</v>
      </c>
    </row>
    <row r="811" spans="1:18" x14ac:dyDescent="0.3">
      <c r="A811" s="7">
        <v>269</v>
      </c>
      <c r="B811" s="7">
        <v>460</v>
      </c>
      <c r="C811" s="7">
        <v>1</v>
      </c>
      <c r="D811" s="7">
        <v>1</v>
      </c>
      <c r="E811" s="20" t="str">
        <f t="shared" si="12"/>
        <v>11</v>
      </c>
      <c r="F811" s="21">
        <v>5.0143197703198299E-2</v>
      </c>
      <c r="G811" s="4">
        <v>0.74299999999999999</v>
      </c>
      <c r="H811" s="4">
        <v>1</v>
      </c>
      <c r="I811" s="4">
        <v>0.996</v>
      </c>
      <c r="J811" s="4">
        <v>1</v>
      </c>
      <c r="K811" s="5">
        <v>100</v>
      </c>
      <c r="L811" s="5">
        <v>100</v>
      </c>
      <c r="M811" s="5">
        <v>100</v>
      </c>
      <c r="N811" s="5">
        <v>100</v>
      </c>
      <c r="O811" s="2">
        <v>0.29705923426437791</v>
      </c>
      <c r="P811" s="2">
        <v>1.0000050000287824E-5</v>
      </c>
      <c r="Q811" s="2">
        <v>4.0080213975388218E-3</v>
      </c>
      <c r="R811" s="2">
        <v>1.0000050000287824E-5</v>
      </c>
    </row>
    <row r="812" spans="1:18" x14ac:dyDescent="0.3">
      <c r="A812" s="7">
        <v>59</v>
      </c>
      <c r="B812" s="7">
        <v>459</v>
      </c>
      <c r="C812" s="7">
        <v>1</v>
      </c>
      <c r="D812" s="7">
        <v>1</v>
      </c>
      <c r="E812" s="20" t="str">
        <f t="shared" si="12"/>
        <v>11</v>
      </c>
      <c r="F812" s="21">
        <v>5.1460205235809603E-2</v>
      </c>
      <c r="G812" s="4">
        <v>0.45600000000000002</v>
      </c>
      <c r="H812" s="4">
        <v>1</v>
      </c>
      <c r="I812" s="4">
        <v>0.995</v>
      </c>
      <c r="J812" s="4">
        <v>1</v>
      </c>
      <c r="K812" s="5">
        <v>0</v>
      </c>
      <c r="L812" s="5">
        <v>100</v>
      </c>
      <c r="M812" s="5">
        <v>100</v>
      </c>
      <c r="N812" s="5">
        <v>100</v>
      </c>
      <c r="O812" s="2">
        <v>0.78526246946775091</v>
      </c>
      <c r="P812" s="2">
        <v>1.0000050000287824E-5</v>
      </c>
      <c r="Q812" s="2">
        <v>5.0125418235442863E-3</v>
      </c>
      <c r="R812" s="2">
        <v>1.0000050000287824E-5</v>
      </c>
    </row>
    <row r="813" spans="1:18" x14ac:dyDescent="0.3">
      <c r="A813" s="7">
        <v>470</v>
      </c>
      <c r="B813" s="7">
        <v>428</v>
      </c>
      <c r="C813" s="7">
        <v>1</v>
      </c>
      <c r="D813" s="7">
        <v>1</v>
      </c>
      <c r="E813" s="20" t="str">
        <f t="shared" si="12"/>
        <v>11</v>
      </c>
      <c r="F813" s="21">
        <v>6.43477896683496E-2</v>
      </c>
      <c r="G813" s="4">
        <v>0.60199999999999998</v>
      </c>
      <c r="H813" s="4">
        <v>1</v>
      </c>
      <c r="I813" s="4">
        <v>0.97699999999999998</v>
      </c>
      <c r="J813" s="4">
        <v>1</v>
      </c>
      <c r="K813" s="5">
        <v>100</v>
      </c>
      <c r="L813" s="5">
        <v>100</v>
      </c>
      <c r="M813" s="5">
        <v>100</v>
      </c>
      <c r="N813" s="5">
        <v>100</v>
      </c>
      <c r="O813" s="2">
        <v>0.50749783367331602</v>
      </c>
      <c r="P813" s="2">
        <v>1.0000050000287824E-5</v>
      </c>
      <c r="Q813" s="2">
        <v>2.3268626939354331E-2</v>
      </c>
      <c r="R813" s="2">
        <v>1.0000050000287824E-5</v>
      </c>
    </row>
    <row r="814" spans="1:18" x14ac:dyDescent="0.3">
      <c r="A814" s="7">
        <v>856</v>
      </c>
      <c r="B814" s="7">
        <v>434</v>
      </c>
      <c r="C814" s="7">
        <v>1</v>
      </c>
      <c r="D814" s="7">
        <v>1</v>
      </c>
      <c r="E814" s="20" t="str">
        <f t="shared" si="12"/>
        <v>11</v>
      </c>
      <c r="F814" s="21">
        <v>7.0769079096253101E-2</v>
      </c>
      <c r="G814" s="4">
        <v>0.59499999999999997</v>
      </c>
      <c r="H814" s="4">
        <v>0.987179487179487</v>
      </c>
      <c r="I814" s="4">
        <v>0.998</v>
      </c>
      <c r="J814" s="4">
        <v>1</v>
      </c>
      <c r="K814" s="5">
        <v>100</v>
      </c>
      <c r="L814" s="5">
        <v>100</v>
      </c>
      <c r="M814" s="5">
        <v>100</v>
      </c>
      <c r="N814" s="5">
        <v>100</v>
      </c>
      <c r="O814" s="2">
        <v>0.51919387343650736</v>
      </c>
      <c r="P814" s="2">
        <v>1.2903404835908067E-2</v>
      </c>
      <c r="Q814" s="2">
        <v>2.0020026706730793E-3</v>
      </c>
      <c r="R814" s="2">
        <v>1.0000050000287824E-5</v>
      </c>
    </row>
    <row r="815" spans="1:18" x14ac:dyDescent="0.3">
      <c r="A815" s="7">
        <v>902</v>
      </c>
      <c r="B815" s="7">
        <v>448</v>
      </c>
      <c r="C815" s="7">
        <v>1</v>
      </c>
      <c r="D815" s="7">
        <v>1</v>
      </c>
      <c r="E815" s="20" t="str">
        <f t="shared" si="12"/>
        <v>11</v>
      </c>
      <c r="F815" s="21">
        <v>7.2765145658493499E-2</v>
      </c>
      <c r="G815" s="4">
        <v>0.55900000000000005</v>
      </c>
      <c r="H815" s="4">
        <v>1</v>
      </c>
      <c r="I815" s="4">
        <v>0.98499999999999999</v>
      </c>
      <c r="J815" s="4">
        <v>1</v>
      </c>
      <c r="K815" s="5">
        <v>100</v>
      </c>
      <c r="L815" s="5">
        <v>100</v>
      </c>
      <c r="M815" s="5">
        <v>100</v>
      </c>
      <c r="N815" s="5">
        <v>100</v>
      </c>
      <c r="O815" s="2">
        <v>0.5816058058270378</v>
      </c>
      <c r="P815" s="2">
        <v>1.0000050000287824E-5</v>
      </c>
      <c r="Q815" s="2">
        <v>1.5113637810048184E-2</v>
      </c>
      <c r="R815" s="2">
        <v>1.0000050000287824E-5</v>
      </c>
    </row>
    <row r="816" spans="1:18" x14ac:dyDescent="0.3">
      <c r="A816" s="7">
        <v>525</v>
      </c>
      <c r="B816" s="7">
        <v>434</v>
      </c>
      <c r="C816" s="7">
        <v>1</v>
      </c>
      <c r="D816" s="7">
        <v>1</v>
      </c>
      <c r="E816" s="20" t="str">
        <f t="shared" si="12"/>
        <v>11</v>
      </c>
      <c r="F816" s="21">
        <v>7.3811465100007106E-2</v>
      </c>
      <c r="G816" s="4">
        <v>0.55700000000000005</v>
      </c>
      <c r="H816" s="4">
        <v>0.970873786407767</v>
      </c>
      <c r="I816" s="4">
        <v>0.99099999999999999</v>
      </c>
      <c r="J816" s="4">
        <v>0.999</v>
      </c>
      <c r="K816" s="5">
        <v>100</v>
      </c>
      <c r="L816" s="5">
        <v>100</v>
      </c>
      <c r="M816" s="5">
        <v>100</v>
      </c>
      <c r="N816" s="5">
        <v>100</v>
      </c>
      <c r="O816" s="2">
        <v>0.5851900390548529</v>
      </c>
      <c r="P816" s="2">
        <v>2.9558802241544391E-2</v>
      </c>
      <c r="Q816" s="2">
        <v>9.0407446521490707E-3</v>
      </c>
      <c r="R816" s="2">
        <v>1.0005003335835344E-3</v>
      </c>
    </row>
    <row r="817" spans="1:18" x14ac:dyDescent="0.3">
      <c r="A817" s="7">
        <v>645</v>
      </c>
      <c r="B817" s="7">
        <v>432</v>
      </c>
      <c r="C817" s="7">
        <v>1</v>
      </c>
      <c r="D817" s="7">
        <v>1</v>
      </c>
      <c r="E817" s="20" t="str">
        <f t="shared" si="12"/>
        <v>11</v>
      </c>
      <c r="F817" s="21">
        <v>7.7261675753798498E-2</v>
      </c>
      <c r="G817" s="4">
        <v>0.42299999999999999</v>
      </c>
      <c r="H817" s="4">
        <v>0.962025316455696</v>
      </c>
      <c r="I817" s="4">
        <v>0.97899999999999998</v>
      </c>
      <c r="J817" s="4">
        <v>1</v>
      </c>
      <c r="K817" s="5">
        <v>0</v>
      </c>
      <c r="L817" s="5">
        <v>100</v>
      </c>
      <c r="M817" s="5">
        <v>100</v>
      </c>
      <c r="N817" s="5">
        <v>100</v>
      </c>
      <c r="O817" s="2">
        <v>0.86038309993585915</v>
      </c>
      <c r="P817" s="2">
        <v>3.8714512180690629E-2</v>
      </c>
      <c r="Q817" s="2">
        <v>2.1223636451626688E-2</v>
      </c>
      <c r="R817" s="2">
        <v>1.0000050000287824E-5</v>
      </c>
    </row>
    <row r="818" spans="1:18" x14ac:dyDescent="0.3">
      <c r="A818" s="7">
        <v>241</v>
      </c>
      <c r="B818" s="7">
        <v>428</v>
      </c>
      <c r="C818" s="7">
        <v>1</v>
      </c>
      <c r="D818" s="7">
        <v>1</v>
      </c>
      <c r="E818" s="20" t="str">
        <f t="shared" si="12"/>
        <v>11</v>
      </c>
      <c r="F818" s="21">
        <v>7.7448587291411006E-2</v>
      </c>
      <c r="G818" s="4">
        <v>0.70299999999999996</v>
      </c>
      <c r="H818" s="4">
        <v>1</v>
      </c>
      <c r="I818" s="4">
        <v>0.997</v>
      </c>
      <c r="J818" s="4">
        <v>1</v>
      </c>
      <c r="K818" s="5">
        <v>100</v>
      </c>
      <c r="L818" s="5">
        <v>100</v>
      </c>
      <c r="M818" s="5">
        <v>100</v>
      </c>
      <c r="N818" s="5">
        <v>100</v>
      </c>
      <c r="O818" s="2">
        <v>0.3523983871714722</v>
      </c>
      <c r="P818" s="2">
        <v>1.0000050000287824E-5</v>
      </c>
      <c r="Q818" s="2">
        <v>3.0045090202987243E-3</v>
      </c>
      <c r="R818" s="2">
        <v>1.0000050000287824E-5</v>
      </c>
    </row>
    <row r="819" spans="1:18" x14ac:dyDescent="0.3">
      <c r="A819" s="7">
        <v>893</v>
      </c>
      <c r="B819" s="7">
        <v>430</v>
      </c>
      <c r="C819" s="7">
        <v>1</v>
      </c>
      <c r="D819" s="7">
        <v>1</v>
      </c>
      <c r="E819" s="20" t="str">
        <f t="shared" si="12"/>
        <v>11</v>
      </c>
      <c r="F819" s="21">
        <v>7.8759594719626999E-2</v>
      </c>
      <c r="G819" s="4">
        <v>0.628</v>
      </c>
      <c r="H819" s="4">
        <v>1</v>
      </c>
      <c r="I819" s="4">
        <v>0.99</v>
      </c>
      <c r="J819" s="4">
        <v>1</v>
      </c>
      <c r="K819" s="5">
        <v>100</v>
      </c>
      <c r="L819" s="5">
        <v>100</v>
      </c>
      <c r="M819" s="5">
        <v>100</v>
      </c>
      <c r="N819" s="5">
        <v>100</v>
      </c>
      <c r="O819" s="2">
        <v>0.46521511251393838</v>
      </c>
      <c r="P819" s="2">
        <v>1.0000050000287824E-5</v>
      </c>
      <c r="Q819" s="2">
        <v>1.0050335853501451E-2</v>
      </c>
      <c r="R819" s="2">
        <v>1.0000050000287824E-5</v>
      </c>
    </row>
    <row r="820" spans="1:18" x14ac:dyDescent="0.3">
      <c r="A820" s="7">
        <v>407</v>
      </c>
      <c r="B820" s="7">
        <v>438</v>
      </c>
      <c r="C820" s="7">
        <v>1</v>
      </c>
      <c r="D820" s="7">
        <v>1</v>
      </c>
      <c r="E820" s="20" t="str">
        <f t="shared" si="12"/>
        <v>11</v>
      </c>
      <c r="F820" s="21">
        <v>8.1987587546987206E-2</v>
      </c>
      <c r="G820" s="4">
        <v>0.625</v>
      </c>
      <c r="H820" s="4">
        <v>1</v>
      </c>
      <c r="I820" s="4">
        <v>0.99299999999999999</v>
      </c>
      <c r="J820" s="4">
        <v>1</v>
      </c>
      <c r="K820" s="5">
        <v>100</v>
      </c>
      <c r="L820" s="5">
        <v>100</v>
      </c>
      <c r="M820" s="5">
        <v>100</v>
      </c>
      <c r="N820" s="5">
        <v>100</v>
      </c>
      <c r="O820" s="2">
        <v>0.47000362924573558</v>
      </c>
      <c r="P820" s="2">
        <v>1.0000050000287824E-5</v>
      </c>
      <c r="Q820" s="2">
        <v>7.0246149369644663E-3</v>
      </c>
      <c r="R820" s="2">
        <v>1.0000050000287824E-5</v>
      </c>
    </row>
    <row r="821" spans="1:18" x14ac:dyDescent="0.3">
      <c r="A821" s="7">
        <v>139</v>
      </c>
      <c r="B821" s="7">
        <v>427</v>
      </c>
      <c r="C821" s="7">
        <v>1</v>
      </c>
      <c r="D821" s="7">
        <v>1</v>
      </c>
      <c r="E821" s="20" t="str">
        <f t="shared" si="12"/>
        <v>11</v>
      </c>
      <c r="F821" s="21">
        <v>8.37580201935538E-2</v>
      </c>
      <c r="G821" s="4">
        <v>0.47</v>
      </c>
      <c r="H821" s="4">
        <v>1</v>
      </c>
      <c r="I821" s="4">
        <v>0.99</v>
      </c>
      <c r="J821" s="4">
        <v>1</v>
      </c>
      <c r="K821" s="5">
        <v>0</v>
      </c>
      <c r="L821" s="5">
        <v>100</v>
      </c>
      <c r="M821" s="5">
        <v>100</v>
      </c>
      <c r="N821" s="5">
        <v>100</v>
      </c>
      <c r="O821" s="2">
        <v>0.75502258427803282</v>
      </c>
      <c r="P821" s="2">
        <v>1.0000050000287824E-5</v>
      </c>
      <c r="Q821" s="2">
        <v>1.0050335853501451E-2</v>
      </c>
      <c r="R821" s="2">
        <v>1.0000050000287824E-5</v>
      </c>
    </row>
    <row r="822" spans="1:18" x14ac:dyDescent="0.3">
      <c r="A822" s="7">
        <v>973</v>
      </c>
      <c r="B822" s="7">
        <v>441</v>
      </c>
      <c r="C822" s="7">
        <v>1</v>
      </c>
      <c r="D822" s="7">
        <v>1</v>
      </c>
      <c r="E822" s="20" t="str">
        <f t="shared" si="12"/>
        <v>11</v>
      </c>
      <c r="F822" s="21">
        <v>8.3808708772334803E-2</v>
      </c>
      <c r="G822" s="4">
        <v>0.82899999999999996</v>
      </c>
      <c r="H822" s="4">
        <v>1</v>
      </c>
      <c r="I822" s="4">
        <v>0.99399999999999999</v>
      </c>
      <c r="J822" s="4">
        <v>1</v>
      </c>
      <c r="K822" s="5">
        <v>100</v>
      </c>
      <c r="L822" s="5">
        <v>100</v>
      </c>
      <c r="M822" s="5">
        <v>100</v>
      </c>
      <c r="N822" s="5">
        <v>100</v>
      </c>
      <c r="O822" s="2">
        <v>0.18753512384684212</v>
      </c>
      <c r="P822" s="2">
        <v>1.0000050000287824E-5</v>
      </c>
      <c r="Q822" s="2">
        <v>6.0180723255630212E-3</v>
      </c>
      <c r="R822" s="2">
        <v>1.0000050000287824E-5</v>
      </c>
    </row>
    <row r="823" spans="1:18" x14ac:dyDescent="0.3">
      <c r="A823" s="7">
        <v>572</v>
      </c>
      <c r="B823" s="7">
        <v>410</v>
      </c>
      <c r="C823" s="7">
        <v>1</v>
      </c>
      <c r="D823" s="7">
        <v>1</v>
      </c>
      <c r="E823" s="20" t="str">
        <f t="shared" si="12"/>
        <v>11</v>
      </c>
      <c r="F823" s="21">
        <v>9.3714530549812006E-2</v>
      </c>
      <c r="G823" s="4">
        <v>0.501</v>
      </c>
      <c r="H823" s="4">
        <v>1</v>
      </c>
      <c r="I823" s="4">
        <v>0.99299999999999999</v>
      </c>
      <c r="J823" s="4">
        <v>1</v>
      </c>
      <c r="K823" s="5">
        <v>100</v>
      </c>
      <c r="L823" s="5">
        <v>100</v>
      </c>
      <c r="M823" s="5">
        <v>100</v>
      </c>
      <c r="N823" s="5">
        <v>100</v>
      </c>
      <c r="O823" s="2">
        <v>0.69114917789727226</v>
      </c>
      <c r="P823" s="2">
        <v>1.0000050000287824E-5</v>
      </c>
      <c r="Q823" s="2">
        <v>7.0246149369644663E-3</v>
      </c>
      <c r="R823" s="2">
        <v>1.0000050000287824E-5</v>
      </c>
    </row>
    <row r="824" spans="1:18" x14ac:dyDescent="0.3">
      <c r="A824" s="7">
        <v>888</v>
      </c>
      <c r="B824" s="7">
        <v>423</v>
      </c>
      <c r="C824" s="7">
        <v>1</v>
      </c>
      <c r="D824" s="7">
        <v>1</v>
      </c>
      <c r="E824" s="20" t="str">
        <f t="shared" si="12"/>
        <v>11</v>
      </c>
      <c r="F824" s="21">
        <v>9.9493510590932699E-2</v>
      </c>
      <c r="G824" s="4">
        <v>0.44</v>
      </c>
      <c r="H824" s="4">
        <v>1</v>
      </c>
      <c r="I824" s="4">
        <v>0.98099999999999998</v>
      </c>
      <c r="J824" s="4">
        <v>1</v>
      </c>
      <c r="K824" s="5">
        <v>0</v>
      </c>
      <c r="L824" s="5">
        <v>100</v>
      </c>
      <c r="M824" s="5">
        <v>100</v>
      </c>
      <c r="N824" s="5">
        <v>100</v>
      </c>
      <c r="O824" s="2">
        <v>0.82098055206983023</v>
      </c>
      <c r="P824" s="2">
        <v>1.0000050000287824E-5</v>
      </c>
      <c r="Q824" s="2">
        <v>1.9182819416773987E-2</v>
      </c>
      <c r="R824" s="2">
        <v>1.0000050000287824E-5</v>
      </c>
    </row>
    <row r="825" spans="1:18" x14ac:dyDescent="0.3">
      <c r="A825" s="7">
        <v>760</v>
      </c>
      <c r="B825" s="7">
        <v>414</v>
      </c>
      <c r="C825" s="7">
        <v>1</v>
      </c>
      <c r="D825" s="7">
        <v>1</v>
      </c>
      <c r="E825" s="20" t="str">
        <f t="shared" si="12"/>
        <v>11</v>
      </c>
      <c r="F825" s="21">
        <v>0.10639652004564901</v>
      </c>
      <c r="G825" s="4">
        <v>0.38600000000000001</v>
      </c>
      <c r="H825" s="4">
        <v>1</v>
      </c>
      <c r="I825" s="4">
        <v>0.99</v>
      </c>
      <c r="J825" s="4">
        <v>1</v>
      </c>
      <c r="K825" s="5">
        <v>0</v>
      </c>
      <c r="L825" s="5">
        <v>100</v>
      </c>
      <c r="M825" s="5">
        <v>100</v>
      </c>
      <c r="N825" s="5">
        <v>100</v>
      </c>
      <c r="O825" s="2">
        <v>0.95191790951730615</v>
      </c>
      <c r="P825" s="2">
        <v>1.0000050000287824E-5</v>
      </c>
      <c r="Q825" s="2">
        <v>1.0050335853501451E-2</v>
      </c>
      <c r="R825" s="2">
        <v>1.0000050000287824E-5</v>
      </c>
    </row>
    <row r="826" spans="1:18" x14ac:dyDescent="0.3">
      <c r="A826" s="7">
        <v>699</v>
      </c>
      <c r="B826" s="7">
        <v>403</v>
      </c>
      <c r="C826" s="7">
        <v>1</v>
      </c>
      <c r="D826" s="7">
        <v>1</v>
      </c>
      <c r="E826" s="20" t="str">
        <f t="shared" si="12"/>
        <v>11</v>
      </c>
      <c r="F826" s="21">
        <v>0.11342130947863301</v>
      </c>
      <c r="G826" s="4">
        <v>0.59299999999999997</v>
      </c>
      <c r="H826" s="4">
        <v>0.98333333333333295</v>
      </c>
      <c r="I826" s="4">
        <v>0.997</v>
      </c>
      <c r="J826" s="4">
        <v>1</v>
      </c>
      <c r="K826" s="5">
        <v>100</v>
      </c>
      <c r="L826" s="5">
        <v>100</v>
      </c>
      <c r="M826" s="5">
        <v>100</v>
      </c>
      <c r="N826" s="5">
        <v>100</v>
      </c>
      <c r="O826" s="2">
        <v>0.5225608799844117</v>
      </c>
      <c r="P826" s="2">
        <v>1.6807118316381625E-2</v>
      </c>
      <c r="Q826" s="2">
        <v>3.0045090202987243E-3</v>
      </c>
      <c r="R826" s="2">
        <v>1.0000050000287824E-5</v>
      </c>
    </row>
    <row r="827" spans="1:18" x14ac:dyDescent="0.3">
      <c r="A827" s="7">
        <v>623</v>
      </c>
      <c r="B827" s="7">
        <v>399</v>
      </c>
      <c r="C827" s="7">
        <v>1</v>
      </c>
      <c r="D827" s="7">
        <v>1</v>
      </c>
      <c r="E827" s="20" t="str">
        <f t="shared" si="12"/>
        <v>11</v>
      </c>
      <c r="F827" s="21">
        <v>0.116584521352191</v>
      </c>
      <c r="G827" s="4">
        <v>0.72599999999999998</v>
      </c>
      <c r="H827" s="4">
        <v>1</v>
      </c>
      <c r="I827" s="4">
        <v>0.99199999999999999</v>
      </c>
      <c r="J827" s="4">
        <v>1</v>
      </c>
      <c r="K827" s="5">
        <v>100</v>
      </c>
      <c r="L827" s="5">
        <v>100</v>
      </c>
      <c r="M827" s="5">
        <v>100</v>
      </c>
      <c r="N827" s="5">
        <v>100</v>
      </c>
      <c r="O827" s="2">
        <v>0.32020526415734102</v>
      </c>
      <c r="P827" s="2">
        <v>1.0000050000287824E-5</v>
      </c>
      <c r="Q827" s="2">
        <v>8.0321716972642666E-3</v>
      </c>
      <c r="R827" s="2">
        <v>1.0000050000287824E-5</v>
      </c>
    </row>
    <row r="828" spans="1:18" x14ac:dyDescent="0.3">
      <c r="A828" s="7">
        <v>863</v>
      </c>
      <c r="B828" s="7">
        <v>386</v>
      </c>
      <c r="C828" s="7">
        <v>1</v>
      </c>
      <c r="D828" s="7">
        <v>1</v>
      </c>
      <c r="E828" s="20" t="str">
        <f t="shared" si="12"/>
        <v>11</v>
      </c>
      <c r="F828" s="21">
        <v>0.140223705575794</v>
      </c>
      <c r="G828" s="4">
        <v>0.66400000000000003</v>
      </c>
      <c r="H828" s="4">
        <v>0.99435028248587598</v>
      </c>
      <c r="I828" s="4">
        <v>0.98499999999999999</v>
      </c>
      <c r="J828" s="4">
        <v>1</v>
      </c>
      <c r="K828" s="5">
        <v>100</v>
      </c>
      <c r="L828" s="5">
        <v>100</v>
      </c>
      <c r="M828" s="5">
        <v>100</v>
      </c>
      <c r="N828" s="5">
        <v>100</v>
      </c>
      <c r="O828" s="2">
        <v>0.40947312950570314</v>
      </c>
      <c r="P828" s="2">
        <v>5.6657375356770848E-3</v>
      </c>
      <c r="Q828" s="2">
        <v>1.5113637810048184E-2</v>
      </c>
      <c r="R828" s="2">
        <v>1.0000050000287824E-5</v>
      </c>
    </row>
    <row r="829" spans="1:18" x14ac:dyDescent="0.3">
      <c r="A829" s="7">
        <v>619</v>
      </c>
      <c r="B829" s="7">
        <v>368</v>
      </c>
      <c r="C829" s="7">
        <v>1</v>
      </c>
      <c r="D829" s="7">
        <v>1</v>
      </c>
      <c r="E829" s="20" t="str">
        <f t="shared" si="12"/>
        <v>11</v>
      </c>
      <c r="F829" s="21">
        <v>0.14309030087507699</v>
      </c>
      <c r="G829" s="4">
        <v>0.45100000000000001</v>
      </c>
      <c r="H829" s="4">
        <v>0.99019607843137303</v>
      </c>
      <c r="I829" s="4">
        <v>0.999</v>
      </c>
      <c r="J829" s="4">
        <v>1</v>
      </c>
      <c r="K829" s="5">
        <v>0</v>
      </c>
      <c r="L829" s="5">
        <v>100</v>
      </c>
      <c r="M829" s="5">
        <v>100</v>
      </c>
      <c r="N829" s="5">
        <v>100</v>
      </c>
      <c r="O829" s="2">
        <v>0.79628793947945864</v>
      </c>
      <c r="P829" s="2">
        <v>9.8522964430111468E-3</v>
      </c>
      <c r="Q829" s="2">
        <v>1.0005003335835344E-3</v>
      </c>
      <c r="R829" s="2">
        <v>1.0000050000287824E-5</v>
      </c>
    </row>
    <row r="830" spans="1:18" x14ac:dyDescent="0.3">
      <c r="A830" s="7">
        <v>858</v>
      </c>
      <c r="B830" s="7">
        <v>375</v>
      </c>
      <c r="C830" s="7">
        <v>1</v>
      </c>
      <c r="D830" s="7">
        <v>1</v>
      </c>
      <c r="E830" s="20" t="str">
        <f t="shared" si="12"/>
        <v>11</v>
      </c>
      <c r="F830" s="21">
        <v>0.14856191550559</v>
      </c>
      <c r="G830" s="4">
        <v>0.41699999999999998</v>
      </c>
      <c r="H830" s="4">
        <v>0.96969696969696995</v>
      </c>
      <c r="I830" s="4">
        <v>0.95099999999999996</v>
      </c>
      <c r="J830" s="4">
        <v>0.97099999999999997</v>
      </c>
      <c r="K830" s="5">
        <v>0</v>
      </c>
      <c r="L830" s="5">
        <v>100</v>
      </c>
      <c r="M830" s="5">
        <v>100</v>
      </c>
      <c r="N830" s="5">
        <v>100</v>
      </c>
      <c r="O830" s="2">
        <v>0.87466905718333565</v>
      </c>
      <c r="P830" s="2">
        <v>3.0771658666753431E-2</v>
      </c>
      <c r="Q830" s="2">
        <v>5.024121643674679E-2</v>
      </c>
      <c r="R830" s="2">
        <v>2.9428810690812168E-2</v>
      </c>
    </row>
    <row r="831" spans="1:18" x14ac:dyDescent="0.3">
      <c r="A831" s="7">
        <v>842</v>
      </c>
      <c r="B831" s="7">
        <v>387</v>
      </c>
      <c r="C831" s="7">
        <v>1</v>
      </c>
      <c r="D831" s="7">
        <v>1</v>
      </c>
      <c r="E831" s="20" t="str">
        <f t="shared" si="12"/>
        <v>11</v>
      </c>
      <c r="F831" s="21">
        <v>0.14863416528426601</v>
      </c>
      <c r="G831" s="4">
        <v>0.66700000000000004</v>
      </c>
      <c r="H831" s="4">
        <v>0.99438202247190999</v>
      </c>
      <c r="I831" s="4">
        <v>0.98799999999999999</v>
      </c>
      <c r="J831" s="4">
        <v>1</v>
      </c>
      <c r="K831" s="5">
        <v>100</v>
      </c>
      <c r="L831" s="5">
        <v>100</v>
      </c>
      <c r="M831" s="5">
        <v>100</v>
      </c>
      <c r="N831" s="5">
        <v>100</v>
      </c>
      <c r="O831" s="2">
        <v>0.40496523306651327</v>
      </c>
      <c r="P831" s="2">
        <v>5.633817718256131E-3</v>
      </c>
      <c r="Q831" s="2">
        <v>1.2072581234269249E-2</v>
      </c>
      <c r="R831" s="2">
        <v>1.0000050000287824E-5</v>
      </c>
    </row>
    <row r="832" spans="1:18" x14ac:dyDescent="0.3">
      <c r="A832" s="7">
        <v>511</v>
      </c>
      <c r="B832" s="7">
        <v>365</v>
      </c>
      <c r="C832" s="7">
        <v>1</v>
      </c>
      <c r="D832" s="7">
        <v>1</v>
      </c>
      <c r="E832" s="20" t="str">
        <f t="shared" si="12"/>
        <v>11</v>
      </c>
      <c r="F832" s="21">
        <v>0.148758571400923</v>
      </c>
      <c r="G832" s="4">
        <v>0.69399999999999995</v>
      </c>
      <c r="H832" s="4">
        <v>0.99456521739130399</v>
      </c>
      <c r="I832" s="4">
        <v>0.98399999999999999</v>
      </c>
      <c r="J832" s="4">
        <v>1</v>
      </c>
      <c r="K832" s="5">
        <v>100</v>
      </c>
      <c r="L832" s="5">
        <v>100</v>
      </c>
      <c r="M832" s="5">
        <v>100</v>
      </c>
      <c r="N832" s="5">
        <v>100</v>
      </c>
      <c r="O832" s="2">
        <v>0.36528331847533263</v>
      </c>
      <c r="P832" s="2">
        <v>5.4496047675650378E-3</v>
      </c>
      <c r="Q832" s="2">
        <v>1.6129381929883644E-2</v>
      </c>
      <c r="R832" s="2">
        <v>1.0000050000287824E-5</v>
      </c>
    </row>
    <row r="833" spans="1:18" x14ac:dyDescent="0.3">
      <c r="A833" s="7">
        <v>607</v>
      </c>
      <c r="B833" s="7">
        <v>390</v>
      </c>
      <c r="C833" s="7">
        <v>1</v>
      </c>
      <c r="D833" s="7">
        <v>1</v>
      </c>
      <c r="E833" s="20" t="str">
        <f t="shared" si="12"/>
        <v>11</v>
      </c>
      <c r="F833" s="21">
        <v>0.152464205190636</v>
      </c>
      <c r="G833" s="4">
        <v>0.53600000000000003</v>
      </c>
      <c r="H833" s="4">
        <v>0.93617021276595702</v>
      </c>
      <c r="I833" s="4">
        <v>0.96199999999999997</v>
      </c>
      <c r="J833" s="4">
        <v>0.999</v>
      </c>
      <c r="K833" s="5">
        <v>100</v>
      </c>
      <c r="L833" s="5">
        <v>100</v>
      </c>
      <c r="M833" s="5">
        <v>100</v>
      </c>
      <c r="N833" s="5">
        <v>100</v>
      </c>
      <c r="O833" s="2">
        <v>0.62362111791133501</v>
      </c>
      <c r="P833" s="2">
        <v>6.5957967791797883E-2</v>
      </c>
      <c r="Q833" s="2">
        <v>3.8740828316430595E-2</v>
      </c>
      <c r="R833" s="2">
        <v>1.0005003335835344E-3</v>
      </c>
    </row>
    <row r="834" spans="1:18" x14ac:dyDescent="0.3">
      <c r="A834" s="7">
        <v>49</v>
      </c>
      <c r="B834" s="7">
        <v>391</v>
      </c>
      <c r="C834" s="7">
        <v>1</v>
      </c>
      <c r="D834" s="7">
        <v>1</v>
      </c>
      <c r="E834" s="20" t="str">
        <f t="shared" ref="E834:E897" si="13">_xlfn.CONCAT(C834,D834)</f>
        <v>11</v>
      </c>
      <c r="F834" s="21">
        <v>0.160470686929886</v>
      </c>
      <c r="G834" s="4">
        <v>0.64400000000000002</v>
      </c>
      <c r="H834" s="4">
        <v>1</v>
      </c>
      <c r="I834" s="4">
        <v>0.98199999999999998</v>
      </c>
      <c r="J834" s="4">
        <v>1</v>
      </c>
      <c r="K834" s="5">
        <v>100</v>
      </c>
      <c r="L834" s="5">
        <v>100</v>
      </c>
      <c r="M834" s="5">
        <v>100</v>
      </c>
      <c r="N834" s="5">
        <v>100</v>
      </c>
      <c r="O834" s="2">
        <v>0.44005655287778339</v>
      </c>
      <c r="P834" s="2">
        <v>1.0000050000287824E-5</v>
      </c>
      <c r="Q834" s="2">
        <v>1.816397062767118E-2</v>
      </c>
      <c r="R834" s="2">
        <v>1.0000050000287824E-5</v>
      </c>
    </row>
    <row r="835" spans="1:18" x14ac:dyDescent="0.3">
      <c r="A835" s="7">
        <v>457</v>
      </c>
      <c r="B835" s="7">
        <v>386</v>
      </c>
      <c r="C835" s="7">
        <v>1</v>
      </c>
      <c r="D835" s="7">
        <v>1</v>
      </c>
      <c r="E835" s="20" t="str">
        <f t="shared" si="13"/>
        <v>11</v>
      </c>
      <c r="F835" s="21">
        <v>0.160759039071731</v>
      </c>
      <c r="G835" s="4">
        <v>0.57399999999999995</v>
      </c>
      <c r="H835" s="4">
        <v>0.992307692307692</v>
      </c>
      <c r="I835" s="4">
        <v>0.98799999999999999</v>
      </c>
      <c r="J835" s="4">
        <v>1</v>
      </c>
      <c r="K835" s="5">
        <v>100</v>
      </c>
      <c r="L835" s="5">
        <v>100</v>
      </c>
      <c r="M835" s="5">
        <v>100</v>
      </c>
      <c r="N835" s="5">
        <v>100</v>
      </c>
      <c r="O835" s="2">
        <v>0.55512588266257068</v>
      </c>
      <c r="P835" s="2">
        <v>7.7220460939106134E-3</v>
      </c>
      <c r="Q835" s="2">
        <v>1.2072581234269249E-2</v>
      </c>
      <c r="R835" s="2">
        <v>1.0000050000287824E-5</v>
      </c>
    </row>
    <row r="836" spans="1:18" x14ac:dyDescent="0.3">
      <c r="A836" s="7">
        <v>515</v>
      </c>
      <c r="B836" s="7">
        <v>369</v>
      </c>
      <c r="C836" s="7">
        <v>1</v>
      </c>
      <c r="D836" s="7">
        <v>1</v>
      </c>
      <c r="E836" s="20" t="str">
        <f t="shared" si="13"/>
        <v>11</v>
      </c>
      <c r="F836" s="21">
        <v>0.16324831933550199</v>
      </c>
      <c r="G836" s="4">
        <v>0.442</v>
      </c>
      <c r="H836" s="4">
        <v>0.97297297297297303</v>
      </c>
      <c r="I836" s="4">
        <v>0.94699999999999995</v>
      </c>
      <c r="J836" s="4">
        <v>0.999</v>
      </c>
      <c r="K836" s="5">
        <v>0</v>
      </c>
      <c r="L836" s="5">
        <v>100</v>
      </c>
      <c r="M836" s="5">
        <v>100</v>
      </c>
      <c r="N836" s="5">
        <v>100</v>
      </c>
      <c r="O836" s="2">
        <v>0.81644539690443896</v>
      </c>
      <c r="P836" s="2">
        <v>2.7398974188114388E-2</v>
      </c>
      <c r="Q836" s="2">
        <v>5.4456185796058855E-2</v>
      </c>
      <c r="R836" s="2">
        <v>1.0005003335835344E-3</v>
      </c>
    </row>
    <row r="837" spans="1:18" x14ac:dyDescent="0.3">
      <c r="A837" s="7">
        <v>89</v>
      </c>
      <c r="B837" s="7">
        <v>364</v>
      </c>
      <c r="C837" s="7">
        <v>1</v>
      </c>
      <c r="D837" s="7">
        <v>1</v>
      </c>
      <c r="E837" s="20" t="str">
        <f t="shared" si="13"/>
        <v>11</v>
      </c>
      <c r="F837" s="21">
        <v>0.172463858453417</v>
      </c>
      <c r="G837" s="4">
        <v>0.54200000000000004</v>
      </c>
      <c r="H837" s="4">
        <v>0.97478991596638698</v>
      </c>
      <c r="I837" s="4">
        <v>0.98599999999999999</v>
      </c>
      <c r="J837" s="4">
        <v>1</v>
      </c>
      <c r="K837" s="5">
        <v>100</v>
      </c>
      <c r="L837" s="5">
        <v>100</v>
      </c>
      <c r="M837" s="5">
        <v>100</v>
      </c>
      <c r="N837" s="5">
        <v>100</v>
      </c>
      <c r="O837" s="2">
        <v>0.61248927754249083</v>
      </c>
      <c r="P837" s="2">
        <v>2.5533302005164307E-2</v>
      </c>
      <c r="Q837" s="2">
        <v>1.4098924379501648E-2</v>
      </c>
      <c r="R837" s="2">
        <v>1.0000050000287824E-5</v>
      </c>
    </row>
    <row r="838" spans="1:18" x14ac:dyDescent="0.3">
      <c r="A838" s="7">
        <v>191</v>
      </c>
      <c r="B838" s="7">
        <v>372</v>
      </c>
      <c r="C838" s="7">
        <v>1</v>
      </c>
      <c r="D838" s="7">
        <v>1</v>
      </c>
      <c r="E838" s="20" t="str">
        <f t="shared" si="13"/>
        <v>11</v>
      </c>
      <c r="F838" s="21">
        <v>0.172945263101703</v>
      </c>
      <c r="G838" s="4">
        <v>0.63300000000000001</v>
      </c>
      <c r="H838" s="4">
        <v>1</v>
      </c>
      <c r="I838" s="4">
        <v>0.99</v>
      </c>
      <c r="J838" s="4">
        <v>1</v>
      </c>
      <c r="K838" s="5">
        <v>100</v>
      </c>
      <c r="L838" s="5">
        <v>100</v>
      </c>
      <c r="M838" s="5">
        <v>100</v>
      </c>
      <c r="N838" s="5">
        <v>100</v>
      </c>
      <c r="O838" s="2">
        <v>0.45728485683796083</v>
      </c>
      <c r="P838" s="2">
        <v>1.0000050000287824E-5</v>
      </c>
      <c r="Q838" s="2">
        <v>1.0050335853501451E-2</v>
      </c>
      <c r="R838" s="2">
        <v>1.0000050000287824E-5</v>
      </c>
    </row>
    <row r="839" spans="1:18" x14ac:dyDescent="0.3">
      <c r="A839" s="7">
        <v>837</v>
      </c>
      <c r="B839" s="7">
        <v>359</v>
      </c>
      <c r="C839" s="7">
        <v>1</v>
      </c>
      <c r="D839" s="7">
        <v>1</v>
      </c>
      <c r="E839" s="20" t="str">
        <f t="shared" si="13"/>
        <v>11</v>
      </c>
      <c r="F839" s="21">
        <v>0.179678819806143</v>
      </c>
      <c r="G839" s="4">
        <v>0.59899999999999998</v>
      </c>
      <c r="H839" s="4">
        <v>1</v>
      </c>
      <c r="I839" s="4">
        <v>0.98399999999999999</v>
      </c>
      <c r="J839" s="4">
        <v>1</v>
      </c>
      <c r="K839" s="5">
        <v>100</v>
      </c>
      <c r="L839" s="5">
        <v>100</v>
      </c>
      <c r="M839" s="5">
        <v>100</v>
      </c>
      <c r="N839" s="5">
        <v>100</v>
      </c>
      <c r="O839" s="2">
        <v>0.51249368086668778</v>
      </c>
      <c r="P839" s="2">
        <v>1.0000050000287824E-5</v>
      </c>
      <c r="Q839" s="2">
        <v>1.6129381929883644E-2</v>
      </c>
      <c r="R839" s="2">
        <v>1.0000050000287824E-5</v>
      </c>
    </row>
    <row r="840" spans="1:18" x14ac:dyDescent="0.3">
      <c r="A840" s="7">
        <v>844</v>
      </c>
      <c r="B840" s="7">
        <v>340</v>
      </c>
      <c r="C840" s="7">
        <v>1</v>
      </c>
      <c r="D840" s="7">
        <v>1</v>
      </c>
      <c r="E840" s="20" t="str">
        <f t="shared" si="13"/>
        <v>11</v>
      </c>
      <c r="F840" s="21">
        <v>0.18331001272323599</v>
      </c>
      <c r="G840" s="4">
        <v>0.41</v>
      </c>
      <c r="H840" s="4">
        <v>1</v>
      </c>
      <c r="I840" s="4">
        <v>0.97</v>
      </c>
      <c r="J840" s="4">
        <v>1</v>
      </c>
      <c r="K840" s="5">
        <v>0</v>
      </c>
      <c r="L840" s="5">
        <v>100</v>
      </c>
      <c r="M840" s="5">
        <v>100</v>
      </c>
      <c r="N840" s="5">
        <v>100</v>
      </c>
      <c r="O840" s="2">
        <v>0.89159811928378363</v>
      </c>
      <c r="P840" s="2">
        <v>1.0000050000287824E-5</v>
      </c>
      <c r="Q840" s="2">
        <v>3.0459207484708574E-2</v>
      </c>
      <c r="R840" s="2">
        <v>1.0000050000287824E-5</v>
      </c>
    </row>
    <row r="841" spans="1:18" x14ac:dyDescent="0.3">
      <c r="A841" s="7">
        <v>982</v>
      </c>
      <c r="B841" s="7">
        <v>363</v>
      </c>
      <c r="C841" s="7">
        <v>1</v>
      </c>
      <c r="D841" s="7">
        <v>1</v>
      </c>
      <c r="E841" s="20" t="str">
        <f t="shared" si="13"/>
        <v>11</v>
      </c>
      <c r="F841" s="21">
        <v>0.18506429265419599</v>
      </c>
      <c r="G841" s="4">
        <v>0.69399999999999995</v>
      </c>
      <c r="H841" s="4">
        <v>0.99390243902439002</v>
      </c>
      <c r="I841" s="4">
        <v>0.98099999999999998</v>
      </c>
      <c r="J841" s="4">
        <v>1</v>
      </c>
      <c r="K841" s="5">
        <v>100</v>
      </c>
      <c r="L841" s="5">
        <v>100</v>
      </c>
      <c r="M841" s="5">
        <v>100</v>
      </c>
      <c r="N841" s="5">
        <v>100</v>
      </c>
      <c r="O841" s="2">
        <v>0.36528331847533263</v>
      </c>
      <c r="P841" s="2">
        <v>6.1162270174363173E-3</v>
      </c>
      <c r="Q841" s="2">
        <v>1.9182819416773987E-2</v>
      </c>
      <c r="R841" s="2">
        <v>1.0000050000287824E-5</v>
      </c>
    </row>
    <row r="842" spans="1:18" x14ac:dyDescent="0.3">
      <c r="A842" s="7">
        <v>266</v>
      </c>
      <c r="B842" s="7">
        <v>358</v>
      </c>
      <c r="C842" s="7">
        <v>1</v>
      </c>
      <c r="D842" s="7">
        <v>1</v>
      </c>
      <c r="E842" s="20" t="str">
        <f t="shared" si="13"/>
        <v>11</v>
      </c>
      <c r="F842" s="21">
        <v>0.18905265903729401</v>
      </c>
      <c r="G842" s="4">
        <v>0.56299999999999994</v>
      </c>
      <c r="H842" s="4">
        <v>0.98876404494381998</v>
      </c>
      <c r="I842" s="4">
        <v>0.98099999999999998</v>
      </c>
      <c r="J842" s="4">
        <v>1</v>
      </c>
      <c r="K842" s="5">
        <v>100</v>
      </c>
      <c r="L842" s="5">
        <v>100</v>
      </c>
      <c r="M842" s="5">
        <v>100</v>
      </c>
      <c r="N842" s="5">
        <v>100</v>
      </c>
      <c r="O842" s="2">
        <v>0.57447565084244678</v>
      </c>
      <c r="P842" s="2">
        <v>1.1299555253933618E-2</v>
      </c>
      <c r="Q842" s="2">
        <v>1.9182819416773987E-2</v>
      </c>
      <c r="R842" s="2">
        <v>1.0000050000287824E-5</v>
      </c>
    </row>
    <row r="843" spans="1:18" x14ac:dyDescent="0.3">
      <c r="A843" s="7">
        <v>644</v>
      </c>
      <c r="B843" s="7">
        <v>331</v>
      </c>
      <c r="C843" s="7">
        <v>1</v>
      </c>
      <c r="D843" s="7">
        <v>1</v>
      </c>
      <c r="E843" s="20" t="str">
        <f t="shared" si="13"/>
        <v>11</v>
      </c>
      <c r="F843" s="21">
        <v>0.19606790836063201</v>
      </c>
      <c r="G843" s="4">
        <v>0.60499999999999998</v>
      </c>
      <c r="H843" s="4">
        <v>1</v>
      </c>
      <c r="I843" s="4">
        <v>0.99099999999999999</v>
      </c>
      <c r="J843" s="4">
        <v>1</v>
      </c>
      <c r="K843" s="5">
        <v>100</v>
      </c>
      <c r="L843" s="5">
        <v>100</v>
      </c>
      <c r="M843" s="5">
        <v>100</v>
      </c>
      <c r="N843" s="5">
        <v>100</v>
      </c>
      <c r="O843" s="2">
        <v>0.50252682095129564</v>
      </c>
      <c r="P843" s="2">
        <v>1.0000050000287824E-5</v>
      </c>
      <c r="Q843" s="2">
        <v>9.0407446521490707E-3</v>
      </c>
      <c r="R843" s="2">
        <v>1.0000050000287824E-5</v>
      </c>
    </row>
    <row r="844" spans="1:18" x14ac:dyDescent="0.3">
      <c r="A844" s="7">
        <v>961</v>
      </c>
      <c r="B844" s="7">
        <v>338</v>
      </c>
      <c r="C844" s="7">
        <v>1</v>
      </c>
      <c r="D844" s="7">
        <v>1</v>
      </c>
      <c r="E844" s="20" t="str">
        <f t="shared" si="13"/>
        <v>11</v>
      </c>
      <c r="F844" s="21">
        <v>0.19883099268398099</v>
      </c>
      <c r="G844" s="4">
        <v>0.71899999999999997</v>
      </c>
      <c r="H844" s="4">
        <v>1</v>
      </c>
      <c r="I844" s="4">
        <v>0.98699999999999999</v>
      </c>
      <c r="J844" s="4">
        <v>1</v>
      </c>
      <c r="K844" s="5">
        <v>100</v>
      </c>
      <c r="L844" s="5">
        <v>100</v>
      </c>
      <c r="M844" s="5">
        <v>100</v>
      </c>
      <c r="N844" s="5">
        <v>100</v>
      </c>
      <c r="O844" s="2">
        <v>0.32989392126109041</v>
      </c>
      <c r="P844" s="2">
        <v>1.0000050000287824E-5</v>
      </c>
      <c r="Q844" s="2">
        <v>1.3085239548655481E-2</v>
      </c>
      <c r="R844" s="2">
        <v>1.0000050000287824E-5</v>
      </c>
    </row>
    <row r="845" spans="1:18" x14ac:dyDescent="0.3">
      <c r="A845" s="7">
        <v>934</v>
      </c>
      <c r="B845" s="7">
        <v>351</v>
      </c>
      <c r="C845" s="7">
        <v>1</v>
      </c>
      <c r="D845" s="7">
        <v>1</v>
      </c>
      <c r="E845" s="20" t="str">
        <f t="shared" si="13"/>
        <v>11</v>
      </c>
      <c r="F845" s="21">
        <v>0.208615818325427</v>
      </c>
      <c r="G845" s="4">
        <v>0.499</v>
      </c>
      <c r="H845" s="4">
        <v>1</v>
      </c>
      <c r="I845" s="4">
        <v>0.95899999999999996</v>
      </c>
      <c r="J845" s="4">
        <v>1</v>
      </c>
      <c r="K845" s="5">
        <v>0</v>
      </c>
      <c r="L845" s="5">
        <v>100</v>
      </c>
      <c r="M845" s="5">
        <v>100</v>
      </c>
      <c r="N845" s="5">
        <v>100</v>
      </c>
      <c r="O845" s="2">
        <v>0.69514918323061836</v>
      </c>
      <c r="P845" s="2">
        <v>1.0000050000287824E-5</v>
      </c>
      <c r="Q845" s="2">
        <v>4.1864204098698871E-2</v>
      </c>
      <c r="R845" s="2">
        <v>1.0000050000287824E-5</v>
      </c>
    </row>
    <row r="846" spans="1:18" x14ac:dyDescent="0.3">
      <c r="A846" s="7">
        <v>392</v>
      </c>
      <c r="B846" s="7">
        <v>324</v>
      </c>
      <c r="C846" s="7">
        <v>1</v>
      </c>
      <c r="D846" s="7">
        <v>1</v>
      </c>
      <c r="E846" s="20" t="str">
        <f t="shared" si="13"/>
        <v>11</v>
      </c>
      <c r="F846" s="21">
        <v>0.21316485915901401</v>
      </c>
      <c r="G846" s="4">
        <v>0.65800000000000003</v>
      </c>
      <c r="H846" s="4">
        <v>1</v>
      </c>
      <c r="I846" s="4">
        <v>0.98799999999999999</v>
      </c>
      <c r="J846" s="4">
        <v>1</v>
      </c>
      <c r="K846" s="5">
        <v>100</v>
      </c>
      <c r="L846" s="5">
        <v>100</v>
      </c>
      <c r="M846" s="5">
        <v>100</v>
      </c>
      <c r="N846" s="5">
        <v>100</v>
      </c>
      <c r="O846" s="2">
        <v>0.41855034765681981</v>
      </c>
      <c r="P846" s="2">
        <v>1.0000050000287824E-5</v>
      </c>
      <c r="Q846" s="2">
        <v>1.2072581234269249E-2</v>
      </c>
      <c r="R846" s="2">
        <v>1.0000050000287824E-5</v>
      </c>
    </row>
    <row r="847" spans="1:18" x14ac:dyDescent="0.3">
      <c r="A847" s="7">
        <v>601</v>
      </c>
      <c r="B847" s="7">
        <v>346</v>
      </c>
      <c r="C847" s="7">
        <v>1</v>
      </c>
      <c r="D847" s="7">
        <v>1</v>
      </c>
      <c r="E847" s="20" t="str">
        <f t="shared" si="13"/>
        <v>11</v>
      </c>
      <c r="F847" s="21">
        <v>0.218103077972054</v>
      </c>
      <c r="G847" s="4">
        <v>0.45100000000000001</v>
      </c>
      <c r="H847" s="4">
        <v>1</v>
      </c>
      <c r="I847" s="4">
        <v>0.98099999999999998</v>
      </c>
      <c r="J847" s="4">
        <v>1</v>
      </c>
      <c r="K847" s="5">
        <v>0</v>
      </c>
      <c r="L847" s="5">
        <v>100</v>
      </c>
      <c r="M847" s="5">
        <v>100</v>
      </c>
      <c r="N847" s="5">
        <v>100</v>
      </c>
      <c r="O847" s="2">
        <v>0.79628793947945864</v>
      </c>
      <c r="P847" s="2">
        <v>1.0000050000287824E-5</v>
      </c>
      <c r="Q847" s="2">
        <v>1.9182819416773987E-2</v>
      </c>
      <c r="R847" s="2">
        <v>1.0000050000287824E-5</v>
      </c>
    </row>
    <row r="848" spans="1:18" x14ac:dyDescent="0.3">
      <c r="A848" s="7">
        <v>328</v>
      </c>
      <c r="B848" s="7">
        <v>338</v>
      </c>
      <c r="C848" s="7">
        <v>1</v>
      </c>
      <c r="D848" s="7">
        <v>1</v>
      </c>
      <c r="E848" s="20" t="str">
        <f t="shared" si="13"/>
        <v>11</v>
      </c>
      <c r="F848" s="21">
        <v>0.22694328082991999</v>
      </c>
      <c r="G848" s="4">
        <v>0.54200000000000004</v>
      </c>
      <c r="H848" s="4">
        <v>1</v>
      </c>
      <c r="I848" s="4">
        <v>0.97399999999999998</v>
      </c>
      <c r="J848" s="4">
        <v>1</v>
      </c>
      <c r="K848" s="5">
        <v>100</v>
      </c>
      <c r="L848" s="5">
        <v>100</v>
      </c>
      <c r="M848" s="5">
        <v>100</v>
      </c>
      <c r="N848" s="5">
        <v>100</v>
      </c>
      <c r="O848" s="2">
        <v>0.61248927754249083</v>
      </c>
      <c r="P848" s="2">
        <v>1.0000050000287824E-5</v>
      </c>
      <c r="Q848" s="2">
        <v>2.6343975339601977E-2</v>
      </c>
      <c r="R848" s="2">
        <v>1.0000050000287824E-5</v>
      </c>
    </row>
    <row r="849" spans="1:18" x14ac:dyDescent="0.3">
      <c r="A849" s="7">
        <v>586</v>
      </c>
      <c r="B849" s="7">
        <v>331</v>
      </c>
      <c r="C849" s="7">
        <v>1</v>
      </c>
      <c r="D849" s="7">
        <v>1</v>
      </c>
      <c r="E849" s="20" t="str">
        <f t="shared" si="13"/>
        <v>11</v>
      </c>
      <c r="F849" s="21">
        <v>0.22879144398926299</v>
      </c>
      <c r="G849" s="4">
        <v>0.57599999999999996</v>
      </c>
      <c r="H849" s="4">
        <v>1</v>
      </c>
      <c r="I849" s="4">
        <v>0.98699999999999999</v>
      </c>
      <c r="J849" s="4">
        <v>1</v>
      </c>
      <c r="K849" s="5">
        <v>100</v>
      </c>
      <c r="L849" s="5">
        <v>100</v>
      </c>
      <c r="M849" s="5">
        <v>100</v>
      </c>
      <c r="N849" s="5">
        <v>100</v>
      </c>
      <c r="O849" s="2">
        <v>0.55164761828624587</v>
      </c>
      <c r="P849" s="2">
        <v>1.0000050000287824E-5</v>
      </c>
      <c r="Q849" s="2">
        <v>1.3085239548655481E-2</v>
      </c>
      <c r="R849" s="2">
        <v>1.0000050000287824E-5</v>
      </c>
    </row>
    <row r="850" spans="1:18" x14ac:dyDescent="0.3">
      <c r="A850" s="7">
        <v>364</v>
      </c>
      <c r="B850" s="7">
        <v>323</v>
      </c>
      <c r="C850" s="7">
        <v>1</v>
      </c>
      <c r="D850" s="7">
        <v>1</v>
      </c>
      <c r="E850" s="20" t="str">
        <f t="shared" si="13"/>
        <v>11</v>
      </c>
      <c r="F850" s="21">
        <v>0.22991635868455401</v>
      </c>
      <c r="G850" s="4">
        <v>0.44700000000000001</v>
      </c>
      <c r="H850" s="4">
        <v>1</v>
      </c>
      <c r="I850" s="4">
        <v>0.93500000000000005</v>
      </c>
      <c r="J850" s="4">
        <v>1</v>
      </c>
      <c r="K850" s="5">
        <v>0</v>
      </c>
      <c r="L850" s="5">
        <v>100</v>
      </c>
      <c r="M850" s="5">
        <v>100</v>
      </c>
      <c r="N850" s="5">
        <v>100</v>
      </c>
      <c r="O850" s="2">
        <v>0.80519668436856817</v>
      </c>
      <c r="P850" s="2">
        <v>1.0000050000287824E-5</v>
      </c>
      <c r="Q850" s="2">
        <v>6.720874969344999E-2</v>
      </c>
      <c r="R850" s="2">
        <v>1.0000050000287824E-5</v>
      </c>
    </row>
    <row r="851" spans="1:18" x14ac:dyDescent="0.3">
      <c r="A851" s="7">
        <v>931</v>
      </c>
      <c r="B851" s="7">
        <v>349</v>
      </c>
      <c r="C851" s="7">
        <v>1</v>
      </c>
      <c r="D851" s="7">
        <v>1</v>
      </c>
      <c r="E851" s="20" t="str">
        <f t="shared" si="13"/>
        <v>11</v>
      </c>
      <c r="F851" s="21">
        <v>0.231068016220253</v>
      </c>
      <c r="G851" s="4">
        <v>0.628</v>
      </c>
      <c r="H851" s="4">
        <v>0.95402298850574696</v>
      </c>
      <c r="I851" s="4">
        <v>0.98399999999999999</v>
      </c>
      <c r="J851" s="4">
        <v>1</v>
      </c>
      <c r="K851" s="5">
        <v>100</v>
      </c>
      <c r="L851" s="5">
        <v>100</v>
      </c>
      <c r="M851" s="5">
        <v>100</v>
      </c>
      <c r="N851" s="5">
        <v>100</v>
      </c>
      <c r="O851" s="2">
        <v>0.46521511251393838</v>
      </c>
      <c r="P851" s="2">
        <v>4.7067510857985967E-2</v>
      </c>
      <c r="Q851" s="2">
        <v>1.6129381929883644E-2</v>
      </c>
      <c r="R851" s="2">
        <v>1.0000050000287824E-5</v>
      </c>
    </row>
    <row r="852" spans="1:18" x14ac:dyDescent="0.3">
      <c r="A852" s="7">
        <v>665</v>
      </c>
      <c r="B852" s="7">
        <v>342</v>
      </c>
      <c r="C852" s="7">
        <v>1</v>
      </c>
      <c r="D852" s="7">
        <v>1</v>
      </c>
      <c r="E852" s="20" t="str">
        <f t="shared" si="13"/>
        <v>11</v>
      </c>
      <c r="F852" s="21">
        <v>0.23210277069846399</v>
      </c>
      <c r="G852" s="4">
        <v>0.622</v>
      </c>
      <c r="H852" s="4">
        <v>0.99386503067484699</v>
      </c>
      <c r="I852" s="4">
        <v>0.98699999999999999</v>
      </c>
      <c r="J852" s="4">
        <v>1</v>
      </c>
      <c r="K852" s="5">
        <v>100</v>
      </c>
      <c r="L852" s="5">
        <v>100</v>
      </c>
      <c r="M852" s="5">
        <v>100</v>
      </c>
      <c r="N852" s="5">
        <v>100</v>
      </c>
      <c r="O852" s="2">
        <v>0.4748151862429576</v>
      </c>
      <c r="P852" s="2">
        <v>6.1538655743778887E-3</v>
      </c>
      <c r="Q852" s="2">
        <v>1.3085239548655481E-2</v>
      </c>
      <c r="R852" s="2">
        <v>1.0000050000287824E-5</v>
      </c>
    </row>
    <row r="853" spans="1:18" x14ac:dyDescent="0.3">
      <c r="A853" s="7">
        <v>15</v>
      </c>
      <c r="B853" s="7">
        <v>343</v>
      </c>
      <c r="C853" s="7">
        <v>1</v>
      </c>
      <c r="D853" s="7">
        <v>1</v>
      </c>
      <c r="E853" s="20" t="str">
        <f t="shared" si="13"/>
        <v>11</v>
      </c>
      <c r="F853" s="21">
        <v>0.23381652565323399</v>
      </c>
      <c r="G853" s="4">
        <v>0.67500000000000004</v>
      </c>
      <c r="H853" s="4">
        <v>1</v>
      </c>
      <c r="I853" s="4">
        <v>0.98599999999999999</v>
      </c>
      <c r="J853" s="4">
        <v>1</v>
      </c>
      <c r="K853" s="5">
        <v>100</v>
      </c>
      <c r="L853" s="5">
        <v>100</v>
      </c>
      <c r="M853" s="5">
        <v>100</v>
      </c>
      <c r="N853" s="5">
        <v>100</v>
      </c>
      <c r="O853" s="2">
        <v>0.39304258810960718</v>
      </c>
      <c r="P853" s="2">
        <v>1.0000050000287824E-5</v>
      </c>
      <c r="Q853" s="2">
        <v>1.4098924379501648E-2</v>
      </c>
      <c r="R853" s="2">
        <v>1.0000050000287824E-5</v>
      </c>
    </row>
    <row r="854" spans="1:18" x14ac:dyDescent="0.3">
      <c r="A854" s="7">
        <v>142</v>
      </c>
      <c r="B854" s="7">
        <v>342</v>
      </c>
      <c r="C854" s="7">
        <v>1</v>
      </c>
      <c r="D854" s="7">
        <v>1</v>
      </c>
      <c r="E854" s="20" t="str">
        <f t="shared" si="13"/>
        <v>11</v>
      </c>
      <c r="F854" s="21">
        <v>0.24574920054330099</v>
      </c>
      <c r="G854" s="4">
        <v>0.79200000000000004</v>
      </c>
      <c r="H854" s="4">
        <v>0.990291262135922</v>
      </c>
      <c r="I854" s="4">
        <v>0.98</v>
      </c>
      <c r="J854" s="4">
        <v>1</v>
      </c>
      <c r="K854" s="5">
        <v>100</v>
      </c>
      <c r="L854" s="5">
        <v>100</v>
      </c>
      <c r="M854" s="5">
        <v>100</v>
      </c>
      <c r="N854" s="5">
        <v>100</v>
      </c>
      <c r="O854" s="2">
        <v>0.23319388716771114</v>
      </c>
      <c r="P854" s="2">
        <v>9.7561749453650218E-3</v>
      </c>
      <c r="Q854" s="2">
        <v>2.0202707317519466E-2</v>
      </c>
      <c r="R854" s="2">
        <v>1.0000050000287824E-5</v>
      </c>
    </row>
    <row r="855" spans="1:18" x14ac:dyDescent="0.3">
      <c r="A855" s="7">
        <v>417</v>
      </c>
      <c r="B855" s="7">
        <v>321</v>
      </c>
      <c r="C855" s="7">
        <v>1</v>
      </c>
      <c r="D855" s="7">
        <v>1</v>
      </c>
      <c r="E855" s="20" t="str">
        <f t="shared" si="13"/>
        <v>11</v>
      </c>
      <c r="F855" s="21">
        <v>0.24765058211264701</v>
      </c>
      <c r="G855" s="4">
        <v>0.59299999999999997</v>
      </c>
      <c r="H855" s="4">
        <v>1</v>
      </c>
      <c r="I855" s="4">
        <v>0.96399999999999997</v>
      </c>
      <c r="J855" s="4">
        <v>1</v>
      </c>
      <c r="K855" s="5">
        <v>100</v>
      </c>
      <c r="L855" s="5">
        <v>100</v>
      </c>
      <c r="M855" s="5">
        <v>100</v>
      </c>
      <c r="N855" s="5">
        <v>100</v>
      </c>
      <c r="O855" s="2">
        <v>0.5225608799844117</v>
      </c>
      <c r="P855" s="2">
        <v>1.0000050000287824E-5</v>
      </c>
      <c r="Q855" s="2">
        <v>3.666398437159147E-2</v>
      </c>
      <c r="R855" s="2">
        <v>1.0000050000287824E-5</v>
      </c>
    </row>
    <row r="856" spans="1:18" x14ac:dyDescent="0.3">
      <c r="A856" s="7">
        <v>76</v>
      </c>
      <c r="B856" s="7">
        <v>317</v>
      </c>
      <c r="C856" s="7">
        <v>1</v>
      </c>
      <c r="D856" s="7">
        <v>1</v>
      </c>
      <c r="E856" s="20" t="str">
        <f t="shared" si="13"/>
        <v>11</v>
      </c>
      <c r="F856" s="21">
        <v>0.25286907290018201</v>
      </c>
      <c r="G856" s="4">
        <v>0.57299999999999995</v>
      </c>
      <c r="H856" s="4">
        <v>1</v>
      </c>
      <c r="I856" s="4">
        <v>0.93500000000000005</v>
      </c>
      <c r="J856" s="4">
        <v>1</v>
      </c>
      <c r="K856" s="5">
        <v>100</v>
      </c>
      <c r="L856" s="5">
        <v>100</v>
      </c>
      <c r="M856" s="5">
        <v>100</v>
      </c>
      <c r="N856" s="5">
        <v>100</v>
      </c>
      <c r="O856" s="2">
        <v>0.55686956226739759</v>
      </c>
      <c r="P856" s="2">
        <v>1.0000050000287824E-5</v>
      </c>
      <c r="Q856" s="2">
        <v>6.720874969344999E-2</v>
      </c>
      <c r="R856" s="2">
        <v>1.0000050000287824E-5</v>
      </c>
    </row>
    <row r="857" spans="1:18" x14ac:dyDescent="0.3">
      <c r="A857" s="7">
        <v>160</v>
      </c>
      <c r="B857" s="7">
        <v>327</v>
      </c>
      <c r="C857" s="7">
        <v>1</v>
      </c>
      <c r="D857" s="7">
        <v>1</v>
      </c>
      <c r="E857" s="20" t="str">
        <f t="shared" si="13"/>
        <v>11</v>
      </c>
      <c r="F857" s="21">
        <v>0.25645291392138297</v>
      </c>
      <c r="G857" s="4">
        <v>0.67400000000000004</v>
      </c>
      <c r="H857" s="4">
        <v>1</v>
      </c>
      <c r="I857" s="4">
        <v>0.98</v>
      </c>
      <c r="J857" s="4">
        <v>1</v>
      </c>
      <c r="K857" s="5">
        <v>100</v>
      </c>
      <c r="L857" s="5">
        <v>100</v>
      </c>
      <c r="M857" s="5">
        <v>100</v>
      </c>
      <c r="N857" s="5">
        <v>100</v>
      </c>
      <c r="O857" s="2">
        <v>0.39452516806982996</v>
      </c>
      <c r="P857" s="2">
        <v>1.0000050000287824E-5</v>
      </c>
      <c r="Q857" s="2">
        <v>2.0202707317519466E-2</v>
      </c>
      <c r="R857" s="2">
        <v>1.0000050000287824E-5</v>
      </c>
    </row>
    <row r="858" spans="1:18" x14ac:dyDescent="0.3">
      <c r="A858" s="7">
        <v>156</v>
      </c>
      <c r="B858" s="7">
        <v>320</v>
      </c>
      <c r="C858" s="7">
        <v>1</v>
      </c>
      <c r="D858" s="7">
        <v>1</v>
      </c>
      <c r="E858" s="20" t="str">
        <f t="shared" si="13"/>
        <v>11</v>
      </c>
      <c r="F858" s="21">
        <v>0.26793065372673103</v>
      </c>
      <c r="G858" s="4">
        <v>0.71299999999999997</v>
      </c>
      <c r="H858" s="4">
        <v>0.99310344827586206</v>
      </c>
      <c r="I858" s="4">
        <v>0.97</v>
      </c>
      <c r="J858" s="4">
        <v>0.98899999999999999</v>
      </c>
      <c r="K858" s="5">
        <v>100</v>
      </c>
      <c r="L858" s="5">
        <v>100</v>
      </c>
      <c r="M858" s="5">
        <v>100</v>
      </c>
      <c r="N858" s="5">
        <v>100</v>
      </c>
      <c r="O858" s="2">
        <v>0.33827385856784115</v>
      </c>
      <c r="P858" s="2">
        <v>6.9204428445737952E-3</v>
      </c>
      <c r="Q858" s="2">
        <v>3.0459207484708574E-2</v>
      </c>
      <c r="R858" s="2">
        <v>1.1060947359424948E-2</v>
      </c>
    </row>
    <row r="859" spans="1:18" x14ac:dyDescent="0.3">
      <c r="A859" s="7">
        <v>594</v>
      </c>
      <c r="B859" s="7">
        <v>295</v>
      </c>
      <c r="C859" s="7">
        <v>1</v>
      </c>
      <c r="D859" s="7">
        <v>1</v>
      </c>
      <c r="E859" s="20" t="str">
        <f t="shared" si="13"/>
        <v>11</v>
      </c>
      <c r="F859" s="21">
        <v>0.27455597073520099</v>
      </c>
      <c r="G859" s="4">
        <v>0.62</v>
      </c>
      <c r="H859" s="4">
        <v>1</v>
      </c>
      <c r="I859" s="4">
        <v>0.89700000000000002</v>
      </c>
      <c r="J859" s="4">
        <v>1</v>
      </c>
      <c r="K859" s="5">
        <v>100</v>
      </c>
      <c r="L859" s="5">
        <v>100</v>
      </c>
      <c r="M859" s="5">
        <v>100</v>
      </c>
      <c r="N859" s="5">
        <v>100</v>
      </c>
      <c r="O859" s="2">
        <v>0.4780358009429998</v>
      </c>
      <c r="P859" s="2">
        <v>1.0000050000287824E-5</v>
      </c>
      <c r="Q859" s="2">
        <v>0.10869941692334091</v>
      </c>
      <c r="R859" s="2">
        <v>1.0000050000287824E-5</v>
      </c>
    </row>
    <row r="860" spans="1:18" x14ac:dyDescent="0.3">
      <c r="A860" s="7">
        <v>670</v>
      </c>
      <c r="B860" s="7">
        <v>314</v>
      </c>
      <c r="C860" s="7">
        <v>1</v>
      </c>
      <c r="D860" s="7">
        <v>1</v>
      </c>
      <c r="E860" s="20" t="str">
        <f t="shared" si="13"/>
        <v>11</v>
      </c>
      <c r="F860" s="21">
        <v>0.27507808486952001</v>
      </c>
      <c r="G860" s="4">
        <v>0.751</v>
      </c>
      <c r="H860" s="4">
        <v>1</v>
      </c>
      <c r="I860" s="4">
        <v>0.98399999999999999</v>
      </c>
      <c r="J860" s="4">
        <v>1</v>
      </c>
      <c r="K860" s="5">
        <v>100</v>
      </c>
      <c r="L860" s="5">
        <v>100</v>
      </c>
      <c r="M860" s="5">
        <v>100</v>
      </c>
      <c r="N860" s="5">
        <v>100</v>
      </c>
      <c r="O860" s="2">
        <v>0.28634962721800233</v>
      </c>
      <c r="P860" s="2">
        <v>1.0000050000287824E-5</v>
      </c>
      <c r="Q860" s="2">
        <v>1.6129381929883644E-2</v>
      </c>
      <c r="R860" s="2">
        <v>1.0000050000287824E-5</v>
      </c>
    </row>
    <row r="861" spans="1:18" x14ac:dyDescent="0.3">
      <c r="A861" s="7">
        <v>769</v>
      </c>
      <c r="B861" s="7">
        <v>322</v>
      </c>
      <c r="C861" s="7">
        <v>1</v>
      </c>
      <c r="D861" s="7">
        <v>1</v>
      </c>
      <c r="E861" s="20" t="str">
        <f t="shared" si="13"/>
        <v>11</v>
      </c>
      <c r="F861" s="21">
        <v>0.28436182306274899</v>
      </c>
      <c r="G861" s="4">
        <v>0.58499999999999996</v>
      </c>
      <c r="H861" s="4">
        <v>1</v>
      </c>
      <c r="I861" s="4">
        <v>0.95599999999999996</v>
      </c>
      <c r="J861" s="4">
        <v>1</v>
      </c>
      <c r="K861" s="5">
        <v>100</v>
      </c>
      <c r="L861" s="5">
        <v>100</v>
      </c>
      <c r="M861" s="5">
        <v>100</v>
      </c>
      <c r="N861" s="5">
        <v>100</v>
      </c>
      <c r="O861" s="2">
        <v>0.53614343175028067</v>
      </c>
      <c r="P861" s="2">
        <v>1.0000050000287824E-5</v>
      </c>
      <c r="Q861" s="2">
        <v>4.4997365930735805E-2</v>
      </c>
      <c r="R861" s="2">
        <v>1.0000050000287824E-5</v>
      </c>
    </row>
    <row r="862" spans="1:18" x14ac:dyDescent="0.3">
      <c r="A862" s="7">
        <v>661</v>
      </c>
      <c r="B862" s="7">
        <v>310</v>
      </c>
      <c r="C862" s="7">
        <v>1</v>
      </c>
      <c r="D862" s="7">
        <v>1</v>
      </c>
      <c r="E862" s="20" t="str">
        <f t="shared" si="13"/>
        <v>11</v>
      </c>
      <c r="F862" s="21">
        <v>0.28668141345029702</v>
      </c>
      <c r="G862" s="4">
        <v>0.68500000000000005</v>
      </c>
      <c r="H862" s="4">
        <v>1</v>
      </c>
      <c r="I862" s="4">
        <v>0.97</v>
      </c>
      <c r="J862" s="4">
        <v>1</v>
      </c>
      <c r="K862" s="5">
        <v>100</v>
      </c>
      <c r="L862" s="5">
        <v>100</v>
      </c>
      <c r="M862" s="5">
        <v>100</v>
      </c>
      <c r="N862" s="5">
        <v>100</v>
      </c>
      <c r="O862" s="2">
        <v>0.37833644071991168</v>
      </c>
      <c r="P862" s="2">
        <v>1.0000050000287824E-5</v>
      </c>
      <c r="Q862" s="2">
        <v>3.0459207484708574E-2</v>
      </c>
      <c r="R862" s="2">
        <v>1.0000050000287824E-5</v>
      </c>
    </row>
    <row r="863" spans="1:18" x14ac:dyDescent="0.3">
      <c r="A863" s="7">
        <v>314</v>
      </c>
      <c r="B863" s="7">
        <v>303</v>
      </c>
      <c r="C863" s="7">
        <v>1</v>
      </c>
      <c r="D863" s="7">
        <v>1</v>
      </c>
      <c r="E863" s="20" t="str">
        <f t="shared" si="13"/>
        <v>11</v>
      </c>
      <c r="F863" s="21">
        <v>0.30204859722773802</v>
      </c>
      <c r="G863" s="4">
        <v>0.59499999999999997</v>
      </c>
      <c r="H863" s="4">
        <v>0.99193548387096797</v>
      </c>
      <c r="I863" s="4">
        <v>0.96699999999999997</v>
      </c>
      <c r="J863" s="4">
        <v>1</v>
      </c>
      <c r="K863" s="5">
        <v>100</v>
      </c>
      <c r="L863" s="5">
        <v>100</v>
      </c>
      <c r="M863" s="5">
        <v>100</v>
      </c>
      <c r="N863" s="5">
        <v>100</v>
      </c>
      <c r="O863" s="2">
        <v>0.51919387343650736</v>
      </c>
      <c r="P863" s="2">
        <v>8.097210232619138E-3</v>
      </c>
      <c r="Q863" s="2">
        <v>3.3556783528842754E-2</v>
      </c>
      <c r="R863" s="2">
        <v>1.0000050000287824E-5</v>
      </c>
    </row>
    <row r="864" spans="1:18" x14ac:dyDescent="0.3">
      <c r="A864" s="7">
        <v>205</v>
      </c>
      <c r="B864" s="7">
        <v>278</v>
      </c>
      <c r="C864" s="7">
        <v>1</v>
      </c>
      <c r="D864" s="7">
        <v>1</v>
      </c>
      <c r="E864" s="20" t="str">
        <f t="shared" si="13"/>
        <v>11</v>
      </c>
      <c r="F864" s="21">
        <v>0.30426508817627101</v>
      </c>
      <c r="G864" s="4">
        <v>0.63400000000000001</v>
      </c>
      <c r="H864" s="4">
        <v>1</v>
      </c>
      <c r="I864" s="4">
        <v>0.97199999999999998</v>
      </c>
      <c r="J864" s="4">
        <v>1</v>
      </c>
      <c r="K864" s="5">
        <v>100</v>
      </c>
      <c r="L864" s="5">
        <v>100</v>
      </c>
      <c r="M864" s="5">
        <v>100</v>
      </c>
      <c r="N864" s="5">
        <v>100</v>
      </c>
      <c r="O864" s="2">
        <v>0.45570632454491111</v>
      </c>
      <c r="P864" s="2">
        <v>1.0000050000287824E-5</v>
      </c>
      <c r="Q864" s="2">
        <v>2.8399474521698002E-2</v>
      </c>
      <c r="R864" s="2">
        <v>1.0000050000287824E-5</v>
      </c>
    </row>
    <row r="865" spans="1:18" x14ac:dyDescent="0.3">
      <c r="A865" s="7">
        <v>997</v>
      </c>
      <c r="B865" s="7">
        <v>321</v>
      </c>
      <c r="C865" s="7">
        <v>1</v>
      </c>
      <c r="D865" s="7">
        <v>1</v>
      </c>
      <c r="E865" s="20" t="str">
        <f t="shared" si="13"/>
        <v>11</v>
      </c>
      <c r="F865" s="21">
        <v>0.30763366461882002</v>
      </c>
      <c r="G865" s="4">
        <v>0.625</v>
      </c>
      <c r="H865" s="4">
        <v>1</v>
      </c>
      <c r="I865" s="4">
        <v>0.97099999999999997</v>
      </c>
      <c r="J865" s="4">
        <v>1</v>
      </c>
      <c r="K865" s="5">
        <v>100</v>
      </c>
      <c r="L865" s="5">
        <v>100</v>
      </c>
      <c r="M865" s="5">
        <v>100</v>
      </c>
      <c r="N865" s="5">
        <v>100</v>
      </c>
      <c r="O865" s="2">
        <v>0.47000362924573558</v>
      </c>
      <c r="P865" s="2">
        <v>1.0000050000287824E-5</v>
      </c>
      <c r="Q865" s="2">
        <v>2.9428810690812168E-2</v>
      </c>
      <c r="R865" s="2">
        <v>1.0000050000287824E-5</v>
      </c>
    </row>
    <row r="866" spans="1:18" x14ac:dyDescent="0.3">
      <c r="A866" s="7">
        <v>912</v>
      </c>
      <c r="B866" s="7">
        <v>295</v>
      </c>
      <c r="C866" s="7">
        <v>1</v>
      </c>
      <c r="D866" s="7">
        <v>1</v>
      </c>
      <c r="E866" s="20" t="str">
        <f t="shared" si="13"/>
        <v>11</v>
      </c>
      <c r="F866" s="21">
        <v>0.31154625573735001</v>
      </c>
      <c r="G866" s="4">
        <v>0.47599999999999998</v>
      </c>
      <c r="H866" s="4">
        <v>0.89814814814814803</v>
      </c>
      <c r="I866" s="4">
        <v>0.98499999999999999</v>
      </c>
      <c r="J866" s="4">
        <v>0.998</v>
      </c>
      <c r="K866" s="5">
        <v>0</v>
      </c>
      <c r="L866" s="5">
        <v>100</v>
      </c>
      <c r="M866" s="5">
        <v>100</v>
      </c>
      <c r="N866" s="5">
        <v>100</v>
      </c>
      <c r="O866" s="2">
        <v>0.74233742475071707</v>
      </c>
      <c r="P866" s="2">
        <v>0.107420248620837</v>
      </c>
      <c r="Q866" s="2">
        <v>1.5113637810048184E-2</v>
      </c>
      <c r="R866" s="2">
        <v>2.0020026706730793E-3</v>
      </c>
    </row>
    <row r="867" spans="1:18" x14ac:dyDescent="0.3">
      <c r="A867" s="7">
        <v>750</v>
      </c>
      <c r="B867" s="7">
        <v>271</v>
      </c>
      <c r="C867" s="7">
        <v>1</v>
      </c>
      <c r="D867" s="7">
        <v>1</v>
      </c>
      <c r="E867" s="20" t="str">
        <f t="shared" si="13"/>
        <v>11</v>
      </c>
      <c r="F867" s="21">
        <v>0.31359382207530201</v>
      </c>
      <c r="G867" s="4">
        <v>0.76400000000000001</v>
      </c>
      <c r="H867" s="4">
        <v>1</v>
      </c>
      <c r="I867" s="4">
        <v>0.97699999999999998</v>
      </c>
      <c r="J867" s="4">
        <v>1</v>
      </c>
      <c r="K867" s="5">
        <v>100</v>
      </c>
      <c r="L867" s="5">
        <v>100</v>
      </c>
      <c r="M867" s="5">
        <v>100</v>
      </c>
      <c r="N867" s="5">
        <v>100</v>
      </c>
      <c r="O867" s="2">
        <v>0.26918748981561652</v>
      </c>
      <c r="P867" s="2">
        <v>1.0000050000287824E-5</v>
      </c>
      <c r="Q867" s="2">
        <v>2.3268626939354331E-2</v>
      </c>
      <c r="R867" s="2">
        <v>1.0000050000287824E-5</v>
      </c>
    </row>
    <row r="868" spans="1:18" x14ac:dyDescent="0.3">
      <c r="A868" s="7">
        <v>735</v>
      </c>
      <c r="B868" s="7">
        <v>285</v>
      </c>
      <c r="C868" s="7">
        <v>1</v>
      </c>
      <c r="D868" s="7">
        <v>1</v>
      </c>
      <c r="E868" s="20" t="str">
        <f t="shared" si="13"/>
        <v>11</v>
      </c>
      <c r="F868" s="21">
        <v>0.31796833514379302</v>
      </c>
      <c r="G868" s="4">
        <v>0.61799999999999999</v>
      </c>
      <c r="H868" s="4">
        <v>0.97484276729559705</v>
      </c>
      <c r="I868" s="4">
        <v>0.97799999999999998</v>
      </c>
      <c r="J868" s="4">
        <v>1</v>
      </c>
      <c r="K868" s="5">
        <v>100</v>
      </c>
      <c r="L868" s="5">
        <v>100</v>
      </c>
      <c r="M868" s="5">
        <v>100</v>
      </c>
      <c r="N868" s="5">
        <v>100</v>
      </c>
      <c r="O868" s="2">
        <v>0.48126682152444628</v>
      </c>
      <c r="P868" s="2">
        <v>2.5479085300985353E-2</v>
      </c>
      <c r="Q868" s="2">
        <v>2.2245608947319737E-2</v>
      </c>
      <c r="R868" s="2">
        <v>1.0000050000287824E-5</v>
      </c>
    </row>
    <row r="869" spans="1:18" x14ac:dyDescent="0.3">
      <c r="A869" s="7">
        <v>313</v>
      </c>
      <c r="B869" s="7">
        <v>308</v>
      </c>
      <c r="C869" s="7">
        <v>1</v>
      </c>
      <c r="D869" s="7">
        <v>1</v>
      </c>
      <c r="E869" s="20" t="str">
        <f t="shared" si="13"/>
        <v>11</v>
      </c>
      <c r="F869" s="21">
        <v>0.324986864907512</v>
      </c>
      <c r="G869" s="4">
        <v>0.34</v>
      </c>
      <c r="H869" s="4">
        <v>1</v>
      </c>
      <c r="I869" s="4">
        <v>0.95699999999999996</v>
      </c>
      <c r="J869" s="4">
        <v>1</v>
      </c>
      <c r="K869" s="5">
        <v>0</v>
      </c>
      <c r="L869" s="5">
        <v>100</v>
      </c>
      <c r="M869" s="5">
        <v>100</v>
      </c>
      <c r="N869" s="5">
        <v>100</v>
      </c>
      <c r="O869" s="2">
        <v>1.0788096613719298</v>
      </c>
      <c r="P869" s="2">
        <v>1.0000050000287824E-5</v>
      </c>
      <c r="Q869" s="2">
        <v>4.3951887529182831E-2</v>
      </c>
      <c r="R869" s="2">
        <v>1.0000050000287824E-5</v>
      </c>
    </row>
    <row r="870" spans="1:18" x14ac:dyDescent="0.3">
      <c r="A870" s="7">
        <v>955</v>
      </c>
      <c r="B870" s="7">
        <v>269</v>
      </c>
      <c r="C870" s="7">
        <v>1</v>
      </c>
      <c r="D870" s="7">
        <v>1</v>
      </c>
      <c r="E870" s="20" t="str">
        <f t="shared" si="13"/>
        <v>11</v>
      </c>
      <c r="F870" s="21">
        <v>0.32786640188586702</v>
      </c>
      <c r="G870" s="4">
        <v>0.55500000000000005</v>
      </c>
      <c r="H870" s="4">
        <v>1</v>
      </c>
      <c r="I870" s="4">
        <v>0.97799999999999998</v>
      </c>
      <c r="J870" s="4">
        <v>1</v>
      </c>
      <c r="K870" s="5">
        <v>100</v>
      </c>
      <c r="L870" s="5">
        <v>100</v>
      </c>
      <c r="M870" s="5">
        <v>100</v>
      </c>
      <c r="N870" s="5">
        <v>100</v>
      </c>
      <c r="O870" s="2">
        <v>0.5887871652357024</v>
      </c>
      <c r="P870" s="2">
        <v>1.0000050000287824E-5</v>
      </c>
      <c r="Q870" s="2">
        <v>2.2245608947319737E-2</v>
      </c>
      <c r="R870" s="2">
        <v>1.0000050000287824E-5</v>
      </c>
    </row>
    <row r="871" spans="1:18" x14ac:dyDescent="0.3">
      <c r="A871" s="7">
        <v>304</v>
      </c>
      <c r="B871" s="7">
        <v>276</v>
      </c>
      <c r="C871" s="7">
        <v>1</v>
      </c>
      <c r="D871" s="7">
        <v>1</v>
      </c>
      <c r="E871" s="20" t="str">
        <f t="shared" si="13"/>
        <v>11</v>
      </c>
      <c r="F871" s="21">
        <v>0.33640650093727298</v>
      </c>
      <c r="G871" s="4">
        <v>0.48199999999999998</v>
      </c>
      <c r="H871" s="4">
        <v>0.98947368421052595</v>
      </c>
      <c r="I871" s="4">
        <v>0.98</v>
      </c>
      <c r="J871" s="4">
        <v>0.999</v>
      </c>
      <c r="K871" s="5">
        <v>0</v>
      </c>
      <c r="L871" s="5">
        <v>100</v>
      </c>
      <c r="M871" s="5">
        <v>100</v>
      </c>
      <c r="N871" s="5">
        <v>100</v>
      </c>
      <c r="O871" s="2">
        <v>0.72981116493153675</v>
      </c>
      <c r="P871" s="2">
        <v>1.0582109330537309E-2</v>
      </c>
      <c r="Q871" s="2">
        <v>2.0202707317519466E-2</v>
      </c>
      <c r="R871" s="2">
        <v>1.0005003335835344E-3</v>
      </c>
    </row>
    <row r="872" spans="1:18" x14ac:dyDescent="0.3">
      <c r="A872" s="7">
        <v>214</v>
      </c>
      <c r="B872" s="7">
        <v>261</v>
      </c>
      <c r="C872" s="7">
        <v>1</v>
      </c>
      <c r="D872" s="7">
        <v>1</v>
      </c>
      <c r="E872" s="20" t="str">
        <f t="shared" si="13"/>
        <v>11</v>
      </c>
      <c r="F872" s="21">
        <v>0.33642339620940898</v>
      </c>
      <c r="G872" s="4">
        <v>0.85399999999999998</v>
      </c>
      <c r="H872" s="4">
        <v>0.99626865671641796</v>
      </c>
      <c r="I872" s="4">
        <v>0.99099999999999999</v>
      </c>
      <c r="J872" s="4">
        <v>1</v>
      </c>
      <c r="K872" s="5">
        <v>100</v>
      </c>
      <c r="L872" s="5">
        <v>100</v>
      </c>
      <c r="M872" s="5">
        <v>100</v>
      </c>
      <c r="N872" s="5">
        <v>100</v>
      </c>
      <c r="O872" s="2">
        <v>0.15782408519356722</v>
      </c>
      <c r="P872" s="2">
        <v>3.7383221106071039E-3</v>
      </c>
      <c r="Q872" s="2">
        <v>9.0407446521490707E-3</v>
      </c>
      <c r="R872" s="2">
        <v>1.0000050000287824E-5</v>
      </c>
    </row>
    <row r="873" spans="1:18" x14ac:dyDescent="0.3">
      <c r="A873" s="7">
        <v>318</v>
      </c>
      <c r="B873" s="7">
        <v>300</v>
      </c>
      <c r="C873" s="7">
        <v>1</v>
      </c>
      <c r="D873" s="7">
        <v>1</v>
      </c>
      <c r="E873" s="20" t="str">
        <f t="shared" si="13"/>
        <v>11</v>
      </c>
      <c r="F873" s="21">
        <v>0.34155388217114302</v>
      </c>
      <c r="G873" s="4">
        <v>0.51</v>
      </c>
      <c r="H873" s="4">
        <v>1</v>
      </c>
      <c r="I873" s="4">
        <v>0.99299999999999999</v>
      </c>
      <c r="J873" s="4">
        <v>1</v>
      </c>
      <c r="K873" s="5">
        <v>100</v>
      </c>
      <c r="L873" s="5">
        <v>100</v>
      </c>
      <c r="M873" s="5">
        <v>100</v>
      </c>
      <c r="N873" s="5">
        <v>100</v>
      </c>
      <c r="O873" s="2">
        <v>0.67334455326376563</v>
      </c>
      <c r="P873" s="2">
        <v>1.0000050000287824E-5</v>
      </c>
      <c r="Q873" s="2">
        <v>7.0246149369644663E-3</v>
      </c>
      <c r="R873" s="2">
        <v>1.0000050000287824E-5</v>
      </c>
    </row>
    <row r="874" spans="1:18" x14ac:dyDescent="0.3">
      <c r="A874" s="7">
        <v>877</v>
      </c>
      <c r="B874" s="7">
        <v>265</v>
      </c>
      <c r="C874" s="7">
        <v>1</v>
      </c>
      <c r="D874" s="7">
        <v>1</v>
      </c>
      <c r="E874" s="20" t="str">
        <f t="shared" si="13"/>
        <v>11</v>
      </c>
      <c r="F874" s="21">
        <v>0.34937787462113801</v>
      </c>
      <c r="G874" s="4">
        <v>0.59399999999999997</v>
      </c>
      <c r="H874" s="4">
        <v>1</v>
      </c>
      <c r="I874" s="4">
        <v>0.98599999999999999</v>
      </c>
      <c r="J874" s="4">
        <v>1</v>
      </c>
      <c r="K874" s="5">
        <v>100</v>
      </c>
      <c r="L874" s="5">
        <v>100</v>
      </c>
      <c r="M874" s="5">
        <v>100</v>
      </c>
      <c r="N874" s="5">
        <v>100</v>
      </c>
      <c r="O874" s="2">
        <v>0.52087595961949218</v>
      </c>
      <c r="P874" s="2">
        <v>1.0000050000287824E-5</v>
      </c>
      <c r="Q874" s="2">
        <v>1.4098924379501648E-2</v>
      </c>
      <c r="R874" s="2">
        <v>1.0000050000287824E-5</v>
      </c>
    </row>
    <row r="875" spans="1:18" x14ac:dyDescent="0.3">
      <c r="A875" s="7">
        <v>533</v>
      </c>
      <c r="B875" s="7">
        <v>254</v>
      </c>
      <c r="C875" s="7">
        <v>1</v>
      </c>
      <c r="D875" s="7">
        <v>1</v>
      </c>
      <c r="E875" s="20" t="str">
        <f t="shared" si="13"/>
        <v>11</v>
      </c>
      <c r="F875" s="21">
        <v>0.37108499788975802</v>
      </c>
      <c r="G875" s="4">
        <v>0.67900000000000005</v>
      </c>
      <c r="H875" s="4">
        <v>1</v>
      </c>
      <c r="I875" s="4">
        <v>0.97299999999999998</v>
      </c>
      <c r="J875" s="4">
        <v>1</v>
      </c>
      <c r="K875" s="5">
        <v>100</v>
      </c>
      <c r="L875" s="5">
        <v>100</v>
      </c>
      <c r="M875" s="5">
        <v>100</v>
      </c>
      <c r="N875" s="5">
        <v>100</v>
      </c>
      <c r="O875" s="2">
        <v>0.38713415142344088</v>
      </c>
      <c r="P875" s="2">
        <v>1.0000050000287824E-5</v>
      </c>
      <c r="Q875" s="2">
        <v>2.7371196796132015E-2</v>
      </c>
      <c r="R875" s="2">
        <v>1.0000050000287824E-5</v>
      </c>
    </row>
    <row r="876" spans="1:18" x14ac:dyDescent="0.3">
      <c r="A876" s="7">
        <v>530</v>
      </c>
      <c r="B876" s="7">
        <v>249</v>
      </c>
      <c r="C876" s="7">
        <v>1</v>
      </c>
      <c r="D876" s="7">
        <v>1</v>
      </c>
      <c r="E876" s="20" t="str">
        <f t="shared" si="13"/>
        <v>11</v>
      </c>
      <c r="F876" s="21">
        <v>0.37676736630684898</v>
      </c>
      <c r="G876" s="4">
        <v>0.64900000000000002</v>
      </c>
      <c r="H876" s="4">
        <v>1</v>
      </c>
      <c r="I876" s="4">
        <v>0.84899999999999998</v>
      </c>
      <c r="J876" s="4">
        <v>1</v>
      </c>
      <c r="K876" s="5">
        <v>100</v>
      </c>
      <c r="L876" s="5">
        <v>100</v>
      </c>
      <c r="M876" s="5">
        <v>100</v>
      </c>
      <c r="N876" s="5">
        <v>100</v>
      </c>
      <c r="O876" s="2">
        <v>0.43232256227804705</v>
      </c>
      <c r="P876" s="2">
        <v>1.0000050000287824E-5</v>
      </c>
      <c r="Q876" s="2">
        <v>0.16369609267078977</v>
      </c>
      <c r="R876" s="2">
        <v>1.0000050000287824E-5</v>
      </c>
    </row>
    <row r="877" spans="1:18" x14ac:dyDescent="0.3">
      <c r="A877" s="7">
        <v>701</v>
      </c>
      <c r="B877" s="7">
        <v>277</v>
      </c>
      <c r="C877" s="7">
        <v>1</v>
      </c>
      <c r="D877" s="7">
        <v>1</v>
      </c>
      <c r="E877" s="20" t="str">
        <f t="shared" si="13"/>
        <v>11</v>
      </c>
      <c r="F877" s="21">
        <v>0.37785795372786801</v>
      </c>
      <c r="G877" s="4">
        <v>0.72799999999999998</v>
      </c>
      <c r="H877" s="4">
        <v>1</v>
      </c>
      <c r="I877" s="4">
        <v>0.96299999999999997</v>
      </c>
      <c r="J877" s="4">
        <v>1</v>
      </c>
      <c r="K877" s="5">
        <v>100</v>
      </c>
      <c r="L877" s="5">
        <v>100</v>
      </c>
      <c r="M877" s="5">
        <v>100</v>
      </c>
      <c r="N877" s="5">
        <v>100</v>
      </c>
      <c r="O877" s="2">
        <v>0.3174542307854511</v>
      </c>
      <c r="P877" s="2">
        <v>1.0000050000287824E-5</v>
      </c>
      <c r="Q877" s="2">
        <v>3.7701867184011528E-2</v>
      </c>
      <c r="R877" s="2">
        <v>1.0000050000287824E-5</v>
      </c>
    </row>
    <row r="878" spans="1:18" x14ac:dyDescent="0.3">
      <c r="A878" s="7">
        <v>333</v>
      </c>
      <c r="B878" s="7">
        <v>246</v>
      </c>
      <c r="C878" s="7">
        <v>1</v>
      </c>
      <c r="D878" s="7">
        <v>1</v>
      </c>
      <c r="E878" s="20" t="str">
        <f t="shared" si="13"/>
        <v>11</v>
      </c>
      <c r="F878" s="21">
        <v>0.38078721688100498</v>
      </c>
      <c r="G878" s="4">
        <v>0.55900000000000005</v>
      </c>
      <c r="H878" s="4">
        <v>1</v>
      </c>
      <c r="I878" s="4">
        <v>0.97799999999999998</v>
      </c>
      <c r="J878" s="4">
        <v>1</v>
      </c>
      <c r="K878" s="5">
        <v>100</v>
      </c>
      <c r="L878" s="5">
        <v>100</v>
      </c>
      <c r="M878" s="5">
        <v>100</v>
      </c>
      <c r="N878" s="5">
        <v>100</v>
      </c>
      <c r="O878" s="2">
        <v>0.5816058058270378</v>
      </c>
      <c r="P878" s="2">
        <v>1.0000050000287824E-5</v>
      </c>
      <c r="Q878" s="2">
        <v>2.2245608947319737E-2</v>
      </c>
      <c r="R878" s="2">
        <v>1.0000050000287824E-5</v>
      </c>
    </row>
    <row r="879" spans="1:18" x14ac:dyDescent="0.3">
      <c r="A879" s="7">
        <v>603</v>
      </c>
      <c r="B879" s="7">
        <v>267</v>
      </c>
      <c r="C879" s="7">
        <v>1</v>
      </c>
      <c r="D879" s="7">
        <v>1</v>
      </c>
      <c r="E879" s="20" t="str">
        <f t="shared" si="13"/>
        <v>11</v>
      </c>
      <c r="F879" s="21">
        <v>0.382325728295831</v>
      </c>
      <c r="G879" s="4">
        <v>0.67400000000000004</v>
      </c>
      <c r="H879" s="4">
        <v>1</v>
      </c>
      <c r="I879" s="4">
        <v>0.97099999999999997</v>
      </c>
      <c r="J879" s="4">
        <v>1</v>
      </c>
      <c r="K879" s="5">
        <v>100</v>
      </c>
      <c r="L879" s="5">
        <v>100</v>
      </c>
      <c r="M879" s="5">
        <v>100</v>
      </c>
      <c r="N879" s="5">
        <v>100</v>
      </c>
      <c r="O879" s="2">
        <v>0.39452516806982996</v>
      </c>
      <c r="P879" s="2">
        <v>1.0000050000287824E-5</v>
      </c>
      <c r="Q879" s="2">
        <v>2.9428810690812168E-2</v>
      </c>
      <c r="R879" s="2">
        <v>1.0000050000287824E-5</v>
      </c>
    </row>
    <row r="880" spans="1:18" x14ac:dyDescent="0.3">
      <c r="A880" s="7">
        <v>925</v>
      </c>
      <c r="B880" s="7">
        <v>258</v>
      </c>
      <c r="C880" s="7">
        <v>1</v>
      </c>
      <c r="D880" s="7">
        <v>1</v>
      </c>
      <c r="E880" s="20" t="str">
        <f t="shared" si="13"/>
        <v>11</v>
      </c>
      <c r="F880" s="21">
        <v>0.385194310439054</v>
      </c>
      <c r="G880" s="4">
        <v>0.67700000000000005</v>
      </c>
      <c r="H880" s="4">
        <v>0.99462365591397806</v>
      </c>
      <c r="I880" s="4">
        <v>0.97799999999999998</v>
      </c>
      <c r="J880" s="4">
        <v>1</v>
      </c>
      <c r="K880" s="5">
        <v>100</v>
      </c>
      <c r="L880" s="5">
        <v>100</v>
      </c>
      <c r="M880" s="5">
        <v>100</v>
      </c>
      <c r="N880" s="5">
        <v>100</v>
      </c>
      <c r="O880" s="2">
        <v>0.39008400606986199</v>
      </c>
      <c r="P880" s="2">
        <v>5.3908486348768691E-3</v>
      </c>
      <c r="Q880" s="2">
        <v>2.2245608947319737E-2</v>
      </c>
      <c r="R880" s="2">
        <v>1.0000050000287824E-5</v>
      </c>
    </row>
    <row r="881" spans="1:18" x14ac:dyDescent="0.3">
      <c r="A881" s="7">
        <v>396</v>
      </c>
      <c r="B881" s="7">
        <v>270</v>
      </c>
      <c r="C881" s="7">
        <v>1</v>
      </c>
      <c r="D881" s="7">
        <v>1</v>
      </c>
      <c r="E881" s="20" t="str">
        <f t="shared" si="13"/>
        <v>11</v>
      </c>
      <c r="F881" s="21">
        <v>0.38529762041647703</v>
      </c>
      <c r="G881" s="4">
        <v>0.57399999999999995</v>
      </c>
      <c r="H881" s="4">
        <v>1</v>
      </c>
      <c r="I881" s="4">
        <v>0.97199999999999998</v>
      </c>
      <c r="J881" s="4">
        <v>1</v>
      </c>
      <c r="K881" s="5">
        <v>100</v>
      </c>
      <c r="L881" s="5">
        <v>100</v>
      </c>
      <c r="M881" s="5">
        <v>100</v>
      </c>
      <c r="N881" s="5">
        <v>100</v>
      </c>
      <c r="O881" s="2">
        <v>0.55512588266257068</v>
      </c>
      <c r="P881" s="2">
        <v>1.0000050000287824E-5</v>
      </c>
      <c r="Q881" s="2">
        <v>2.8399474521698002E-2</v>
      </c>
      <c r="R881" s="2">
        <v>1.0000050000287824E-5</v>
      </c>
    </row>
    <row r="882" spans="1:18" x14ac:dyDescent="0.3">
      <c r="A882" s="7">
        <v>657</v>
      </c>
      <c r="B882" s="7">
        <v>256</v>
      </c>
      <c r="C882" s="7">
        <v>1</v>
      </c>
      <c r="D882" s="7">
        <v>1</v>
      </c>
      <c r="E882" s="20" t="str">
        <f t="shared" si="13"/>
        <v>11</v>
      </c>
      <c r="F882" s="21">
        <v>0.392606722856228</v>
      </c>
      <c r="G882" s="4">
        <v>0.41699999999999998</v>
      </c>
      <c r="H882" s="4">
        <v>0.95</v>
      </c>
      <c r="I882" s="4">
        <v>0.95399999999999996</v>
      </c>
      <c r="J882" s="4">
        <v>1</v>
      </c>
      <c r="K882" s="5">
        <v>0</v>
      </c>
      <c r="L882" s="5">
        <v>100</v>
      </c>
      <c r="M882" s="5">
        <v>100</v>
      </c>
      <c r="N882" s="5">
        <v>100</v>
      </c>
      <c r="O882" s="2">
        <v>0.87466905718333565</v>
      </c>
      <c r="P882" s="2">
        <v>5.1293294387550578E-2</v>
      </c>
      <c r="Q882" s="2">
        <v>4.7091607533850569E-2</v>
      </c>
      <c r="R882" s="2">
        <v>1.0000050000287824E-5</v>
      </c>
    </row>
    <row r="883" spans="1:18" x14ac:dyDescent="0.3">
      <c r="A883" s="7">
        <v>536</v>
      </c>
      <c r="B883" s="7">
        <v>253</v>
      </c>
      <c r="C883" s="7">
        <v>1</v>
      </c>
      <c r="D883" s="7">
        <v>1</v>
      </c>
      <c r="E883" s="20" t="str">
        <f t="shared" si="13"/>
        <v>11</v>
      </c>
      <c r="F883" s="21">
        <v>0.39795703839552199</v>
      </c>
      <c r="G883" s="4">
        <v>0.53900000000000003</v>
      </c>
      <c r="H883" s="4">
        <v>1</v>
      </c>
      <c r="I883" s="4">
        <v>0.89900000000000002</v>
      </c>
      <c r="J883" s="4">
        <v>1</v>
      </c>
      <c r="K883" s="5">
        <v>100</v>
      </c>
      <c r="L883" s="5">
        <v>100</v>
      </c>
      <c r="M883" s="5">
        <v>100</v>
      </c>
      <c r="N883" s="5">
        <v>100</v>
      </c>
      <c r="O883" s="2">
        <v>0.61803970807313979</v>
      </c>
      <c r="P883" s="2">
        <v>1.0000050000287824E-5</v>
      </c>
      <c r="Q883" s="2">
        <v>0.10647224451051676</v>
      </c>
      <c r="R883" s="2">
        <v>1.0000050000287824E-5</v>
      </c>
    </row>
    <row r="884" spans="1:18" x14ac:dyDescent="0.3">
      <c r="A884" s="7">
        <v>291</v>
      </c>
      <c r="B884" s="7">
        <v>237</v>
      </c>
      <c r="C884" s="7">
        <v>1</v>
      </c>
      <c r="D884" s="7">
        <v>1</v>
      </c>
      <c r="E884" s="20" t="str">
        <f t="shared" si="13"/>
        <v>11</v>
      </c>
      <c r="F884" s="21">
        <v>0.41180293934428303</v>
      </c>
      <c r="G884" s="4">
        <v>0.5</v>
      </c>
      <c r="H884" s="4">
        <v>1</v>
      </c>
      <c r="I884" s="4">
        <v>0.94899999999999995</v>
      </c>
      <c r="J884" s="4">
        <v>1</v>
      </c>
      <c r="K884" s="5">
        <v>0</v>
      </c>
      <c r="L884" s="5">
        <v>100</v>
      </c>
      <c r="M884" s="5">
        <v>100</v>
      </c>
      <c r="N884" s="5">
        <v>100</v>
      </c>
      <c r="O884" s="2">
        <v>0.69314718055994529</v>
      </c>
      <c r="P884" s="2">
        <v>1.0000050000287824E-5</v>
      </c>
      <c r="Q884" s="2">
        <v>5.2346480372209236E-2</v>
      </c>
      <c r="R884" s="2">
        <v>1.0000050000287824E-5</v>
      </c>
    </row>
    <row r="885" spans="1:18" x14ac:dyDescent="0.3">
      <c r="A885" s="7">
        <v>759</v>
      </c>
      <c r="B885" s="7">
        <v>250</v>
      </c>
      <c r="C885" s="7">
        <v>1</v>
      </c>
      <c r="D885" s="7">
        <v>1</v>
      </c>
      <c r="E885" s="20" t="str">
        <f t="shared" si="13"/>
        <v>11</v>
      </c>
      <c r="F885" s="21">
        <v>0.43864413788722001</v>
      </c>
      <c r="G885" s="4">
        <v>0.48199999999999998</v>
      </c>
      <c r="H885" s="4">
        <v>1</v>
      </c>
      <c r="I885" s="4">
        <v>0.98199999999999998</v>
      </c>
      <c r="J885" s="4">
        <v>1</v>
      </c>
      <c r="K885" s="5">
        <v>0</v>
      </c>
      <c r="L885" s="5">
        <v>100</v>
      </c>
      <c r="M885" s="5">
        <v>100</v>
      </c>
      <c r="N885" s="5">
        <v>100</v>
      </c>
      <c r="O885" s="2">
        <v>0.72981116493153675</v>
      </c>
      <c r="P885" s="2">
        <v>1.0000050000287824E-5</v>
      </c>
      <c r="Q885" s="2">
        <v>1.816397062767118E-2</v>
      </c>
      <c r="R885" s="2">
        <v>1.0000050000287824E-5</v>
      </c>
    </row>
    <row r="886" spans="1:18" x14ac:dyDescent="0.3">
      <c r="A886" s="7">
        <v>7</v>
      </c>
      <c r="B886" s="7">
        <v>235</v>
      </c>
      <c r="C886" s="7">
        <v>1</v>
      </c>
      <c r="D886" s="7">
        <v>1</v>
      </c>
      <c r="E886" s="20" t="str">
        <f t="shared" si="13"/>
        <v>11</v>
      </c>
      <c r="F886" s="21">
        <v>0.45008905224415902</v>
      </c>
      <c r="G886" s="4">
        <v>0.50800000000000001</v>
      </c>
      <c r="H886" s="4">
        <v>1</v>
      </c>
      <c r="I886" s="4">
        <v>0.94799999999999995</v>
      </c>
      <c r="J886" s="4">
        <v>1</v>
      </c>
      <c r="K886" s="5">
        <v>100</v>
      </c>
      <c r="L886" s="5">
        <v>100</v>
      </c>
      <c r="M886" s="5">
        <v>100</v>
      </c>
      <c r="N886" s="5">
        <v>100</v>
      </c>
      <c r="O886" s="2">
        <v>0.67727383140365516</v>
      </c>
      <c r="P886" s="2">
        <v>1.0000050000287824E-5</v>
      </c>
      <c r="Q886" s="2">
        <v>5.3400776727115296E-2</v>
      </c>
      <c r="R886" s="2">
        <v>1.0000050000287824E-5</v>
      </c>
    </row>
    <row r="887" spans="1:18" x14ac:dyDescent="0.3">
      <c r="A887" s="7">
        <v>184</v>
      </c>
      <c r="B887" s="7">
        <v>220</v>
      </c>
      <c r="C887" s="7">
        <v>1</v>
      </c>
      <c r="D887" s="7">
        <v>1</v>
      </c>
      <c r="E887" s="20" t="str">
        <f t="shared" si="13"/>
        <v>11</v>
      </c>
      <c r="F887" s="21">
        <v>0.450227392157932</v>
      </c>
      <c r="G887" s="4">
        <v>0.57499999999999996</v>
      </c>
      <c r="H887" s="4">
        <v>1</v>
      </c>
      <c r="I887" s="4">
        <v>0.95299999999999996</v>
      </c>
      <c r="J887" s="4">
        <v>1</v>
      </c>
      <c r="K887" s="5">
        <v>100</v>
      </c>
      <c r="L887" s="5">
        <v>100</v>
      </c>
      <c r="M887" s="5">
        <v>100</v>
      </c>
      <c r="N887" s="5">
        <v>100</v>
      </c>
      <c r="O887" s="2">
        <v>0.55338523818478669</v>
      </c>
      <c r="P887" s="2">
        <v>1.0000050000287824E-5</v>
      </c>
      <c r="Q887" s="2">
        <v>4.8140375327934984E-2</v>
      </c>
      <c r="R887" s="2">
        <v>1.0000050000287824E-5</v>
      </c>
    </row>
    <row r="888" spans="1:18" x14ac:dyDescent="0.3">
      <c r="A888" s="7">
        <v>433</v>
      </c>
      <c r="B888" s="7">
        <v>242</v>
      </c>
      <c r="C888" s="7">
        <v>1</v>
      </c>
      <c r="D888" s="7">
        <v>1</v>
      </c>
      <c r="E888" s="20" t="str">
        <f t="shared" si="13"/>
        <v>11</v>
      </c>
      <c r="F888" s="21">
        <v>0.45049780429646102</v>
      </c>
      <c r="G888" s="4">
        <v>0.46400000000000002</v>
      </c>
      <c r="H888" s="4">
        <v>0.87610619469026596</v>
      </c>
      <c r="I888" s="4">
        <v>0.95399999999999996</v>
      </c>
      <c r="J888" s="4">
        <v>0.99299999999999999</v>
      </c>
      <c r="K888" s="5">
        <v>0</v>
      </c>
      <c r="L888" s="5">
        <v>100</v>
      </c>
      <c r="M888" s="5">
        <v>100</v>
      </c>
      <c r="N888" s="5">
        <v>100</v>
      </c>
      <c r="O888" s="2">
        <v>0.76787072675588175</v>
      </c>
      <c r="P888" s="2">
        <v>0.13226796857775011</v>
      </c>
      <c r="Q888" s="2">
        <v>4.7091607533850569E-2</v>
      </c>
      <c r="R888" s="2">
        <v>7.0246149369644663E-3</v>
      </c>
    </row>
    <row r="889" spans="1:18" x14ac:dyDescent="0.3">
      <c r="A889" s="7">
        <v>653</v>
      </c>
      <c r="B889" s="7">
        <v>238</v>
      </c>
      <c r="C889" s="7">
        <v>1</v>
      </c>
      <c r="D889" s="7">
        <v>1</v>
      </c>
      <c r="E889" s="20" t="str">
        <f t="shared" si="13"/>
        <v>11</v>
      </c>
      <c r="F889" s="21">
        <v>0.45474077441803501</v>
      </c>
      <c r="G889" s="4">
        <v>0.47399999999999998</v>
      </c>
      <c r="H889" s="4">
        <v>0.98333333333333295</v>
      </c>
      <c r="I889" s="4">
        <v>0.95099999999999996</v>
      </c>
      <c r="J889" s="4">
        <v>1</v>
      </c>
      <c r="K889" s="5">
        <v>0</v>
      </c>
      <c r="L889" s="5">
        <v>100</v>
      </c>
      <c r="M889" s="5">
        <v>100</v>
      </c>
      <c r="N889" s="5">
        <v>100</v>
      </c>
      <c r="O889" s="2">
        <v>0.74654795728706058</v>
      </c>
      <c r="P889" s="2">
        <v>1.6807118316381625E-2</v>
      </c>
      <c r="Q889" s="2">
        <v>5.024121643674679E-2</v>
      </c>
      <c r="R889" s="2">
        <v>1.0000050000287824E-5</v>
      </c>
    </row>
    <row r="890" spans="1:18" x14ac:dyDescent="0.3">
      <c r="A890" s="7">
        <v>479</v>
      </c>
      <c r="B890" s="7">
        <v>207</v>
      </c>
      <c r="C890" s="7">
        <v>1</v>
      </c>
      <c r="D890" s="7">
        <v>1</v>
      </c>
      <c r="E890" s="20" t="str">
        <f t="shared" si="13"/>
        <v>11</v>
      </c>
      <c r="F890" s="21">
        <v>0.47302081152365399</v>
      </c>
      <c r="G890" s="4">
        <v>0.68200000000000005</v>
      </c>
      <c r="H890" s="4">
        <v>1</v>
      </c>
      <c r="I890" s="4">
        <v>0.96099999999999997</v>
      </c>
      <c r="J890" s="4">
        <v>1</v>
      </c>
      <c r="K890" s="5">
        <v>100</v>
      </c>
      <c r="L890" s="5">
        <v>100</v>
      </c>
      <c r="M890" s="5">
        <v>100</v>
      </c>
      <c r="N890" s="5">
        <v>100</v>
      </c>
      <c r="O890" s="2">
        <v>0.38272562113867487</v>
      </c>
      <c r="P890" s="2">
        <v>1.0000050000287824E-5</v>
      </c>
      <c r="Q890" s="2">
        <v>3.9780870011844598E-2</v>
      </c>
      <c r="R890" s="2">
        <v>1.0000050000287824E-5</v>
      </c>
    </row>
    <row r="891" spans="1:18" x14ac:dyDescent="0.3">
      <c r="A891" s="7">
        <v>650</v>
      </c>
      <c r="B891" s="7">
        <v>218</v>
      </c>
      <c r="C891" s="7">
        <v>1</v>
      </c>
      <c r="D891" s="7">
        <v>1</v>
      </c>
      <c r="E891" s="20" t="str">
        <f t="shared" si="13"/>
        <v>11</v>
      </c>
      <c r="F891" s="21">
        <v>0.48695744592963702</v>
      </c>
      <c r="G891" s="4">
        <v>0.46899999999999997</v>
      </c>
      <c r="H891" s="4">
        <v>1</v>
      </c>
      <c r="I891" s="4">
        <v>0.91500000000000004</v>
      </c>
      <c r="J891" s="4">
        <v>1</v>
      </c>
      <c r="K891" s="5">
        <v>0</v>
      </c>
      <c r="L891" s="5">
        <v>100</v>
      </c>
      <c r="M891" s="5">
        <v>100</v>
      </c>
      <c r="N891" s="5">
        <v>100</v>
      </c>
      <c r="O891" s="2">
        <v>0.75715251053585775</v>
      </c>
      <c r="P891" s="2">
        <v>1.0000050000287824E-5</v>
      </c>
      <c r="Q891" s="2">
        <v>8.8831213706615703E-2</v>
      </c>
      <c r="R891" s="2">
        <v>1.0000050000287824E-5</v>
      </c>
    </row>
    <row r="892" spans="1:18" x14ac:dyDescent="0.3">
      <c r="A892" s="7">
        <v>360</v>
      </c>
      <c r="B892" s="7">
        <v>204</v>
      </c>
      <c r="C892" s="7">
        <v>1</v>
      </c>
      <c r="D892" s="7">
        <v>1</v>
      </c>
      <c r="E892" s="20" t="str">
        <f t="shared" si="13"/>
        <v>11</v>
      </c>
      <c r="F892" s="21">
        <v>0.49138673054621501</v>
      </c>
      <c r="G892" s="4">
        <v>0.76900000000000002</v>
      </c>
      <c r="H892" s="4">
        <v>0.99612403100775204</v>
      </c>
      <c r="I892" s="4">
        <v>0.64900000000000002</v>
      </c>
      <c r="J892" s="4">
        <v>0.98899999999999999</v>
      </c>
      <c r="K892" s="5">
        <v>100</v>
      </c>
      <c r="L892" s="5">
        <v>100</v>
      </c>
      <c r="M892" s="5">
        <v>100</v>
      </c>
      <c r="N892" s="5">
        <v>100</v>
      </c>
      <c r="O892" s="2">
        <v>0.26266430947649305</v>
      </c>
      <c r="P892" s="2">
        <v>3.8835000263975216E-3</v>
      </c>
      <c r="Q892" s="2">
        <v>0.43232256227804705</v>
      </c>
      <c r="R892" s="2">
        <v>1.1060947359424948E-2</v>
      </c>
    </row>
    <row r="893" spans="1:18" x14ac:dyDescent="0.3">
      <c r="A893" s="7">
        <v>970</v>
      </c>
      <c r="B893" s="7">
        <v>185</v>
      </c>
      <c r="C893" s="7">
        <v>1</v>
      </c>
      <c r="D893" s="7">
        <v>1</v>
      </c>
      <c r="E893" s="20" t="str">
        <f t="shared" si="13"/>
        <v>11</v>
      </c>
      <c r="F893" s="21">
        <v>0.50222823833303398</v>
      </c>
      <c r="G893" s="4">
        <v>0.622</v>
      </c>
      <c r="H893" s="4">
        <v>1</v>
      </c>
      <c r="I893" s="4">
        <v>0.97499999999999998</v>
      </c>
      <c r="J893" s="4">
        <v>1</v>
      </c>
      <c r="K893" s="5">
        <v>100</v>
      </c>
      <c r="L893" s="5">
        <v>100</v>
      </c>
      <c r="M893" s="5">
        <v>100</v>
      </c>
      <c r="N893" s="5">
        <v>100</v>
      </c>
      <c r="O893" s="2">
        <v>0.4748151862429576</v>
      </c>
      <c r="P893" s="2">
        <v>1.0000050000287824E-5</v>
      </c>
      <c r="Q893" s="2">
        <v>2.5317807984289897E-2</v>
      </c>
      <c r="R893" s="2">
        <v>1.0000050000287824E-5</v>
      </c>
    </row>
    <row r="894" spans="1:18" x14ac:dyDescent="0.3">
      <c r="A894" s="7">
        <v>39</v>
      </c>
      <c r="B894" s="7">
        <v>179</v>
      </c>
      <c r="C894" s="7">
        <v>1</v>
      </c>
      <c r="D894" s="7">
        <v>1</v>
      </c>
      <c r="E894" s="20" t="str">
        <f t="shared" si="13"/>
        <v>11</v>
      </c>
      <c r="F894" s="21">
        <v>0.518073939192358</v>
      </c>
      <c r="G894" s="4">
        <v>0.45200000000000001</v>
      </c>
      <c r="H894" s="4">
        <v>1</v>
      </c>
      <c r="I894" s="4">
        <v>0.92200000000000004</v>
      </c>
      <c r="J894" s="4">
        <v>1</v>
      </c>
      <c r="K894" s="5">
        <v>0</v>
      </c>
      <c r="L894" s="5">
        <v>100</v>
      </c>
      <c r="M894" s="5">
        <v>100</v>
      </c>
      <c r="N894" s="5">
        <v>100</v>
      </c>
      <c r="O894" s="2">
        <v>0.79407309914990587</v>
      </c>
      <c r="P894" s="2">
        <v>1.0000050000287824E-5</v>
      </c>
      <c r="Q894" s="2">
        <v>8.1210055425543173E-2</v>
      </c>
      <c r="R894" s="2">
        <v>1.0000050000287824E-5</v>
      </c>
    </row>
    <row r="895" spans="1:18" x14ac:dyDescent="0.3">
      <c r="A895" s="7">
        <v>414</v>
      </c>
      <c r="B895" s="7">
        <v>197</v>
      </c>
      <c r="C895" s="7">
        <v>1</v>
      </c>
      <c r="D895" s="7">
        <v>1</v>
      </c>
      <c r="E895" s="20" t="str">
        <f t="shared" si="13"/>
        <v>11</v>
      </c>
      <c r="F895" s="21">
        <v>0.518965949138122</v>
      </c>
      <c r="G895" s="4">
        <v>0.78900000000000003</v>
      </c>
      <c r="H895" s="4">
        <v>1</v>
      </c>
      <c r="I895" s="4">
        <v>0.96899999999999997</v>
      </c>
      <c r="J895" s="4">
        <v>1</v>
      </c>
      <c r="K895" s="5">
        <v>100</v>
      </c>
      <c r="L895" s="5">
        <v>100</v>
      </c>
      <c r="M895" s="5">
        <v>100</v>
      </c>
      <c r="N895" s="5">
        <v>100</v>
      </c>
      <c r="O895" s="2">
        <v>0.23698895813626278</v>
      </c>
      <c r="P895" s="2">
        <v>1.0000050000287824E-5</v>
      </c>
      <c r="Q895" s="2">
        <v>3.1490667091370848E-2</v>
      </c>
      <c r="R895" s="2">
        <v>1.0000050000287824E-5</v>
      </c>
    </row>
    <row r="896" spans="1:18" x14ac:dyDescent="0.3">
      <c r="A896" s="7">
        <v>885</v>
      </c>
      <c r="B896" s="7">
        <v>216</v>
      </c>
      <c r="C896" s="7">
        <v>1</v>
      </c>
      <c r="D896" s="7">
        <v>1</v>
      </c>
      <c r="E896" s="20" t="str">
        <f t="shared" si="13"/>
        <v>11</v>
      </c>
      <c r="F896" s="21">
        <v>0.52459045302184704</v>
      </c>
      <c r="G896" s="4">
        <v>0.42199999999999999</v>
      </c>
      <c r="H896" s="4">
        <v>1</v>
      </c>
      <c r="I896" s="4">
        <v>0.90300000000000002</v>
      </c>
      <c r="J896" s="4">
        <v>1</v>
      </c>
      <c r="K896" s="5">
        <v>0</v>
      </c>
      <c r="L896" s="5">
        <v>100</v>
      </c>
      <c r="M896" s="5">
        <v>100</v>
      </c>
      <c r="N896" s="5">
        <v>100</v>
      </c>
      <c r="O896" s="2">
        <v>0.86274996494612533</v>
      </c>
      <c r="P896" s="2">
        <v>1.0000050000287824E-5</v>
      </c>
      <c r="Q896" s="2">
        <v>0.10203272556515161</v>
      </c>
      <c r="R896" s="2">
        <v>1.0000050000287824E-5</v>
      </c>
    </row>
    <row r="897" spans="1:18" x14ac:dyDescent="0.3">
      <c r="A897" s="7">
        <v>887</v>
      </c>
      <c r="B897" s="7">
        <v>209</v>
      </c>
      <c r="C897" s="7">
        <v>1</v>
      </c>
      <c r="D897" s="7">
        <v>1</v>
      </c>
      <c r="E897" s="20" t="str">
        <f t="shared" si="13"/>
        <v>11</v>
      </c>
      <c r="F897" s="21">
        <v>0.529647794137873</v>
      </c>
      <c r="G897" s="4">
        <v>0.54800000000000004</v>
      </c>
      <c r="H897" s="4">
        <v>0.96590909090909105</v>
      </c>
      <c r="I897" s="4">
        <v>0.88900000000000001</v>
      </c>
      <c r="J897" s="4">
        <v>0.98399999999999999</v>
      </c>
      <c r="K897" s="5">
        <v>100</v>
      </c>
      <c r="L897" s="5">
        <v>100</v>
      </c>
      <c r="M897" s="5">
        <v>100</v>
      </c>
      <c r="N897" s="5">
        <v>100</v>
      </c>
      <c r="O897" s="2">
        <v>0.60147999203412139</v>
      </c>
      <c r="P897" s="2">
        <v>3.4685557987889873E-2</v>
      </c>
      <c r="Q897" s="2">
        <v>0.11765804346823246</v>
      </c>
      <c r="R897" s="2">
        <v>1.6129381929883644E-2</v>
      </c>
    </row>
    <row r="898" spans="1:18" x14ac:dyDescent="0.3">
      <c r="A898" s="7">
        <v>847</v>
      </c>
      <c r="B898" s="7">
        <v>207</v>
      </c>
      <c r="C898" s="7">
        <v>1</v>
      </c>
      <c r="D898" s="7">
        <v>1</v>
      </c>
      <c r="E898" s="20" t="str">
        <f t="shared" ref="E898:E961" si="14">_xlfn.CONCAT(C898,D898)</f>
        <v>11</v>
      </c>
      <c r="F898" s="21">
        <v>0.53574954273351605</v>
      </c>
      <c r="G898" s="4">
        <v>0.56100000000000005</v>
      </c>
      <c r="H898" s="4">
        <v>0.99074074074074103</v>
      </c>
      <c r="I898" s="4">
        <v>0.93300000000000005</v>
      </c>
      <c r="J898" s="4">
        <v>0.98899999999999999</v>
      </c>
      <c r="K898" s="5">
        <v>100</v>
      </c>
      <c r="L898" s="5">
        <v>100</v>
      </c>
      <c r="M898" s="5">
        <v>100</v>
      </c>
      <c r="N898" s="5">
        <v>100</v>
      </c>
      <c r="O898" s="2">
        <v>0.57803437345944064</v>
      </c>
      <c r="P898" s="2">
        <v>9.3023926623132247E-3</v>
      </c>
      <c r="Q898" s="2">
        <v>6.9350078134793172E-2</v>
      </c>
      <c r="R898" s="2">
        <v>1.1060947359424948E-2</v>
      </c>
    </row>
    <row r="899" spans="1:18" x14ac:dyDescent="0.3">
      <c r="A899" s="7">
        <v>316</v>
      </c>
      <c r="B899" s="7">
        <v>182</v>
      </c>
      <c r="C899" s="7">
        <v>1</v>
      </c>
      <c r="D899" s="7">
        <v>1</v>
      </c>
      <c r="E899" s="20" t="str">
        <f t="shared" si="14"/>
        <v>11</v>
      </c>
      <c r="F899" s="21">
        <v>0.54190890324748997</v>
      </c>
      <c r="G899" s="4">
        <v>0.64100000000000001</v>
      </c>
      <c r="H899" s="4">
        <v>1</v>
      </c>
      <c r="I899" s="4">
        <v>0.95599999999999996</v>
      </c>
      <c r="J899" s="4">
        <v>1</v>
      </c>
      <c r="K899" s="5">
        <v>100</v>
      </c>
      <c r="L899" s="5">
        <v>100</v>
      </c>
      <c r="M899" s="5">
        <v>100</v>
      </c>
      <c r="N899" s="5">
        <v>100</v>
      </c>
      <c r="O899" s="2">
        <v>0.44472582206146699</v>
      </c>
      <c r="P899" s="2">
        <v>1.0000050000287824E-5</v>
      </c>
      <c r="Q899" s="2">
        <v>4.4997365930735805E-2</v>
      </c>
      <c r="R899" s="2">
        <v>1.0000050000287824E-5</v>
      </c>
    </row>
    <row r="900" spans="1:18" x14ac:dyDescent="0.3">
      <c r="A900" s="7">
        <v>321</v>
      </c>
      <c r="B900" s="7">
        <v>207</v>
      </c>
      <c r="C900" s="7">
        <v>1</v>
      </c>
      <c r="D900" s="7">
        <v>1</v>
      </c>
      <c r="E900" s="20" t="str">
        <f t="shared" si="14"/>
        <v>11</v>
      </c>
      <c r="F900" s="21">
        <v>0.54511510759068704</v>
      </c>
      <c r="G900" s="4">
        <v>0.45800000000000002</v>
      </c>
      <c r="H900" s="4">
        <v>1</v>
      </c>
      <c r="I900" s="4">
        <v>0.90500000000000003</v>
      </c>
      <c r="J900" s="4">
        <v>1</v>
      </c>
      <c r="K900" s="5">
        <v>0</v>
      </c>
      <c r="L900" s="5">
        <v>100</v>
      </c>
      <c r="M900" s="5">
        <v>100</v>
      </c>
      <c r="N900" s="5">
        <v>100</v>
      </c>
      <c r="O900" s="2">
        <v>0.78088609486795202</v>
      </c>
      <c r="P900" s="2">
        <v>1.0000050000287824E-5</v>
      </c>
      <c r="Q900" s="2">
        <v>9.9820335282210904E-2</v>
      </c>
      <c r="R900" s="2">
        <v>1.0000050000287824E-5</v>
      </c>
    </row>
    <row r="901" spans="1:18" x14ac:dyDescent="0.3">
      <c r="A901" s="7">
        <v>945</v>
      </c>
      <c r="B901" s="7">
        <v>199</v>
      </c>
      <c r="C901" s="7">
        <v>1</v>
      </c>
      <c r="D901" s="7">
        <v>1</v>
      </c>
      <c r="E901" s="20" t="str">
        <f t="shared" si="14"/>
        <v>11</v>
      </c>
      <c r="F901" s="21">
        <v>0.54723789128621603</v>
      </c>
      <c r="G901" s="4">
        <v>0.45300000000000001</v>
      </c>
      <c r="H901" s="4">
        <v>1</v>
      </c>
      <c r="I901" s="4">
        <v>0.91600000000000004</v>
      </c>
      <c r="J901" s="4">
        <v>1</v>
      </c>
      <c r="K901" s="5">
        <v>0</v>
      </c>
      <c r="L901" s="5">
        <v>100</v>
      </c>
      <c r="M901" s="5">
        <v>100</v>
      </c>
      <c r="N901" s="5">
        <v>100</v>
      </c>
      <c r="O901" s="2">
        <v>0.79186315349910297</v>
      </c>
      <c r="P901" s="2">
        <v>1.0000050000287824E-5</v>
      </c>
      <c r="Q901" s="2">
        <v>8.7738914308006746E-2</v>
      </c>
      <c r="R901" s="2">
        <v>1.0000050000287824E-5</v>
      </c>
    </row>
    <row r="902" spans="1:18" x14ac:dyDescent="0.3">
      <c r="A902" s="7">
        <v>636</v>
      </c>
      <c r="B902" s="7">
        <v>151</v>
      </c>
      <c r="C902" s="7">
        <v>1</v>
      </c>
      <c r="D902" s="7">
        <v>1</v>
      </c>
      <c r="E902" s="20" t="str">
        <f t="shared" si="14"/>
        <v>11</v>
      </c>
      <c r="F902" s="21">
        <v>0.56456084549485297</v>
      </c>
      <c r="G902" s="4">
        <v>0.61599999999999999</v>
      </c>
      <c r="H902" s="4">
        <v>1</v>
      </c>
      <c r="I902" s="4">
        <v>0.90800000000000003</v>
      </c>
      <c r="J902" s="4">
        <v>1</v>
      </c>
      <c r="K902" s="5">
        <v>100</v>
      </c>
      <c r="L902" s="5">
        <v>100</v>
      </c>
      <c r="M902" s="5">
        <v>100</v>
      </c>
      <c r="N902" s="5">
        <v>100</v>
      </c>
      <c r="O902" s="2">
        <v>0.48450831544861728</v>
      </c>
      <c r="P902" s="2">
        <v>1.0000050000287824E-5</v>
      </c>
      <c r="Q902" s="2">
        <v>9.6510900380843728E-2</v>
      </c>
      <c r="R902" s="2">
        <v>1.0000050000287824E-5</v>
      </c>
    </row>
    <row r="903" spans="1:18" x14ac:dyDescent="0.3">
      <c r="A903" s="7">
        <v>864</v>
      </c>
      <c r="B903" s="7">
        <v>181</v>
      </c>
      <c r="C903" s="7">
        <v>1</v>
      </c>
      <c r="D903" s="7">
        <v>1</v>
      </c>
      <c r="E903" s="20" t="str">
        <f t="shared" si="14"/>
        <v>11</v>
      </c>
      <c r="F903" s="21">
        <v>0.56754383432348499</v>
      </c>
      <c r="G903" s="4">
        <v>0.58799999999999997</v>
      </c>
      <c r="H903" s="4">
        <v>0.98373983739837401</v>
      </c>
      <c r="I903" s="4">
        <v>0.96</v>
      </c>
      <c r="J903" s="4">
        <v>0.99</v>
      </c>
      <c r="K903" s="5">
        <v>100</v>
      </c>
      <c r="L903" s="5">
        <v>100</v>
      </c>
      <c r="M903" s="5">
        <v>100</v>
      </c>
      <c r="N903" s="5">
        <v>100</v>
      </c>
      <c r="O903" s="2">
        <v>0.53102833108351022</v>
      </c>
      <c r="P903" s="2">
        <v>1.6393809775676383E-2</v>
      </c>
      <c r="Q903" s="2">
        <v>4.0821994520255166E-2</v>
      </c>
      <c r="R903" s="2">
        <v>1.0050335853501451E-2</v>
      </c>
    </row>
    <row r="904" spans="1:18" x14ac:dyDescent="0.3">
      <c r="A904" s="7">
        <v>388</v>
      </c>
      <c r="B904" s="7">
        <v>196</v>
      </c>
      <c r="C904" s="7">
        <v>1</v>
      </c>
      <c r="D904" s="7">
        <v>1</v>
      </c>
      <c r="E904" s="20" t="str">
        <f t="shared" si="14"/>
        <v>11</v>
      </c>
      <c r="F904" s="21">
        <v>0.56862105123038997</v>
      </c>
      <c r="G904" s="4">
        <v>0.53700000000000003</v>
      </c>
      <c r="H904" s="4">
        <v>1</v>
      </c>
      <c r="I904" s="4">
        <v>0.86699999999999999</v>
      </c>
      <c r="J904" s="4">
        <v>1</v>
      </c>
      <c r="K904" s="5">
        <v>100</v>
      </c>
      <c r="L904" s="5">
        <v>100</v>
      </c>
      <c r="M904" s="5">
        <v>100</v>
      </c>
      <c r="N904" s="5">
        <v>100</v>
      </c>
      <c r="O904" s="2">
        <v>0.62175718447327233</v>
      </c>
      <c r="P904" s="2">
        <v>1.0000050000287824E-5</v>
      </c>
      <c r="Q904" s="2">
        <v>0.1427163022015952</v>
      </c>
      <c r="R904" s="2">
        <v>1.0000050000287824E-5</v>
      </c>
    </row>
    <row r="905" spans="1:18" x14ac:dyDescent="0.3">
      <c r="A905" s="7">
        <v>55</v>
      </c>
      <c r="B905" s="7">
        <v>201</v>
      </c>
      <c r="C905" s="7">
        <v>1</v>
      </c>
      <c r="D905" s="7">
        <v>1</v>
      </c>
      <c r="E905" s="20" t="str">
        <f t="shared" si="14"/>
        <v>11</v>
      </c>
      <c r="F905" s="21">
        <v>0.57561977538282505</v>
      </c>
      <c r="G905" s="4">
        <v>0.74</v>
      </c>
      <c r="H905" s="4">
        <v>0.99024390243902405</v>
      </c>
      <c r="I905" s="4">
        <v>0.96699999999999997</v>
      </c>
      <c r="J905" s="4">
        <v>0.98499999999999999</v>
      </c>
      <c r="K905" s="5">
        <v>100</v>
      </c>
      <c r="L905" s="5">
        <v>100</v>
      </c>
      <c r="M905" s="5">
        <v>100</v>
      </c>
      <c r="N905" s="5">
        <v>100</v>
      </c>
      <c r="O905" s="2">
        <v>0.30110509278392161</v>
      </c>
      <c r="P905" s="2">
        <v>9.8040000966211904E-3</v>
      </c>
      <c r="Q905" s="2">
        <v>3.3556783528842754E-2</v>
      </c>
      <c r="R905" s="2">
        <v>1.5113637810048184E-2</v>
      </c>
    </row>
    <row r="906" spans="1:18" x14ac:dyDescent="0.3">
      <c r="A906" s="7">
        <v>492</v>
      </c>
      <c r="B906" s="7">
        <v>178</v>
      </c>
      <c r="C906" s="7">
        <v>1</v>
      </c>
      <c r="D906" s="7">
        <v>1</v>
      </c>
      <c r="E906" s="20" t="str">
        <f t="shared" si="14"/>
        <v>11</v>
      </c>
      <c r="F906" s="21">
        <v>0.58291026033999505</v>
      </c>
      <c r="G906" s="4">
        <v>0.65800000000000003</v>
      </c>
      <c r="H906" s="4">
        <v>0.99421965317919103</v>
      </c>
      <c r="I906" s="4">
        <v>0.96</v>
      </c>
      <c r="J906" s="4">
        <v>1</v>
      </c>
      <c r="K906" s="5">
        <v>100</v>
      </c>
      <c r="L906" s="5">
        <v>100</v>
      </c>
      <c r="M906" s="5">
        <v>100</v>
      </c>
      <c r="N906" s="5">
        <v>100</v>
      </c>
      <c r="O906" s="2">
        <v>0.41855034765681981</v>
      </c>
      <c r="P906" s="2">
        <v>5.7971176843256223E-3</v>
      </c>
      <c r="Q906" s="2">
        <v>4.0821994520255166E-2</v>
      </c>
      <c r="R906" s="2">
        <v>1.0000050000287824E-5</v>
      </c>
    </row>
    <row r="907" spans="1:18" x14ac:dyDescent="0.3">
      <c r="A907" s="7">
        <v>463</v>
      </c>
      <c r="B907" s="7">
        <v>189</v>
      </c>
      <c r="C907" s="7">
        <v>1</v>
      </c>
      <c r="D907" s="7">
        <v>1</v>
      </c>
      <c r="E907" s="20" t="str">
        <f t="shared" si="14"/>
        <v>11</v>
      </c>
      <c r="F907" s="21">
        <v>0.58367463663420405</v>
      </c>
      <c r="G907" s="4">
        <v>0.48099999999999998</v>
      </c>
      <c r="H907" s="4">
        <v>0.99285714285714299</v>
      </c>
      <c r="I907" s="4">
        <v>0.97199999999999998</v>
      </c>
      <c r="J907" s="4">
        <v>0.996</v>
      </c>
      <c r="K907" s="5">
        <v>0</v>
      </c>
      <c r="L907" s="5">
        <v>100</v>
      </c>
      <c r="M907" s="5">
        <v>100</v>
      </c>
      <c r="N907" s="5">
        <v>100</v>
      </c>
      <c r="O907" s="2">
        <v>0.73188800887637595</v>
      </c>
      <c r="P907" s="2">
        <v>7.1684894786124042E-3</v>
      </c>
      <c r="Q907" s="2">
        <v>2.8399474521698002E-2</v>
      </c>
      <c r="R907" s="2">
        <v>4.0080213975388218E-3</v>
      </c>
    </row>
    <row r="908" spans="1:18" x14ac:dyDescent="0.3">
      <c r="A908" s="7">
        <v>907</v>
      </c>
      <c r="B908" s="7">
        <v>167</v>
      </c>
      <c r="C908" s="7">
        <v>1</v>
      </c>
      <c r="D908" s="7">
        <v>1</v>
      </c>
      <c r="E908" s="20" t="str">
        <f t="shared" si="14"/>
        <v>11</v>
      </c>
      <c r="F908" s="21">
        <v>0.58642631431792902</v>
      </c>
      <c r="G908" s="4">
        <v>0.503</v>
      </c>
      <c r="H908" s="4">
        <v>1</v>
      </c>
      <c r="I908" s="4">
        <v>0.90400000000000003</v>
      </c>
      <c r="J908" s="4">
        <v>1</v>
      </c>
      <c r="K908" s="5">
        <v>100</v>
      </c>
      <c r="L908" s="5">
        <v>100</v>
      </c>
      <c r="M908" s="5">
        <v>100</v>
      </c>
      <c r="N908" s="5">
        <v>100</v>
      </c>
      <c r="O908" s="2">
        <v>0.68716510888239779</v>
      </c>
      <c r="P908" s="2">
        <v>1.0000050000287824E-5</v>
      </c>
      <c r="Q908" s="2">
        <v>0.10092591858996053</v>
      </c>
      <c r="R908" s="2">
        <v>1.0000050000287824E-5</v>
      </c>
    </row>
    <row r="909" spans="1:18" x14ac:dyDescent="0.3">
      <c r="A909" s="7">
        <v>397</v>
      </c>
      <c r="B909" s="7">
        <v>165</v>
      </c>
      <c r="C909" s="7">
        <v>1</v>
      </c>
      <c r="D909" s="7">
        <v>1</v>
      </c>
      <c r="E909" s="20" t="str">
        <f t="shared" si="14"/>
        <v>11</v>
      </c>
      <c r="F909" s="21">
        <v>0.59098005703709</v>
      </c>
      <c r="G909" s="4">
        <v>0.61699999999999999</v>
      </c>
      <c r="H909" s="4">
        <v>1</v>
      </c>
      <c r="I909" s="4">
        <v>0.91500000000000004</v>
      </c>
      <c r="J909" s="4">
        <v>1</v>
      </c>
      <c r="K909" s="5">
        <v>100</v>
      </c>
      <c r="L909" s="5">
        <v>100</v>
      </c>
      <c r="M909" s="5">
        <v>100</v>
      </c>
      <c r="N909" s="5">
        <v>100</v>
      </c>
      <c r="O909" s="2">
        <v>0.48288625507674926</v>
      </c>
      <c r="P909" s="2">
        <v>1.0000050000287824E-5</v>
      </c>
      <c r="Q909" s="2">
        <v>8.8831213706615703E-2</v>
      </c>
      <c r="R909" s="2">
        <v>1.0000050000287824E-5</v>
      </c>
    </row>
    <row r="910" spans="1:18" x14ac:dyDescent="0.3">
      <c r="A910" s="7">
        <v>767</v>
      </c>
      <c r="B910" s="7">
        <v>169</v>
      </c>
      <c r="C910" s="7">
        <v>1</v>
      </c>
      <c r="D910" s="7">
        <v>1</v>
      </c>
      <c r="E910" s="20" t="str">
        <f t="shared" si="14"/>
        <v>11</v>
      </c>
      <c r="F910" s="21">
        <v>0.60769835080521695</v>
      </c>
      <c r="G910" s="4">
        <v>0.79700000000000004</v>
      </c>
      <c r="H910" s="4">
        <v>1</v>
      </c>
      <c r="I910" s="4">
        <v>0.98</v>
      </c>
      <c r="J910" s="4">
        <v>1</v>
      </c>
      <c r="K910" s="5">
        <v>100</v>
      </c>
      <c r="L910" s="5">
        <v>100</v>
      </c>
      <c r="M910" s="5">
        <v>100</v>
      </c>
      <c r="N910" s="5">
        <v>100</v>
      </c>
      <c r="O910" s="2">
        <v>0.22690060019192196</v>
      </c>
      <c r="P910" s="2">
        <v>1.0000050000287824E-5</v>
      </c>
      <c r="Q910" s="2">
        <v>2.0202707317519466E-2</v>
      </c>
      <c r="R910" s="2">
        <v>1.0000050000287824E-5</v>
      </c>
    </row>
    <row r="911" spans="1:18" x14ac:dyDescent="0.3">
      <c r="A911" s="7">
        <v>201</v>
      </c>
      <c r="B911" s="7">
        <v>198</v>
      </c>
      <c r="C911" s="7">
        <v>1</v>
      </c>
      <c r="D911" s="7">
        <v>1</v>
      </c>
      <c r="E911" s="20" t="str">
        <f t="shared" si="14"/>
        <v>11</v>
      </c>
      <c r="F911" s="21">
        <v>0.61079917012271201</v>
      </c>
      <c r="G911" s="4">
        <v>0.42499999999999999</v>
      </c>
      <c r="H911" s="4">
        <v>0.98484848484848497</v>
      </c>
      <c r="I911" s="4">
        <v>0.91400000000000003</v>
      </c>
      <c r="J911" s="4">
        <v>0.99</v>
      </c>
      <c r="K911" s="5">
        <v>0</v>
      </c>
      <c r="L911" s="5">
        <v>100</v>
      </c>
      <c r="M911" s="5">
        <v>100</v>
      </c>
      <c r="N911" s="5">
        <v>100</v>
      </c>
      <c r="O911" s="2">
        <v>0.8556661100577202</v>
      </c>
      <c r="P911" s="2">
        <v>1.5267472130788308E-2</v>
      </c>
      <c r="Q911" s="2">
        <v>8.9924707527987008E-2</v>
      </c>
      <c r="R911" s="2">
        <v>1.0050335853501451E-2</v>
      </c>
    </row>
    <row r="912" spans="1:18" x14ac:dyDescent="0.3">
      <c r="A912" s="7">
        <v>825</v>
      </c>
      <c r="B912" s="7">
        <v>175</v>
      </c>
      <c r="C912" s="7">
        <v>1</v>
      </c>
      <c r="D912" s="7">
        <v>1</v>
      </c>
      <c r="E912" s="20" t="str">
        <f t="shared" si="14"/>
        <v>11</v>
      </c>
      <c r="F912" s="21">
        <v>0.61895065036504504</v>
      </c>
      <c r="G912" s="4">
        <v>0.56000000000000005</v>
      </c>
      <c r="H912" s="4">
        <v>1</v>
      </c>
      <c r="I912" s="4">
        <v>0.96799999999999997</v>
      </c>
      <c r="J912" s="4">
        <v>1</v>
      </c>
      <c r="K912" s="5">
        <v>100</v>
      </c>
      <c r="L912" s="5">
        <v>100</v>
      </c>
      <c r="M912" s="5">
        <v>100</v>
      </c>
      <c r="N912" s="5">
        <v>100</v>
      </c>
      <c r="O912" s="2">
        <v>0.57981849525294205</v>
      </c>
      <c r="P912" s="2">
        <v>1.0000050000287824E-5</v>
      </c>
      <c r="Q912" s="2">
        <v>3.2523191705560062E-2</v>
      </c>
      <c r="R912" s="2">
        <v>1.0000050000287824E-5</v>
      </c>
    </row>
    <row r="913" spans="1:18" x14ac:dyDescent="0.3">
      <c r="A913" s="7">
        <v>584</v>
      </c>
      <c r="B913" s="7">
        <v>185</v>
      </c>
      <c r="C913" s="7">
        <v>1</v>
      </c>
      <c r="D913" s="7">
        <v>1</v>
      </c>
      <c r="E913" s="20" t="str">
        <f t="shared" si="14"/>
        <v>11</v>
      </c>
      <c r="F913" s="21">
        <v>0.62636822094126499</v>
      </c>
      <c r="G913" s="4">
        <v>0.53300000000000003</v>
      </c>
      <c r="H913" s="4">
        <v>1</v>
      </c>
      <c r="I913" s="4">
        <v>0.94199999999999995</v>
      </c>
      <c r="J913" s="4">
        <v>1</v>
      </c>
      <c r="K913" s="5">
        <v>100</v>
      </c>
      <c r="L913" s="5">
        <v>100</v>
      </c>
      <c r="M913" s="5">
        <v>100</v>
      </c>
      <c r="N913" s="5">
        <v>100</v>
      </c>
      <c r="O913" s="2">
        <v>0.62923385481629246</v>
      </c>
      <c r="P913" s="2">
        <v>1.0000050000287824E-5</v>
      </c>
      <c r="Q913" s="2">
        <v>5.9750004405774049E-2</v>
      </c>
      <c r="R913" s="2">
        <v>1.0000050000287824E-5</v>
      </c>
    </row>
    <row r="914" spans="1:18" x14ac:dyDescent="0.3">
      <c r="A914" s="7">
        <v>394</v>
      </c>
      <c r="B914" s="7">
        <v>165</v>
      </c>
      <c r="C914" s="7">
        <v>1</v>
      </c>
      <c r="D914" s="7">
        <v>1</v>
      </c>
      <c r="E914" s="20" t="str">
        <f t="shared" si="14"/>
        <v>11</v>
      </c>
      <c r="F914" s="21">
        <v>0.63225830331038202</v>
      </c>
      <c r="G914" s="4">
        <v>0.7</v>
      </c>
      <c r="H914" s="4">
        <v>1</v>
      </c>
      <c r="I914" s="4">
        <v>0.95199999999999996</v>
      </c>
      <c r="J914" s="4">
        <v>1</v>
      </c>
      <c r="K914" s="5">
        <v>100</v>
      </c>
      <c r="L914" s="5">
        <v>100</v>
      </c>
      <c r="M914" s="5">
        <v>100</v>
      </c>
      <c r="N914" s="5">
        <v>100</v>
      </c>
      <c r="O914" s="2">
        <v>0.35667494393873245</v>
      </c>
      <c r="P914" s="2">
        <v>1.0000050000287824E-5</v>
      </c>
      <c r="Q914" s="2">
        <v>4.9190244190771781E-2</v>
      </c>
      <c r="R914" s="2">
        <v>1.0000050000287824E-5</v>
      </c>
    </row>
    <row r="915" spans="1:18" x14ac:dyDescent="0.3">
      <c r="A915" s="7">
        <v>317</v>
      </c>
      <c r="B915" s="7">
        <v>161</v>
      </c>
      <c r="C915" s="7">
        <v>1</v>
      </c>
      <c r="D915" s="7">
        <v>1</v>
      </c>
      <c r="E915" s="20" t="str">
        <f t="shared" si="14"/>
        <v>11</v>
      </c>
      <c r="F915" s="21">
        <v>0.63611105053905603</v>
      </c>
      <c r="G915" s="4">
        <v>0.68899999999999995</v>
      </c>
      <c r="H915" s="4">
        <v>0.98039215686274495</v>
      </c>
      <c r="I915" s="4">
        <v>0.93500000000000005</v>
      </c>
      <c r="J915" s="4">
        <v>1</v>
      </c>
      <c r="K915" s="5">
        <v>100</v>
      </c>
      <c r="L915" s="5">
        <v>100</v>
      </c>
      <c r="M915" s="5">
        <v>100</v>
      </c>
      <c r="N915" s="5">
        <v>100</v>
      </c>
      <c r="O915" s="2">
        <v>0.37251400796847856</v>
      </c>
      <c r="P915" s="2">
        <v>1.9802627296179869E-2</v>
      </c>
      <c r="Q915" s="2">
        <v>6.720874969344999E-2</v>
      </c>
      <c r="R915" s="2">
        <v>1.0000050000287824E-5</v>
      </c>
    </row>
    <row r="916" spans="1:18" x14ac:dyDescent="0.3">
      <c r="A916" s="7">
        <v>305</v>
      </c>
      <c r="B916" s="7">
        <v>161</v>
      </c>
      <c r="C916" s="7">
        <v>1</v>
      </c>
      <c r="D916" s="7">
        <v>1</v>
      </c>
      <c r="E916" s="20" t="str">
        <f t="shared" si="14"/>
        <v>11</v>
      </c>
      <c r="F916" s="21">
        <v>0.63770726351782503</v>
      </c>
      <c r="G916" s="4">
        <v>0.45500000000000002</v>
      </c>
      <c r="H916" s="4">
        <v>1</v>
      </c>
      <c r="I916" s="4">
        <v>0.91400000000000003</v>
      </c>
      <c r="J916" s="4">
        <v>1</v>
      </c>
      <c r="K916" s="5">
        <v>0</v>
      </c>
      <c r="L916" s="5">
        <v>100</v>
      </c>
      <c r="M916" s="5">
        <v>100</v>
      </c>
      <c r="N916" s="5">
        <v>100</v>
      </c>
      <c r="O916" s="2">
        <v>0.78745786003118656</v>
      </c>
      <c r="P916" s="2">
        <v>1.0000050000287824E-5</v>
      </c>
      <c r="Q916" s="2">
        <v>8.9924707527987008E-2</v>
      </c>
      <c r="R916" s="2">
        <v>1.0000050000287824E-5</v>
      </c>
    </row>
    <row r="917" spans="1:18" x14ac:dyDescent="0.3">
      <c r="A917" s="7">
        <v>356</v>
      </c>
      <c r="B917" s="7">
        <v>164</v>
      </c>
      <c r="C917" s="7">
        <v>1</v>
      </c>
      <c r="D917" s="7">
        <v>1</v>
      </c>
      <c r="E917" s="20" t="str">
        <f t="shared" si="14"/>
        <v>11</v>
      </c>
      <c r="F917" s="21">
        <v>0.63792830580623205</v>
      </c>
      <c r="G917" s="4">
        <v>0.55200000000000005</v>
      </c>
      <c r="H917" s="4">
        <v>0.99180327868852503</v>
      </c>
      <c r="I917" s="4">
        <v>0.93500000000000005</v>
      </c>
      <c r="J917" s="4">
        <v>0.98</v>
      </c>
      <c r="K917" s="5">
        <v>100</v>
      </c>
      <c r="L917" s="5">
        <v>100</v>
      </c>
      <c r="M917" s="5">
        <v>100</v>
      </c>
      <c r="N917" s="5">
        <v>100</v>
      </c>
      <c r="O917" s="2">
        <v>0.59420723270504161</v>
      </c>
      <c r="P917" s="2">
        <v>8.2304991365150307E-3</v>
      </c>
      <c r="Q917" s="2">
        <v>6.720874969344999E-2</v>
      </c>
      <c r="R917" s="2">
        <v>2.0202707317519466E-2</v>
      </c>
    </row>
    <row r="918" spans="1:18" x14ac:dyDescent="0.3">
      <c r="A918" s="7">
        <v>680</v>
      </c>
      <c r="B918" s="7">
        <v>175</v>
      </c>
      <c r="C918" s="7">
        <v>1</v>
      </c>
      <c r="D918" s="7">
        <v>1</v>
      </c>
      <c r="E918" s="20" t="str">
        <f t="shared" si="14"/>
        <v>11</v>
      </c>
      <c r="F918" s="21">
        <v>0.63812104784393098</v>
      </c>
      <c r="G918" s="4">
        <v>0.46899999999999997</v>
      </c>
      <c r="H918" s="4">
        <v>1</v>
      </c>
      <c r="I918" s="4">
        <v>0.93799999999999994</v>
      </c>
      <c r="J918" s="4">
        <v>1</v>
      </c>
      <c r="K918" s="5">
        <v>0</v>
      </c>
      <c r="L918" s="5">
        <v>100</v>
      </c>
      <c r="M918" s="5">
        <v>100</v>
      </c>
      <c r="N918" s="5">
        <v>100</v>
      </c>
      <c r="O918" s="2">
        <v>0.75715251053585775</v>
      </c>
      <c r="P918" s="2">
        <v>1.0000050000287824E-5</v>
      </c>
      <c r="Q918" s="2">
        <v>6.4005329975912434E-2</v>
      </c>
      <c r="R918" s="2">
        <v>1.0000050000287824E-5</v>
      </c>
    </row>
    <row r="919" spans="1:18" x14ac:dyDescent="0.3">
      <c r="A919" s="7">
        <v>598</v>
      </c>
      <c r="B919" s="7">
        <v>222</v>
      </c>
      <c r="C919" s="7">
        <v>1</v>
      </c>
      <c r="D919" s="7">
        <v>1</v>
      </c>
      <c r="E919" s="20" t="str">
        <f t="shared" si="14"/>
        <v>11</v>
      </c>
      <c r="F919" s="21">
        <v>0.63843263003170803</v>
      </c>
      <c r="G919" s="4">
        <v>0.53500000000000003</v>
      </c>
      <c r="H919" s="4">
        <v>1</v>
      </c>
      <c r="I919" s="4">
        <v>0.94299999999999995</v>
      </c>
      <c r="J919" s="4">
        <v>1</v>
      </c>
      <c r="K919" s="5">
        <v>100</v>
      </c>
      <c r="L919" s="5">
        <v>100</v>
      </c>
      <c r="M919" s="5">
        <v>100</v>
      </c>
      <c r="N919" s="5">
        <v>100</v>
      </c>
      <c r="O919" s="2">
        <v>0.62548853208613042</v>
      </c>
      <c r="P919" s="2">
        <v>1.0000050000287824E-5</v>
      </c>
      <c r="Q919" s="2">
        <v>5.8688996348679613E-2</v>
      </c>
      <c r="R919" s="2">
        <v>1.0000050000287824E-5</v>
      </c>
    </row>
    <row r="920" spans="1:18" x14ac:dyDescent="0.3">
      <c r="A920" s="7">
        <v>517</v>
      </c>
      <c r="B920" s="7">
        <v>184</v>
      </c>
      <c r="C920" s="7">
        <v>1</v>
      </c>
      <c r="D920" s="7">
        <v>1</v>
      </c>
      <c r="E920" s="20" t="str">
        <f t="shared" si="14"/>
        <v>11</v>
      </c>
      <c r="F920" s="21">
        <v>0.64697457105856204</v>
      </c>
      <c r="G920" s="4">
        <v>0.64900000000000002</v>
      </c>
      <c r="H920" s="4">
        <v>1</v>
      </c>
      <c r="I920" s="4">
        <v>0.94</v>
      </c>
      <c r="J920" s="4">
        <v>1</v>
      </c>
      <c r="K920" s="5">
        <v>100</v>
      </c>
      <c r="L920" s="5">
        <v>100</v>
      </c>
      <c r="M920" s="5">
        <v>100</v>
      </c>
      <c r="N920" s="5">
        <v>100</v>
      </c>
      <c r="O920" s="2">
        <v>0.43232256227804705</v>
      </c>
      <c r="P920" s="2">
        <v>1.0000050000287824E-5</v>
      </c>
      <c r="Q920" s="2">
        <v>6.1875403718087529E-2</v>
      </c>
      <c r="R920" s="2">
        <v>1.0000050000287824E-5</v>
      </c>
    </row>
    <row r="921" spans="1:18" x14ac:dyDescent="0.3">
      <c r="A921" s="7">
        <v>18</v>
      </c>
      <c r="B921" s="7">
        <v>162</v>
      </c>
      <c r="C921" s="7">
        <v>1</v>
      </c>
      <c r="D921" s="7">
        <v>1</v>
      </c>
      <c r="E921" s="20" t="str">
        <f t="shared" si="14"/>
        <v>11</v>
      </c>
      <c r="F921" s="21">
        <v>0.64757037269001605</v>
      </c>
      <c r="G921" s="4">
        <v>0.69599999999999995</v>
      </c>
      <c r="H921" s="4">
        <v>1</v>
      </c>
      <c r="I921" s="4">
        <v>0.92</v>
      </c>
      <c r="J921" s="4">
        <v>1</v>
      </c>
      <c r="K921" s="5">
        <v>100</v>
      </c>
      <c r="L921" s="5">
        <v>100</v>
      </c>
      <c r="M921" s="5">
        <v>100</v>
      </c>
      <c r="N921" s="5">
        <v>100</v>
      </c>
      <c r="O921" s="2">
        <v>0.36240561864771748</v>
      </c>
      <c r="P921" s="2">
        <v>1.0000050000287824E-5</v>
      </c>
      <c r="Q921" s="2">
        <v>8.3381608939051013E-2</v>
      </c>
      <c r="R921" s="2">
        <v>1.0000050000287824E-5</v>
      </c>
    </row>
    <row r="922" spans="1:18" x14ac:dyDescent="0.3">
      <c r="A922" s="7">
        <v>373</v>
      </c>
      <c r="B922" s="7">
        <v>161</v>
      </c>
      <c r="C922" s="7">
        <v>1</v>
      </c>
      <c r="D922" s="7">
        <v>1</v>
      </c>
      <c r="E922" s="20" t="str">
        <f t="shared" si="14"/>
        <v>11</v>
      </c>
      <c r="F922" s="21">
        <v>0.64970636422143402</v>
      </c>
      <c r="G922" s="4">
        <v>0.47899999999999998</v>
      </c>
      <c r="H922" s="4">
        <v>0.96153846153846201</v>
      </c>
      <c r="I922" s="4">
        <v>0.9</v>
      </c>
      <c r="J922" s="4">
        <v>0.99299999999999999</v>
      </c>
      <c r="K922" s="5">
        <v>0</v>
      </c>
      <c r="L922" s="5">
        <v>100</v>
      </c>
      <c r="M922" s="5">
        <v>100</v>
      </c>
      <c r="N922" s="5">
        <v>100</v>
      </c>
      <c r="O922" s="2">
        <v>0.73605468157122189</v>
      </c>
      <c r="P922" s="2">
        <v>3.9220713153280809E-2</v>
      </c>
      <c r="Q922" s="2">
        <v>0.10536051565782628</v>
      </c>
      <c r="R922" s="2">
        <v>7.0246149369644663E-3</v>
      </c>
    </row>
    <row r="923" spans="1:18" x14ac:dyDescent="0.3">
      <c r="A923" s="7">
        <v>265</v>
      </c>
      <c r="B923" s="7">
        <v>153</v>
      </c>
      <c r="C923" s="7">
        <v>1</v>
      </c>
      <c r="D923" s="7">
        <v>1</v>
      </c>
      <c r="E923" s="20" t="str">
        <f t="shared" si="14"/>
        <v>11</v>
      </c>
      <c r="F923" s="21">
        <v>0.66047460074920505</v>
      </c>
      <c r="G923" s="4">
        <v>0.56200000000000006</v>
      </c>
      <c r="H923" s="4">
        <v>1</v>
      </c>
      <c r="I923" s="4">
        <v>0.86199999999999999</v>
      </c>
      <c r="J923" s="4">
        <v>1</v>
      </c>
      <c r="K923" s="5">
        <v>100</v>
      </c>
      <c r="L923" s="5">
        <v>100</v>
      </c>
      <c r="M923" s="5">
        <v>100</v>
      </c>
      <c r="N923" s="5">
        <v>100</v>
      </c>
      <c r="O923" s="2">
        <v>0.5762534290884459</v>
      </c>
      <c r="P923" s="2">
        <v>1.0000050000287824E-5</v>
      </c>
      <c r="Q923" s="2">
        <v>0.14850000831844395</v>
      </c>
      <c r="R923" s="2">
        <v>1.0000050000287824E-5</v>
      </c>
    </row>
    <row r="924" spans="1:18" x14ac:dyDescent="0.3">
      <c r="A924" s="7">
        <v>778</v>
      </c>
      <c r="B924" s="7">
        <v>158</v>
      </c>
      <c r="C924" s="7">
        <v>1</v>
      </c>
      <c r="D924" s="7">
        <v>1</v>
      </c>
      <c r="E924" s="20" t="str">
        <f t="shared" si="14"/>
        <v>11</v>
      </c>
      <c r="F924" s="21">
        <v>0.66371994967141101</v>
      </c>
      <c r="G924" s="4">
        <v>0.47</v>
      </c>
      <c r="H924" s="4">
        <v>1</v>
      </c>
      <c r="I924" s="4">
        <v>0.95299999999999996</v>
      </c>
      <c r="J924" s="4">
        <v>1</v>
      </c>
      <c r="K924" s="5">
        <v>0</v>
      </c>
      <c r="L924" s="5">
        <v>100</v>
      </c>
      <c r="M924" s="5">
        <v>100</v>
      </c>
      <c r="N924" s="5">
        <v>100</v>
      </c>
      <c r="O924" s="2">
        <v>0.75502258427803282</v>
      </c>
      <c r="P924" s="2">
        <v>1.0000050000287824E-5</v>
      </c>
      <c r="Q924" s="2">
        <v>4.8140375327934984E-2</v>
      </c>
      <c r="R924" s="2">
        <v>1.0000050000287824E-5</v>
      </c>
    </row>
    <row r="925" spans="1:18" x14ac:dyDescent="0.3">
      <c r="A925" s="7">
        <v>554</v>
      </c>
      <c r="B925" s="7">
        <v>158</v>
      </c>
      <c r="C925" s="7">
        <v>1</v>
      </c>
      <c r="D925" s="7">
        <v>1</v>
      </c>
      <c r="E925" s="20" t="str">
        <f t="shared" si="14"/>
        <v>11</v>
      </c>
      <c r="F925" s="21">
        <v>0.67296164473463704</v>
      </c>
      <c r="G925" s="4">
        <v>0.57699999999999996</v>
      </c>
      <c r="H925" s="4">
        <v>1</v>
      </c>
      <c r="I925" s="4">
        <v>0.95499999999999996</v>
      </c>
      <c r="J925" s="4">
        <v>1</v>
      </c>
      <c r="K925" s="5">
        <v>100</v>
      </c>
      <c r="L925" s="5">
        <v>100</v>
      </c>
      <c r="M925" s="5">
        <v>100</v>
      </c>
      <c r="N925" s="5">
        <v>100</v>
      </c>
      <c r="O925" s="2">
        <v>0.54991301247403757</v>
      </c>
      <c r="P925" s="2">
        <v>1.0000050000287824E-5</v>
      </c>
      <c r="Q925" s="2">
        <v>4.6043938501406846E-2</v>
      </c>
      <c r="R925" s="2">
        <v>1.0000050000287824E-5</v>
      </c>
    </row>
    <row r="926" spans="1:18" x14ac:dyDescent="0.3">
      <c r="A926" s="7">
        <v>141</v>
      </c>
      <c r="B926" s="7">
        <v>132</v>
      </c>
      <c r="C926" s="7">
        <v>1</v>
      </c>
      <c r="D926" s="7">
        <v>1</v>
      </c>
      <c r="E926" s="20" t="str">
        <f t="shared" si="14"/>
        <v>11</v>
      </c>
      <c r="F926" s="21">
        <v>0.68081607479219797</v>
      </c>
      <c r="G926" s="4">
        <v>0.505</v>
      </c>
      <c r="H926" s="4">
        <v>1</v>
      </c>
      <c r="I926" s="4">
        <v>0.879</v>
      </c>
      <c r="J926" s="4">
        <v>1</v>
      </c>
      <c r="K926" s="5">
        <v>100</v>
      </c>
      <c r="L926" s="5">
        <v>100</v>
      </c>
      <c r="M926" s="5">
        <v>100</v>
      </c>
      <c r="N926" s="5">
        <v>100</v>
      </c>
      <c r="O926" s="2">
        <v>0.68319684970677719</v>
      </c>
      <c r="P926" s="2">
        <v>1.0000050000287824E-5</v>
      </c>
      <c r="Q926" s="2">
        <v>0.12897038129696006</v>
      </c>
      <c r="R926" s="2">
        <v>1.0000050000287824E-5</v>
      </c>
    </row>
    <row r="927" spans="1:18" x14ac:dyDescent="0.3">
      <c r="A927" s="7">
        <v>904</v>
      </c>
      <c r="B927" s="7">
        <v>166</v>
      </c>
      <c r="C927" s="7">
        <v>1</v>
      </c>
      <c r="D927" s="7">
        <v>1</v>
      </c>
      <c r="E927" s="20" t="str">
        <f t="shared" si="14"/>
        <v>11</v>
      </c>
      <c r="F927" s="21">
        <v>0.68236666996929796</v>
      </c>
      <c r="G927" s="4">
        <v>0.58899999999999997</v>
      </c>
      <c r="H927" s="4">
        <v>0.88586956521739102</v>
      </c>
      <c r="I927" s="4">
        <v>0.96299999999999997</v>
      </c>
      <c r="J927" s="4">
        <v>1</v>
      </c>
      <c r="K927" s="5">
        <v>100</v>
      </c>
      <c r="L927" s="5">
        <v>100</v>
      </c>
      <c r="M927" s="5">
        <v>100</v>
      </c>
      <c r="N927" s="5">
        <v>100</v>
      </c>
      <c r="O927" s="2">
        <v>0.52932909533055039</v>
      </c>
      <c r="P927" s="2">
        <v>0.12118555680222361</v>
      </c>
      <c r="Q927" s="2">
        <v>3.7701867184011528E-2</v>
      </c>
      <c r="R927" s="2">
        <v>1.0000050000287824E-5</v>
      </c>
    </row>
    <row r="928" spans="1:18" x14ac:dyDescent="0.3">
      <c r="A928" s="7">
        <v>422</v>
      </c>
      <c r="B928" s="7">
        <v>166</v>
      </c>
      <c r="C928" s="7">
        <v>1</v>
      </c>
      <c r="D928" s="7">
        <v>1</v>
      </c>
      <c r="E928" s="20" t="str">
        <f t="shared" si="14"/>
        <v>11</v>
      </c>
      <c r="F928" s="21">
        <v>0.69454208860292599</v>
      </c>
      <c r="G928" s="4">
        <v>0.72199999999999998</v>
      </c>
      <c r="H928" s="4">
        <v>1</v>
      </c>
      <c r="I928" s="4">
        <v>0.93799999999999994</v>
      </c>
      <c r="J928" s="4">
        <v>1</v>
      </c>
      <c r="K928" s="5">
        <v>100</v>
      </c>
      <c r="L928" s="5">
        <v>100</v>
      </c>
      <c r="M928" s="5">
        <v>100</v>
      </c>
      <c r="N928" s="5">
        <v>100</v>
      </c>
      <c r="O928" s="2">
        <v>0.32573014008931084</v>
      </c>
      <c r="P928" s="2">
        <v>1.0000050000287824E-5</v>
      </c>
      <c r="Q928" s="2">
        <v>6.4005329975912434E-2</v>
      </c>
      <c r="R928" s="2">
        <v>1.0000050000287824E-5</v>
      </c>
    </row>
    <row r="929" spans="1:18" x14ac:dyDescent="0.3">
      <c r="A929" s="7">
        <v>639</v>
      </c>
      <c r="B929" s="7">
        <v>150</v>
      </c>
      <c r="C929" s="7">
        <v>1</v>
      </c>
      <c r="D929" s="7">
        <v>1</v>
      </c>
      <c r="E929" s="20" t="str">
        <f t="shared" si="14"/>
        <v>11</v>
      </c>
      <c r="F929" s="21">
        <v>0.69918095884979803</v>
      </c>
      <c r="G929" s="4">
        <v>0.44500000000000001</v>
      </c>
      <c r="H929" s="4">
        <v>0.967741935483871</v>
      </c>
      <c r="I929" s="4">
        <v>0.89700000000000002</v>
      </c>
      <c r="J929" s="4">
        <v>0.996</v>
      </c>
      <c r="K929" s="5">
        <v>0</v>
      </c>
      <c r="L929" s="5">
        <v>100</v>
      </c>
      <c r="M929" s="5">
        <v>100</v>
      </c>
      <c r="N929" s="5">
        <v>100</v>
      </c>
      <c r="O929" s="2">
        <v>0.80968099681589678</v>
      </c>
      <c r="P929" s="2">
        <v>3.2789822822990838E-2</v>
      </c>
      <c r="Q929" s="2">
        <v>0.10869941692334091</v>
      </c>
      <c r="R929" s="2">
        <v>4.0080213975388218E-3</v>
      </c>
    </row>
    <row r="930" spans="1:18" x14ac:dyDescent="0.3">
      <c r="A930" s="7">
        <v>900</v>
      </c>
      <c r="B930" s="7">
        <v>138</v>
      </c>
      <c r="C930" s="7">
        <v>1</v>
      </c>
      <c r="D930" s="7">
        <v>1</v>
      </c>
      <c r="E930" s="20" t="str">
        <f t="shared" si="14"/>
        <v>11</v>
      </c>
      <c r="F930" s="21">
        <v>0.70218193015845798</v>
      </c>
      <c r="G930" s="4">
        <v>0.53600000000000003</v>
      </c>
      <c r="H930" s="4">
        <v>1</v>
      </c>
      <c r="I930" s="4">
        <v>0.95899999999999996</v>
      </c>
      <c r="J930" s="4">
        <v>1</v>
      </c>
      <c r="K930" s="5">
        <v>100</v>
      </c>
      <c r="L930" s="5">
        <v>100</v>
      </c>
      <c r="M930" s="5">
        <v>100</v>
      </c>
      <c r="N930" s="5">
        <v>100</v>
      </c>
      <c r="O930" s="2">
        <v>0.62362111791133501</v>
      </c>
      <c r="P930" s="2">
        <v>1.0000050000287824E-5</v>
      </c>
      <c r="Q930" s="2">
        <v>4.1864204098698871E-2</v>
      </c>
      <c r="R930" s="2">
        <v>1.0000050000287824E-5</v>
      </c>
    </row>
    <row r="931" spans="1:18" x14ac:dyDescent="0.3">
      <c r="A931" s="7">
        <v>125</v>
      </c>
      <c r="B931" s="7">
        <v>418</v>
      </c>
      <c r="C931" s="7">
        <v>1</v>
      </c>
      <c r="D931" s="7">
        <v>1</v>
      </c>
      <c r="E931" s="20" t="str">
        <f t="shared" si="14"/>
        <v>11</v>
      </c>
      <c r="F931" s="21">
        <v>0.71127763324562099</v>
      </c>
      <c r="G931" s="4">
        <v>0.52900000000000003</v>
      </c>
      <c r="H931" s="4">
        <v>1</v>
      </c>
      <c r="I931" s="4">
        <v>0.94</v>
      </c>
      <c r="J931" s="4">
        <v>1</v>
      </c>
      <c r="K931" s="5">
        <v>100</v>
      </c>
      <c r="L931" s="5">
        <v>100</v>
      </c>
      <c r="M931" s="5">
        <v>100</v>
      </c>
      <c r="N931" s="5">
        <v>100</v>
      </c>
      <c r="O931" s="2">
        <v>0.63676684712383758</v>
      </c>
      <c r="P931" s="2">
        <v>1.0000050000287824E-5</v>
      </c>
      <c r="Q931" s="2">
        <v>6.1875403718087529E-2</v>
      </c>
      <c r="R931" s="2">
        <v>1.0000050000287824E-5</v>
      </c>
    </row>
    <row r="932" spans="1:18" x14ac:dyDescent="0.3">
      <c r="A932" s="7">
        <v>944</v>
      </c>
      <c r="B932" s="7">
        <v>135</v>
      </c>
      <c r="C932" s="7">
        <v>1</v>
      </c>
      <c r="D932" s="7">
        <v>1</v>
      </c>
      <c r="E932" s="20" t="str">
        <f t="shared" si="14"/>
        <v>11</v>
      </c>
      <c r="F932" s="21">
        <v>0.71275199291704405</v>
      </c>
      <c r="G932" s="4">
        <v>0.45300000000000001</v>
      </c>
      <c r="H932" s="4">
        <v>1</v>
      </c>
      <c r="I932" s="4">
        <v>0.86</v>
      </c>
      <c r="J932" s="4">
        <v>1</v>
      </c>
      <c r="K932" s="5">
        <v>0</v>
      </c>
      <c r="L932" s="5">
        <v>100</v>
      </c>
      <c r="M932" s="5">
        <v>100</v>
      </c>
      <c r="N932" s="5">
        <v>100</v>
      </c>
      <c r="O932" s="2">
        <v>0.79186315349910297</v>
      </c>
      <c r="P932" s="2">
        <v>1.0000050000287824E-5</v>
      </c>
      <c r="Q932" s="2">
        <v>0.15082288973458366</v>
      </c>
      <c r="R932" s="2">
        <v>1.0000050000287824E-5</v>
      </c>
    </row>
    <row r="933" spans="1:18" x14ac:dyDescent="0.3">
      <c r="A933" s="7">
        <v>979</v>
      </c>
      <c r="B933" s="7">
        <v>124</v>
      </c>
      <c r="C933" s="7">
        <v>1</v>
      </c>
      <c r="D933" s="7">
        <v>1</v>
      </c>
      <c r="E933" s="20" t="str">
        <f t="shared" si="14"/>
        <v>11</v>
      </c>
      <c r="F933" s="21">
        <v>0.73471424841547495</v>
      </c>
      <c r="G933" s="4">
        <v>0.67100000000000004</v>
      </c>
      <c r="H933" s="4">
        <v>1</v>
      </c>
      <c r="I933" s="4">
        <v>0.88600000000000001</v>
      </c>
      <c r="J933" s="4">
        <v>1</v>
      </c>
      <c r="K933" s="5">
        <v>100</v>
      </c>
      <c r="L933" s="5">
        <v>100</v>
      </c>
      <c r="M933" s="5">
        <v>100</v>
      </c>
      <c r="N933" s="5">
        <v>100</v>
      </c>
      <c r="O933" s="2">
        <v>0.39898614201045518</v>
      </c>
      <c r="P933" s="2">
        <v>1.0000050000287824E-5</v>
      </c>
      <c r="Q933" s="2">
        <v>0.1210383283770561</v>
      </c>
      <c r="R933" s="2">
        <v>1.0000050000287824E-5</v>
      </c>
    </row>
    <row r="934" spans="1:18" x14ac:dyDescent="0.3">
      <c r="A934" s="7">
        <v>253</v>
      </c>
      <c r="B934" s="7">
        <v>137</v>
      </c>
      <c r="C934" s="7">
        <v>1</v>
      </c>
      <c r="D934" s="7">
        <v>1</v>
      </c>
      <c r="E934" s="20" t="str">
        <f t="shared" si="14"/>
        <v>11</v>
      </c>
      <c r="F934" s="21">
        <v>0.73511062771064595</v>
      </c>
      <c r="G934" s="4">
        <v>0.57899999999999996</v>
      </c>
      <c r="H934" s="4">
        <v>0.99145299145299104</v>
      </c>
      <c r="I934" s="4">
        <v>0.86399999999999999</v>
      </c>
      <c r="J934" s="4">
        <v>1</v>
      </c>
      <c r="K934" s="5">
        <v>100</v>
      </c>
      <c r="L934" s="5">
        <v>100</v>
      </c>
      <c r="M934" s="5">
        <v>100</v>
      </c>
      <c r="N934" s="5">
        <v>100</v>
      </c>
      <c r="O934" s="2">
        <v>0.54645280140914188</v>
      </c>
      <c r="P934" s="2">
        <v>8.5837436913918895E-3</v>
      </c>
      <c r="Q934" s="2">
        <v>0.14618251017808145</v>
      </c>
      <c r="R934" s="2">
        <v>1.0000050000287824E-5</v>
      </c>
    </row>
    <row r="935" spans="1:18" x14ac:dyDescent="0.3">
      <c r="A935" s="7">
        <v>711</v>
      </c>
      <c r="B935" s="7">
        <v>148</v>
      </c>
      <c r="C935" s="7">
        <v>1</v>
      </c>
      <c r="D935" s="7">
        <v>1</v>
      </c>
      <c r="E935" s="20" t="str">
        <f t="shared" si="14"/>
        <v>11</v>
      </c>
      <c r="F935" s="21">
        <v>0.736555415283773</v>
      </c>
      <c r="G935" s="4">
        <v>0.75</v>
      </c>
      <c r="H935" s="4">
        <v>0.98863636363636398</v>
      </c>
      <c r="I935" s="4">
        <v>0.93600000000000005</v>
      </c>
      <c r="J935" s="4">
        <v>0.996</v>
      </c>
      <c r="K935" s="5">
        <v>100</v>
      </c>
      <c r="L935" s="5">
        <v>100</v>
      </c>
      <c r="M935" s="5">
        <v>100</v>
      </c>
      <c r="N935" s="5">
        <v>100</v>
      </c>
      <c r="O935" s="2">
        <v>0.2876820724517809</v>
      </c>
      <c r="P935" s="2">
        <v>1.1428695823622407E-2</v>
      </c>
      <c r="Q935" s="2">
        <v>6.6139802504544945E-2</v>
      </c>
      <c r="R935" s="2">
        <v>4.0080213975388218E-3</v>
      </c>
    </row>
    <row r="936" spans="1:18" x14ac:dyDescent="0.3">
      <c r="A936" s="7">
        <v>180</v>
      </c>
      <c r="B936" s="7">
        <v>118</v>
      </c>
      <c r="C936" s="7">
        <v>1</v>
      </c>
      <c r="D936" s="7">
        <v>1</v>
      </c>
      <c r="E936" s="20" t="str">
        <f t="shared" si="14"/>
        <v>11</v>
      </c>
      <c r="F936" s="21">
        <v>0.75377034882030403</v>
      </c>
      <c r="G936" s="4">
        <v>0.495</v>
      </c>
      <c r="H936" s="4">
        <v>0.81818181818181801</v>
      </c>
      <c r="I936" s="4">
        <v>0.114</v>
      </c>
      <c r="J936" s="4">
        <v>0.11799999999999999</v>
      </c>
      <c r="K936" s="5">
        <v>0</v>
      </c>
      <c r="L936" s="5">
        <v>100</v>
      </c>
      <c r="M936" s="5">
        <v>0</v>
      </c>
      <c r="N936" s="5">
        <v>0</v>
      </c>
      <c r="O936" s="2">
        <v>0.70319751641344674</v>
      </c>
      <c r="P936" s="2">
        <v>0.20067069546215138</v>
      </c>
      <c r="Q936" s="2">
        <v>2.1715568305876416</v>
      </c>
      <c r="R936" s="2">
        <v>2.1370706545164722</v>
      </c>
    </row>
    <row r="937" spans="1:18" x14ac:dyDescent="0.3">
      <c r="A937" s="7">
        <v>792</v>
      </c>
      <c r="B937" s="7">
        <v>139</v>
      </c>
      <c r="C937" s="7">
        <v>1</v>
      </c>
      <c r="D937" s="7">
        <v>1</v>
      </c>
      <c r="E937" s="20" t="str">
        <f t="shared" si="14"/>
        <v>11</v>
      </c>
      <c r="F937" s="21">
        <v>0.76389972910380799</v>
      </c>
      <c r="G937" s="4">
        <v>0.75</v>
      </c>
      <c r="H937" s="4">
        <v>1</v>
      </c>
      <c r="I937" s="4">
        <v>0.97499999999999998</v>
      </c>
      <c r="J937" s="4">
        <v>1</v>
      </c>
      <c r="K937" s="5">
        <v>100</v>
      </c>
      <c r="L937" s="5">
        <v>100</v>
      </c>
      <c r="M937" s="5">
        <v>100</v>
      </c>
      <c r="N937" s="5">
        <v>100</v>
      </c>
      <c r="O937" s="2">
        <v>0.2876820724517809</v>
      </c>
      <c r="P937" s="2">
        <v>1.0000050000287824E-5</v>
      </c>
      <c r="Q937" s="2">
        <v>2.5317807984289897E-2</v>
      </c>
      <c r="R937" s="2">
        <v>1.0000050000287824E-5</v>
      </c>
    </row>
    <row r="938" spans="1:18" x14ac:dyDescent="0.3">
      <c r="A938" s="7">
        <v>502</v>
      </c>
      <c r="B938" s="7">
        <v>135</v>
      </c>
      <c r="C938" s="7">
        <v>1</v>
      </c>
      <c r="D938" s="7">
        <v>1</v>
      </c>
      <c r="E938" s="20" t="str">
        <f t="shared" si="14"/>
        <v>11</v>
      </c>
      <c r="F938" s="21">
        <v>0.77103391100488805</v>
      </c>
      <c r="G938" s="4">
        <v>0.46</v>
      </c>
      <c r="H938" s="4">
        <v>0.99065420560747697</v>
      </c>
      <c r="I938" s="4">
        <v>0.95799999999999996</v>
      </c>
      <c r="J938" s="4">
        <v>0.98</v>
      </c>
      <c r="K938" s="5">
        <v>0</v>
      </c>
      <c r="L938" s="5">
        <v>100</v>
      </c>
      <c r="M938" s="5">
        <v>100</v>
      </c>
      <c r="N938" s="5">
        <v>100</v>
      </c>
      <c r="O938" s="2">
        <v>0.77652878949899629</v>
      </c>
      <c r="P938" s="2">
        <v>9.3897403498386951E-3</v>
      </c>
      <c r="Q938" s="2">
        <v>4.290750101127655E-2</v>
      </c>
      <c r="R938" s="2">
        <v>2.0202707317519466E-2</v>
      </c>
    </row>
    <row r="939" spans="1:18" x14ac:dyDescent="0.3">
      <c r="A939" s="7">
        <v>886</v>
      </c>
      <c r="B939" s="7">
        <v>117</v>
      </c>
      <c r="C939" s="7">
        <v>1</v>
      </c>
      <c r="D939" s="7">
        <v>1</v>
      </c>
      <c r="E939" s="20" t="str">
        <f t="shared" si="14"/>
        <v>11</v>
      </c>
      <c r="F939" s="21">
        <v>0.77505873790191304</v>
      </c>
      <c r="G939" s="4">
        <v>0.51200000000000001</v>
      </c>
      <c r="H939" s="4">
        <v>1</v>
      </c>
      <c r="I939" s="4">
        <v>0.95599999999999996</v>
      </c>
      <c r="J939" s="4">
        <v>1</v>
      </c>
      <c r="K939" s="5">
        <v>100</v>
      </c>
      <c r="L939" s="5">
        <v>100</v>
      </c>
      <c r="M939" s="5">
        <v>100</v>
      </c>
      <c r="N939" s="5">
        <v>100</v>
      </c>
      <c r="O939" s="2">
        <v>0.66943065394262924</v>
      </c>
      <c r="P939" s="2">
        <v>1.0000050000287824E-5</v>
      </c>
      <c r="Q939" s="2">
        <v>4.4997365930735805E-2</v>
      </c>
      <c r="R939" s="2">
        <v>1.0000050000287824E-5</v>
      </c>
    </row>
    <row r="940" spans="1:18" x14ac:dyDescent="0.3">
      <c r="A940" s="7">
        <v>14</v>
      </c>
      <c r="B940" s="7">
        <v>110</v>
      </c>
      <c r="C940" s="7">
        <v>1</v>
      </c>
      <c r="D940" s="7">
        <v>1</v>
      </c>
      <c r="E940" s="20" t="str">
        <f t="shared" si="14"/>
        <v>11</v>
      </c>
      <c r="F940" s="21">
        <v>0.77682741051252702</v>
      </c>
      <c r="G940" s="4">
        <v>0.629</v>
      </c>
      <c r="H940" s="4">
        <v>1</v>
      </c>
      <c r="I940" s="4">
        <v>0.86899999999999999</v>
      </c>
      <c r="J940" s="4">
        <v>1</v>
      </c>
      <c r="K940" s="5">
        <v>100</v>
      </c>
      <c r="L940" s="5">
        <v>100</v>
      </c>
      <c r="M940" s="5">
        <v>100</v>
      </c>
      <c r="N940" s="5">
        <v>100</v>
      </c>
      <c r="O940" s="2">
        <v>0.46362402228169652</v>
      </c>
      <c r="P940" s="2">
        <v>1.0000050000287824E-5</v>
      </c>
      <c r="Q940" s="2">
        <v>0.14041215371674501</v>
      </c>
      <c r="R940" s="2">
        <v>1.0000050000287824E-5</v>
      </c>
    </row>
    <row r="941" spans="1:18" x14ac:dyDescent="0.3">
      <c r="A941" s="7">
        <v>684</v>
      </c>
      <c r="B941" s="7">
        <v>132</v>
      </c>
      <c r="C941" s="7">
        <v>1</v>
      </c>
      <c r="D941" s="7">
        <v>1</v>
      </c>
      <c r="E941" s="20" t="str">
        <f t="shared" si="14"/>
        <v>11</v>
      </c>
      <c r="F941" s="21">
        <v>0.78908385823650296</v>
      </c>
      <c r="G941" s="4">
        <v>0.47799999999999998</v>
      </c>
      <c r="H941" s="4">
        <v>1</v>
      </c>
      <c r="I941" s="4">
        <v>0.83599999999999997</v>
      </c>
      <c r="J941" s="4">
        <v>1</v>
      </c>
      <c r="K941" s="5">
        <v>0</v>
      </c>
      <c r="L941" s="5">
        <v>100</v>
      </c>
      <c r="M941" s="5">
        <v>100</v>
      </c>
      <c r="N941" s="5">
        <v>100</v>
      </c>
      <c r="O941" s="2">
        <v>0.73814454649068106</v>
      </c>
      <c r="P941" s="2">
        <v>1.0000050000287824E-5</v>
      </c>
      <c r="Q941" s="2">
        <v>0.17912666589743548</v>
      </c>
      <c r="R941" s="2">
        <v>1.0000050000287824E-5</v>
      </c>
    </row>
    <row r="942" spans="1:18" x14ac:dyDescent="0.3">
      <c r="A942" s="7">
        <v>464</v>
      </c>
      <c r="B942" s="7">
        <v>137</v>
      </c>
      <c r="C942" s="7">
        <v>1</v>
      </c>
      <c r="D942" s="7">
        <v>1</v>
      </c>
      <c r="E942" s="20" t="str">
        <f t="shared" si="14"/>
        <v>11</v>
      </c>
      <c r="F942" s="21">
        <v>0.80265160064830599</v>
      </c>
      <c r="G942" s="4">
        <v>0.622</v>
      </c>
      <c r="H942" s="4">
        <v>1</v>
      </c>
      <c r="I942" s="4">
        <v>0.97199999999999998</v>
      </c>
      <c r="J942" s="4">
        <v>1</v>
      </c>
      <c r="K942" s="5">
        <v>100</v>
      </c>
      <c r="L942" s="5">
        <v>100</v>
      </c>
      <c r="M942" s="5">
        <v>100</v>
      </c>
      <c r="N942" s="5">
        <v>100</v>
      </c>
      <c r="O942" s="2">
        <v>0.4748151862429576</v>
      </c>
      <c r="P942" s="2">
        <v>1.0000050000287824E-5</v>
      </c>
      <c r="Q942" s="2">
        <v>2.8399474521698002E-2</v>
      </c>
      <c r="R942" s="2">
        <v>1.0000050000287824E-5</v>
      </c>
    </row>
    <row r="943" spans="1:18" x14ac:dyDescent="0.3">
      <c r="A943" s="7">
        <v>154</v>
      </c>
      <c r="B943" s="7">
        <v>117</v>
      </c>
      <c r="C943" s="7">
        <v>1</v>
      </c>
      <c r="D943" s="7">
        <v>1</v>
      </c>
      <c r="E943" s="20" t="str">
        <f t="shared" si="14"/>
        <v>11</v>
      </c>
      <c r="F943" s="21">
        <v>0.805822960869511</v>
      </c>
      <c r="G943" s="4">
        <v>0.47399999999999998</v>
      </c>
      <c r="H943" s="4">
        <v>1</v>
      </c>
      <c r="I943" s="4">
        <v>0.95399999999999996</v>
      </c>
      <c r="J943" s="4">
        <v>1</v>
      </c>
      <c r="K943" s="5">
        <v>0</v>
      </c>
      <c r="L943" s="5">
        <v>100</v>
      </c>
      <c r="M943" s="5">
        <v>100</v>
      </c>
      <c r="N943" s="5">
        <v>100</v>
      </c>
      <c r="O943" s="2">
        <v>0.74654795728706058</v>
      </c>
      <c r="P943" s="2">
        <v>1.0000050000287824E-5</v>
      </c>
      <c r="Q943" s="2">
        <v>4.7091607533850569E-2</v>
      </c>
      <c r="R943" s="2">
        <v>1.0000050000287824E-5</v>
      </c>
    </row>
    <row r="944" spans="1:18" x14ac:dyDescent="0.3">
      <c r="A944" s="7">
        <v>712</v>
      </c>
      <c r="B944" s="7">
        <v>117</v>
      </c>
      <c r="C944" s="7">
        <v>1</v>
      </c>
      <c r="D944" s="7">
        <v>1</v>
      </c>
      <c r="E944" s="20" t="str">
        <f t="shared" si="14"/>
        <v>11</v>
      </c>
      <c r="F944" s="21">
        <v>0.809837735603398</v>
      </c>
      <c r="G944" s="4">
        <v>0.33500000000000002</v>
      </c>
      <c r="H944" s="4">
        <v>1</v>
      </c>
      <c r="I944" s="4">
        <v>0.83499999999999996</v>
      </c>
      <c r="J944" s="4">
        <v>1</v>
      </c>
      <c r="K944" s="5">
        <v>0</v>
      </c>
      <c r="L944" s="5">
        <v>100</v>
      </c>
      <c r="M944" s="5">
        <v>100</v>
      </c>
      <c r="N944" s="5">
        <v>100</v>
      </c>
      <c r="O944" s="2">
        <v>1.0936247471570706</v>
      </c>
      <c r="P944" s="2">
        <v>1.0000050000287824E-5</v>
      </c>
      <c r="Q944" s="2">
        <v>0.18032355413128162</v>
      </c>
      <c r="R944" s="2">
        <v>1.0000050000287824E-5</v>
      </c>
    </row>
    <row r="945" spans="1:18" x14ac:dyDescent="0.3">
      <c r="A945" s="7">
        <v>571</v>
      </c>
      <c r="B945" s="7">
        <v>106</v>
      </c>
      <c r="C945" s="7">
        <v>1</v>
      </c>
      <c r="D945" s="7">
        <v>1</v>
      </c>
      <c r="E945" s="20" t="str">
        <f t="shared" si="14"/>
        <v>11</v>
      </c>
      <c r="F945" s="21">
        <v>0.81120012804439001</v>
      </c>
      <c r="G945" s="4">
        <v>0.625</v>
      </c>
      <c r="H945" s="4">
        <v>0.91538461538461502</v>
      </c>
      <c r="I945" s="4">
        <v>0.95899999999999996</v>
      </c>
      <c r="J945" s="4">
        <v>0.999</v>
      </c>
      <c r="K945" s="5">
        <v>100</v>
      </c>
      <c r="L945" s="5">
        <v>100</v>
      </c>
      <c r="M945" s="5">
        <v>100</v>
      </c>
      <c r="N945" s="5">
        <v>100</v>
      </c>
      <c r="O945" s="2">
        <v>0.47000362924573558</v>
      </c>
      <c r="P945" s="2">
        <v>8.8410957344053437E-2</v>
      </c>
      <c r="Q945" s="2">
        <v>4.1864204098698871E-2</v>
      </c>
      <c r="R945" s="2">
        <v>1.0005003335835344E-3</v>
      </c>
    </row>
    <row r="946" spans="1:18" x14ac:dyDescent="0.3">
      <c r="A946" s="7">
        <v>595</v>
      </c>
      <c r="B946" s="7">
        <v>118</v>
      </c>
      <c r="C946" s="7">
        <v>1</v>
      </c>
      <c r="D946" s="7">
        <v>1</v>
      </c>
      <c r="E946" s="20" t="str">
        <f t="shared" si="14"/>
        <v>11</v>
      </c>
      <c r="F946" s="21">
        <v>0.81823844102021503</v>
      </c>
      <c r="G946" s="4">
        <v>0.58499999999999996</v>
      </c>
      <c r="H946" s="4">
        <v>0.93684210526315803</v>
      </c>
      <c r="I946" s="4">
        <v>0.93</v>
      </c>
      <c r="J946" s="4">
        <v>0.997</v>
      </c>
      <c r="K946" s="5">
        <v>100</v>
      </c>
      <c r="L946" s="5">
        <v>100</v>
      </c>
      <c r="M946" s="5">
        <v>100</v>
      </c>
      <c r="N946" s="5">
        <v>100</v>
      </c>
      <c r="O946" s="2">
        <v>0.53614343175028067</v>
      </c>
      <c r="P946" s="2">
        <v>6.5240521868400847E-2</v>
      </c>
      <c r="Q946" s="2">
        <v>7.2570692834835374E-2</v>
      </c>
      <c r="R946" s="2">
        <v>3.0045090202987243E-3</v>
      </c>
    </row>
    <row r="947" spans="1:18" x14ac:dyDescent="0.3">
      <c r="A947" s="7">
        <v>545</v>
      </c>
      <c r="B947" s="7">
        <v>122</v>
      </c>
      <c r="C947" s="7">
        <v>1</v>
      </c>
      <c r="D947" s="7">
        <v>1</v>
      </c>
      <c r="E947" s="20" t="str">
        <f t="shared" si="14"/>
        <v>11</v>
      </c>
      <c r="F947" s="21">
        <v>0.85990996102639194</v>
      </c>
      <c r="G947" s="4">
        <v>0.51100000000000001</v>
      </c>
      <c r="H947" s="4">
        <v>0.94814814814814796</v>
      </c>
      <c r="I947" s="4">
        <v>0.10299999999999999</v>
      </c>
      <c r="J947" s="4">
        <v>0.14000000000000001</v>
      </c>
      <c r="K947" s="5">
        <v>100</v>
      </c>
      <c r="L947" s="5">
        <v>100</v>
      </c>
      <c r="M947" s="5">
        <v>0</v>
      </c>
      <c r="N947" s="5">
        <v>0</v>
      </c>
      <c r="O947" s="2">
        <v>0.67138568877843263</v>
      </c>
      <c r="P947" s="2">
        <v>5.3244514518812479E-2</v>
      </c>
      <c r="Q947" s="2">
        <v>2.2730262907525014</v>
      </c>
      <c r="R947" s="2">
        <v>1.9661128563728327</v>
      </c>
    </row>
    <row r="948" spans="1:18" x14ac:dyDescent="0.3">
      <c r="A948" s="7">
        <v>73</v>
      </c>
      <c r="B948" s="7">
        <v>113</v>
      </c>
      <c r="C948" s="7">
        <v>1</v>
      </c>
      <c r="D948" s="7">
        <v>1</v>
      </c>
      <c r="E948" s="20" t="str">
        <f t="shared" si="14"/>
        <v>11</v>
      </c>
      <c r="F948" s="21">
        <v>0.86017480919146505</v>
      </c>
      <c r="G948" s="4">
        <v>0.53100000000000003</v>
      </c>
      <c r="H948" s="4">
        <v>1</v>
      </c>
      <c r="I948" s="4">
        <v>0.874</v>
      </c>
      <c r="J948" s="4">
        <v>1</v>
      </c>
      <c r="K948" s="5">
        <v>100</v>
      </c>
      <c r="L948" s="5">
        <v>100</v>
      </c>
      <c r="M948" s="5">
        <v>100</v>
      </c>
      <c r="N948" s="5">
        <v>100</v>
      </c>
      <c r="O948" s="2">
        <v>0.63299325774019821</v>
      </c>
      <c r="P948" s="2">
        <v>1.0000050000287824E-5</v>
      </c>
      <c r="Q948" s="2">
        <v>0.13467490332660159</v>
      </c>
      <c r="R948" s="2">
        <v>1.0000050000287824E-5</v>
      </c>
    </row>
    <row r="949" spans="1:18" x14ac:dyDescent="0.3">
      <c r="A949" s="7">
        <v>475</v>
      </c>
      <c r="B949" s="7">
        <v>112</v>
      </c>
      <c r="C949" s="7">
        <v>1</v>
      </c>
      <c r="D949" s="7">
        <v>1</v>
      </c>
      <c r="E949" s="20" t="str">
        <f t="shared" si="14"/>
        <v>11</v>
      </c>
      <c r="F949" s="21">
        <v>0.88571508273404997</v>
      </c>
      <c r="G949" s="4">
        <v>0.59</v>
      </c>
      <c r="H949" s="4">
        <v>1</v>
      </c>
      <c r="I949" s="4">
        <v>0.91500000000000004</v>
      </c>
      <c r="J949" s="4">
        <v>1</v>
      </c>
      <c r="K949" s="5">
        <v>100</v>
      </c>
      <c r="L949" s="5">
        <v>100</v>
      </c>
      <c r="M949" s="5">
        <v>100</v>
      </c>
      <c r="N949" s="5">
        <v>100</v>
      </c>
      <c r="O949" s="2">
        <v>0.52763274208237199</v>
      </c>
      <c r="P949" s="2">
        <v>1.0000050000287824E-5</v>
      </c>
      <c r="Q949" s="2">
        <v>8.8831213706615703E-2</v>
      </c>
      <c r="R949" s="2">
        <v>1.0000050000287824E-5</v>
      </c>
    </row>
    <row r="950" spans="1:18" x14ac:dyDescent="0.3">
      <c r="A950" s="7">
        <v>802</v>
      </c>
      <c r="B950" s="7">
        <v>92</v>
      </c>
      <c r="C950" s="7">
        <v>1</v>
      </c>
      <c r="D950" s="7">
        <v>1</v>
      </c>
      <c r="E950" s="20" t="str">
        <f t="shared" si="14"/>
        <v>11</v>
      </c>
      <c r="F950" s="21">
        <v>0.90513644844426999</v>
      </c>
      <c r="G950" s="4">
        <v>0.64100000000000001</v>
      </c>
      <c r="H950" s="4">
        <v>1</v>
      </c>
      <c r="I950" s="4">
        <v>0.92300000000000004</v>
      </c>
      <c r="J950" s="4">
        <v>1</v>
      </c>
      <c r="K950" s="5">
        <v>100</v>
      </c>
      <c r="L950" s="5">
        <v>100</v>
      </c>
      <c r="M950" s="5">
        <v>100</v>
      </c>
      <c r="N950" s="5">
        <v>100</v>
      </c>
      <c r="O950" s="2">
        <v>0.44472582206146699</v>
      </c>
      <c r="P950" s="2">
        <v>1.0000050000287824E-5</v>
      </c>
      <c r="Q950" s="2">
        <v>8.0126044479284855E-2</v>
      </c>
      <c r="R950" s="2">
        <v>1.0000050000287824E-5</v>
      </c>
    </row>
    <row r="951" spans="1:18" x14ac:dyDescent="0.3">
      <c r="A951" s="7">
        <v>772</v>
      </c>
      <c r="B951" s="7">
        <v>94</v>
      </c>
      <c r="C951" s="7">
        <v>1</v>
      </c>
      <c r="D951" s="7">
        <v>1</v>
      </c>
      <c r="E951" s="20" t="str">
        <f t="shared" si="14"/>
        <v>11</v>
      </c>
      <c r="F951" s="21">
        <v>0.90750531150575997</v>
      </c>
      <c r="G951" s="4">
        <v>0.43</v>
      </c>
      <c r="H951" s="4">
        <v>1</v>
      </c>
      <c r="I951" s="4">
        <v>0.14799999999999999</v>
      </c>
      <c r="J951" s="4">
        <v>1</v>
      </c>
      <c r="K951" s="5">
        <v>0</v>
      </c>
      <c r="L951" s="5">
        <v>100</v>
      </c>
      <c r="M951" s="5">
        <v>0</v>
      </c>
      <c r="N951" s="5">
        <v>100</v>
      </c>
      <c r="O951" s="2">
        <v>0.84397007029452897</v>
      </c>
      <c r="P951" s="2">
        <v>1.0000050000287824E-5</v>
      </c>
      <c r="Q951" s="2">
        <v>1.9105430052180221</v>
      </c>
      <c r="R951" s="2">
        <v>1.0000050000287824E-5</v>
      </c>
    </row>
    <row r="952" spans="1:18" x14ac:dyDescent="0.3">
      <c r="A952" s="7">
        <v>220</v>
      </c>
      <c r="B952" s="7">
        <v>99</v>
      </c>
      <c r="C952" s="7">
        <v>1</v>
      </c>
      <c r="D952" s="7">
        <v>1</v>
      </c>
      <c r="E952" s="20" t="str">
        <f t="shared" si="14"/>
        <v>11</v>
      </c>
      <c r="F952" s="21">
        <v>0.91077127292599502</v>
      </c>
      <c r="G952" s="4">
        <v>0.66</v>
      </c>
      <c r="H952" s="4">
        <v>1</v>
      </c>
      <c r="I952" s="4">
        <v>0.89600000000000002</v>
      </c>
      <c r="J952" s="4">
        <v>1</v>
      </c>
      <c r="K952" s="5">
        <v>100</v>
      </c>
      <c r="L952" s="5">
        <v>100</v>
      </c>
      <c r="M952" s="5">
        <v>100</v>
      </c>
      <c r="N952" s="5">
        <v>100</v>
      </c>
      <c r="O952" s="2">
        <v>0.41551544396166579</v>
      </c>
      <c r="P952" s="2">
        <v>1.0000050000287824E-5</v>
      </c>
      <c r="Q952" s="2">
        <v>0.10981486600720657</v>
      </c>
      <c r="R952" s="2">
        <v>1.0000050000287824E-5</v>
      </c>
    </row>
    <row r="953" spans="1:18" x14ac:dyDescent="0.3">
      <c r="A953" s="7">
        <v>35</v>
      </c>
      <c r="B953" s="7">
        <v>90</v>
      </c>
      <c r="C953" s="7">
        <v>1</v>
      </c>
      <c r="D953" s="7">
        <v>1</v>
      </c>
      <c r="E953" s="20" t="str">
        <f t="shared" si="14"/>
        <v>11</v>
      </c>
      <c r="F953" s="21">
        <v>0.912894949870658</v>
      </c>
      <c r="G953" s="4">
        <v>0.53100000000000003</v>
      </c>
      <c r="H953" s="4">
        <v>1</v>
      </c>
      <c r="I953" s="4">
        <v>0.85799999999999998</v>
      </c>
      <c r="J953" s="4">
        <v>1</v>
      </c>
      <c r="K953" s="5">
        <v>100</v>
      </c>
      <c r="L953" s="5">
        <v>100</v>
      </c>
      <c r="M953" s="5">
        <v>100</v>
      </c>
      <c r="N953" s="5">
        <v>100</v>
      </c>
      <c r="O953" s="2">
        <v>0.63299325774019821</v>
      </c>
      <c r="P953" s="2">
        <v>1.0000050000287824E-5</v>
      </c>
      <c r="Q953" s="2">
        <v>0.15315117949417478</v>
      </c>
      <c r="R953" s="2">
        <v>1.0000050000287824E-5</v>
      </c>
    </row>
    <row r="954" spans="1:18" x14ac:dyDescent="0.3">
      <c r="A954" s="7">
        <v>793</v>
      </c>
      <c r="B954" s="7">
        <v>97</v>
      </c>
      <c r="C954" s="7">
        <v>1</v>
      </c>
      <c r="D954" s="7">
        <v>1</v>
      </c>
      <c r="E954" s="20" t="str">
        <f t="shared" si="14"/>
        <v>11</v>
      </c>
      <c r="F954" s="21">
        <v>0.92776709890664499</v>
      </c>
      <c r="G954" s="4">
        <v>0.63800000000000001</v>
      </c>
      <c r="H954" s="4">
        <v>1</v>
      </c>
      <c r="I954" s="4">
        <v>0.94399999999999995</v>
      </c>
      <c r="J954" s="4">
        <v>1</v>
      </c>
      <c r="K954" s="5">
        <v>100</v>
      </c>
      <c r="L954" s="5">
        <v>100</v>
      </c>
      <c r="M954" s="5">
        <v>100</v>
      </c>
      <c r="N954" s="5">
        <v>100</v>
      </c>
      <c r="O954" s="2">
        <v>0.44941699563734716</v>
      </c>
      <c r="P954" s="2">
        <v>1.0000050000287824E-5</v>
      </c>
      <c r="Q954" s="2">
        <v>5.7629112836636416E-2</v>
      </c>
      <c r="R954" s="2">
        <v>1.0000050000287824E-5</v>
      </c>
    </row>
    <row r="955" spans="1:18" x14ac:dyDescent="0.3">
      <c r="A955" s="7">
        <v>880</v>
      </c>
      <c r="B955" s="7">
        <v>118</v>
      </c>
      <c r="C955" s="7">
        <v>1</v>
      </c>
      <c r="D955" s="7">
        <v>1</v>
      </c>
      <c r="E955" s="20" t="str">
        <f t="shared" si="14"/>
        <v>11</v>
      </c>
      <c r="F955" s="21">
        <v>0.92890509990693904</v>
      </c>
      <c r="G955" s="4">
        <v>0.55100000000000005</v>
      </c>
      <c r="H955" s="4">
        <v>1</v>
      </c>
      <c r="I955" s="4">
        <v>0.90800000000000003</v>
      </c>
      <c r="J955" s="4">
        <v>1</v>
      </c>
      <c r="K955" s="5">
        <v>100</v>
      </c>
      <c r="L955" s="5">
        <v>100</v>
      </c>
      <c r="M955" s="5">
        <v>100</v>
      </c>
      <c r="N955" s="5">
        <v>100</v>
      </c>
      <c r="O955" s="2">
        <v>0.59602046982922252</v>
      </c>
      <c r="P955" s="2">
        <v>1.0000050000287824E-5</v>
      </c>
      <c r="Q955" s="2">
        <v>9.6510900380843728E-2</v>
      </c>
      <c r="R955" s="2">
        <v>1.0000050000287824E-5</v>
      </c>
    </row>
    <row r="956" spans="1:18" x14ac:dyDescent="0.3">
      <c r="A956" s="7">
        <v>92</v>
      </c>
      <c r="B956" s="7">
        <v>89</v>
      </c>
      <c r="C956" s="7">
        <v>1</v>
      </c>
      <c r="D956" s="7">
        <v>1</v>
      </c>
      <c r="E956" s="20" t="str">
        <f t="shared" si="14"/>
        <v>11</v>
      </c>
      <c r="F956" s="21">
        <v>0.939232984931193</v>
      </c>
      <c r="G956" s="4">
        <v>0.55700000000000005</v>
      </c>
      <c r="H956" s="4">
        <v>1</v>
      </c>
      <c r="I956" s="4">
        <v>0.95599999999999996</v>
      </c>
      <c r="J956" s="4">
        <v>1</v>
      </c>
      <c r="K956" s="5">
        <v>100</v>
      </c>
      <c r="L956" s="5">
        <v>100</v>
      </c>
      <c r="M956" s="5">
        <v>100</v>
      </c>
      <c r="N956" s="5">
        <v>100</v>
      </c>
      <c r="O956" s="2">
        <v>0.5851900390548529</v>
      </c>
      <c r="P956" s="2">
        <v>1.0000050000287824E-5</v>
      </c>
      <c r="Q956" s="2">
        <v>4.4997365930735805E-2</v>
      </c>
      <c r="R956" s="2">
        <v>1.0000050000287824E-5</v>
      </c>
    </row>
    <row r="957" spans="1:18" x14ac:dyDescent="0.3">
      <c r="A957" s="7">
        <v>535</v>
      </c>
      <c r="B957" s="7">
        <v>84</v>
      </c>
      <c r="C957" s="7">
        <v>1</v>
      </c>
      <c r="D957" s="7">
        <v>1</v>
      </c>
      <c r="E957" s="20" t="str">
        <f t="shared" si="14"/>
        <v>11</v>
      </c>
      <c r="F957" s="21">
        <v>0.94010335684518198</v>
      </c>
      <c r="G957" s="4">
        <v>0.52500000000000002</v>
      </c>
      <c r="H957" s="4">
        <v>1</v>
      </c>
      <c r="I957" s="4">
        <v>0.65700000000000003</v>
      </c>
      <c r="J957" s="4">
        <v>1</v>
      </c>
      <c r="K957" s="5">
        <v>100</v>
      </c>
      <c r="L957" s="5">
        <v>100</v>
      </c>
      <c r="M957" s="5">
        <v>100</v>
      </c>
      <c r="N957" s="5">
        <v>100</v>
      </c>
      <c r="O957" s="2">
        <v>0.64435701639051324</v>
      </c>
      <c r="P957" s="2">
        <v>1.0000050000287824E-5</v>
      </c>
      <c r="Q957" s="2">
        <v>0.42007126049752652</v>
      </c>
      <c r="R957" s="2">
        <v>1.0000050000287824E-5</v>
      </c>
    </row>
    <row r="958" spans="1:18" x14ac:dyDescent="0.3">
      <c r="A958" s="7">
        <v>771</v>
      </c>
      <c r="B958" s="7">
        <v>98</v>
      </c>
      <c r="C958" s="7">
        <v>1</v>
      </c>
      <c r="D958" s="7">
        <v>1</v>
      </c>
      <c r="E958" s="20" t="str">
        <f t="shared" si="14"/>
        <v>11</v>
      </c>
      <c r="F958" s="21">
        <v>0.98611598377640197</v>
      </c>
      <c r="G958" s="4">
        <v>0.53400000000000003</v>
      </c>
      <c r="H958" s="4">
        <v>0.99038461538461497</v>
      </c>
      <c r="I958" s="4">
        <v>0.61799999999999999</v>
      </c>
      <c r="J958" s="4">
        <v>0.98299999999999998</v>
      </c>
      <c r="K958" s="5">
        <v>100</v>
      </c>
      <c r="L958" s="5">
        <v>100</v>
      </c>
      <c r="M958" s="5">
        <v>100</v>
      </c>
      <c r="N958" s="5">
        <v>100</v>
      </c>
      <c r="O958" s="2">
        <v>0.62735944002194211</v>
      </c>
      <c r="P958" s="2">
        <v>9.6619109117373082E-3</v>
      </c>
      <c r="Q958" s="2">
        <v>0.48126682152444628</v>
      </c>
      <c r="R958" s="2">
        <v>1.7146158834970514E-2</v>
      </c>
    </row>
    <row r="959" spans="1:18" x14ac:dyDescent="0.3">
      <c r="A959" s="7">
        <v>737</v>
      </c>
      <c r="B959" s="7">
        <v>97</v>
      </c>
      <c r="C959" s="7">
        <v>1</v>
      </c>
      <c r="D959" s="7">
        <v>1</v>
      </c>
      <c r="E959" s="20" t="str">
        <f t="shared" si="14"/>
        <v>11</v>
      </c>
      <c r="F959" s="21">
        <v>0.98629149364369595</v>
      </c>
      <c r="G959" s="4">
        <v>0.61899999999999999</v>
      </c>
      <c r="H959" s="4">
        <v>0.99319727891156495</v>
      </c>
      <c r="I959" s="4">
        <v>0.64600000000000002</v>
      </c>
      <c r="J959" s="4">
        <v>0.99299999999999999</v>
      </c>
      <c r="K959" s="5">
        <v>100</v>
      </c>
      <c r="L959" s="5">
        <v>100</v>
      </c>
      <c r="M959" s="5">
        <v>100</v>
      </c>
      <c r="N959" s="5">
        <v>100</v>
      </c>
      <c r="O959" s="2">
        <v>0.47965000629754095</v>
      </c>
      <c r="P959" s="2">
        <v>6.825965070399535E-3</v>
      </c>
      <c r="Q959" s="2">
        <v>0.43695577519953516</v>
      </c>
      <c r="R959" s="2">
        <v>7.0246149369644663E-3</v>
      </c>
    </row>
    <row r="960" spans="1:18" x14ac:dyDescent="0.3">
      <c r="A960" s="7">
        <v>453</v>
      </c>
      <c r="B960" s="7">
        <v>75</v>
      </c>
      <c r="C960" s="7">
        <v>1</v>
      </c>
      <c r="D960" s="7">
        <v>1</v>
      </c>
      <c r="E960" s="20" t="str">
        <f t="shared" si="14"/>
        <v>11</v>
      </c>
      <c r="F960" s="21">
        <v>1.0951232877080199</v>
      </c>
      <c r="G960" s="4">
        <v>0.497</v>
      </c>
      <c r="H960" s="4">
        <v>1</v>
      </c>
      <c r="I960" s="4">
        <v>0.72099999999999997</v>
      </c>
      <c r="J960" s="4">
        <v>1</v>
      </c>
      <c r="K960" s="5">
        <v>0</v>
      </c>
      <c r="L960" s="5">
        <v>100</v>
      </c>
      <c r="M960" s="5">
        <v>100</v>
      </c>
      <c r="N960" s="5">
        <v>100</v>
      </c>
      <c r="O960" s="2">
        <v>0.69916525288550835</v>
      </c>
      <c r="P960" s="2">
        <v>1.0000050000287824E-5</v>
      </c>
      <c r="Q960" s="2">
        <v>0.327116141697188</v>
      </c>
      <c r="R960" s="2">
        <v>1.0000050000287824E-5</v>
      </c>
    </row>
    <row r="961" spans="1:18" x14ac:dyDescent="0.3">
      <c r="A961" s="7">
        <v>777</v>
      </c>
      <c r="B961" s="7">
        <v>74</v>
      </c>
      <c r="C961" s="7">
        <v>1</v>
      </c>
      <c r="D961" s="7">
        <v>1</v>
      </c>
      <c r="E961" s="20" t="str">
        <f t="shared" si="14"/>
        <v>11</v>
      </c>
      <c r="F961" s="21">
        <v>1.1363756263025599</v>
      </c>
      <c r="G961" s="4">
        <v>0.66800000000000004</v>
      </c>
      <c r="H961" s="4">
        <v>1</v>
      </c>
      <c r="I961" s="4">
        <v>0.92800000000000005</v>
      </c>
      <c r="J961" s="4">
        <v>1</v>
      </c>
      <c r="K961" s="5">
        <v>100</v>
      </c>
      <c r="L961" s="5">
        <v>100</v>
      </c>
      <c r="M961" s="5">
        <v>100</v>
      </c>
      <c r="N961" s="5">
        <v>100</v>
      </c>
      <c r="O961" s="2">
        <v>0.40346710544549125</v>
      </c>
      <c r="P961" s="2">
        <v>1.0000050000287824E-5</v>
      </c>
      <c r="Q961" s="2">
        <v>7.4723546195936422E-2</v>
      </c>
      <c r="R961" s="2">
        <v>1.0000050000287824E-5</v>
      </c>
    </row>
    <row r="962" spans="1:18" x14ac:dyDescent="0.3">
      <c r="A962" s="7">
        <v>261</v>
      </c>
      <c r="B962" s="7">
        <v>75</v>
      </c>
      <c r="C962" s="7">
        <v>1</v>
      </c>
      <c r="D962" s="7">
        <v>1</v>
      </c>
      <c r="E962" s="20" t="str">
        <f t="shared" ref="E962:E1025" si="15">_xlfn.CONCAT(C962,D962)</f>
        <v>11</v>
      </c>
      <c r="F962" s="21">
        <v>1.13983951108849</v>
      </c>
      <c r="G962" s="4">
        <v>0.81799999999999995</v>
      </c>
      <c r="H962" s="4">
        <v>0.97931034482758605</v>
      </c>
      <c r="I962" s="4">
        <v>0.94699999999999995</v>
      </c>
      <c r="J962" s="4">
        <v>1</v>
      </c>
      <c r="K962" s="5">
        <v>100</v>
      </c>
      <c r="L962" s="5">
        <v>100</v>
      </c>
      <c r="M962" s="5">
        <v>100</v>
      </c>
      <c r="N962" s="5">
        <v>100</v>
      </c>
      <c r="O962" s="2">
        <v>0.20089294237939007</v>
      </c>
      <c r="P962" s="2">
        <v>2.0906684819313827E-2</v>
      </c>
      <c r="Q962" s="2">
        <v>5.4456185796058855E-2</v>
      </c>
      <c r="R962" s="2">
        <v>1.0000050000287824E-5</v>
      </c>
    </row>
    <row r="963" spans="1:18" x14ac:dyDescent="0.3">
      <c r="A963" s="7">
        <v>686</v>
      </c>
      <c r="B963" s="7">
        <v>69</v>
      </c>
      <c r="C963" s="7">
        <v>1</v>
      </c>
      <c r="D963" s="7">
        <v>1</v>
      </c>
      <c r="E963" s="20" t="str">
        <f t="shared" si="15"/>
        <v>11</v>
      </c>
      <c r="F963" s="21">
        <v>1.18306771599782</v>
      </c>
      <c r="G963" s="4">
        <v>0.51600000000000001</v>
      </c>
      <c r="H963" s="4">
        <v>1</v>
      </c>
      <c r="I963" s="4">
        <v>0.84899999999999998</v>
      </c>
      <c r="J963" s="4">
        <v>0.999</v>
      </c>
      <c r="K963" s="5">
        <v>100</v>
      </c>
      <c r="L963" s="5">
        <v>100</v>
      </c>
      <c r="M963" s="5">
        <v>100</v>
      </c>
      <c r="N963" s="5">
        <v>100</v>
      </c>
      <c r="O963" s="2">
        <v>0.6616485135005743</v>
      </c>
      <c r="P963" s="2">
        <v>1.0000050000287824E-5</v>
      </c>
      <c r="Q963" s="2">
        <v>0.16369609267078977</v>
      </c>
      <c r="R963" s="2">
        <v>1.0005003335835344E-3</v>
      </c>
    </row>
    <row r="964" spans="1:18" x14ac:dyDescent="0.3">
      <c r="A964" s="7">
        <v>980</v>
      </c>
      <c r="B964" s="7">
        <v>67</v>
      </c>
      <c r="C964" s="7">
        <v>1</v>
      </c>
      <c r="D964" s="7">
        <v>1</v>
      </c>
      <c r="E964" s="20" t="str">
        <f t="shared" si="15"/>
        <v>11</v>
      </c>
      <c r="F964" s="21">
        <v>1.2086123524044401</v>
      </c>
      <c r="G964" s="4">
        <v>0.51700000000000002</v>
      </c>
      <c r="H964" s="4">
        <v>0.88549618320610701</v>
      </c>
      <c r="I964" s="4">
        <v>0.91800000000000004</v>
      </c>
      <c r="J964" s="4">
        <v>1</v>
      </c>
      <c r="K964" s="5">
        <v>100</v>
      </c>
      <c r="L964" s="5">
        <v>100</v>
      </c>
      <c r="M964" s="5">
        <v>100</v>
      </c>
      <c r="N964" s="5">
        <v>100</v>
      </c>
      <c r="O964" s="2">
        <v>0.65971240447370794</v>
      </c>
      <c r="P964" s="2">
        <v>0.12160713209478674</v>
      </c>
      <c r="Q964" s="2">
        <v>8.5557888361646545E-2</v>
      </c>
      <c r="R964" s="2">
        <v>1.0000050000287824E-5</v>
      </c>
    </row>
    <row r="965" spans="1:18" x14ac:dyDescent="0.3">
      <c r="A965" s="7">
        <v>58</v>
      </c>
      <c r="B965" s="7">
        <v>224</v>
      </c>
      <c r="C965" s="7">
        <v>1</v>
      </c>
      <c r="D965" s="7">
        <v>1</v>
      </c>
      <c r="E965" s="20" t="str">
        <f t="shared" si="15"/>
        <v>11</v>
      </c>
      <c r="F965" s="21">
        <v>1.2086452487317501</v>
      </c>
      <c r="G965" s="4">
        <v>0.54400000000000004</v>
      </c>
      <c r="H965" s="4">
        <v>0.97902097902097895</v>
      </c>
      <c r="I965" s="4">
        <v>0.91600000000000004</v>
      </c>
      <c r="J965" s="4">
        <v>0.99399999999999999</v>
      </c>
      <c r="K965" s="5">
        <v>100</v>
      </c>
      <c r="L965" s="5">
        <v>100</v>
      </c>
      <c r="M965" s="5">
        <v>100</v>
      </c>
      <c r="N965" s="5">
        <v>100</v>
      </c>
      <c r="O965" s="2">
        <v>0.60880603212619433</v>
      </c>
      <c r="P965" s="2">
        <v>2.1202207650603051E-2</v>
      </c>
      <c r="Q965" s="2">
        <v>8.7738914308006746E-2</v>
      </c>
      <c r="R965" s="2">
        <v>6.0180723255630212E-3</v>
      </c>
    </row>
    <row r="966" spans="1:18" x14ac:dyDescent="0.3">
      <c r="A966" s="7">
        <v>5</v>
      </c>
      <c r="B966" s="7">
        <v>95</v>
      </c>
      <c r="C966" s="7">
        <v>1</v>
      </c>
      <c r="D966" s="7">
        <v>1</v>
      </c>
      <c r="E966" s="20" t="str">
        <f t="shared" si="15"/>
        <v>11</v>
      </c>
      <c r="F966" s="21">
        <v>1.21261616035369</v>
      </c>
      <c r="G966" s="4">
        <v>0.628</v>
      </c>
      <c r="H966" s="4">
        <v>1</v>
      </c>
      <c r="I966" s="4">
        <v>0.86699999999999999</v>
      </c>
      <c r="J966" s="4">
        <v>1</v>
      </c>
      <c r="K966" s="5">
        <v>100</v>
      </c>
      <c r="L966" s="5">
        <v>100</v>
      </c>
      <c r="M966" s="5">
        <v>100</v>
      </c>
      <c r="N966" s="5">
        <v>100</v>
      </c>
      <c r="O966" s="2">
        <v>0.46521511251393838</v>
      </c>
      <c r="P966" s="2">
        <v>1.0000050000287824E-5</v>
      </c>
      <c r="Q966" s="2">
        <v>0.1427163022015952</v>
      </c>
      <c r="R966" s="2">
        <v>1.0000050000287824E-5</v>
      </c>
    </row>
    <row r="967" spans="1:18" x14ac:dyDescent="0.3">
      <c r="A967" s="7">
        <v>914</v>
      </c>
      <c r="B967" s="7">
        <v>226</v>
      </c>
      <c r="C967" s="7">
        <v>1</v>
      </c>
      <c r="D967" s="7">
        <v>1</v>
      </c>
      <c r="E967" s="20" t="str">
        <f t="shared" si="15"/>
        <v>11</v>
      </c>
      <c r="F967" s="21">
        <v>1.27751788842197</v>
      </c>
      <c r="G967" s="4">
        <v>0.57899999999999996</v>
      </c>
      <c r="H967" s="4">
        <v>0.98360655737704905</v>
      </c>
      <c r="I967" s="4">
        <v>0.94299999999999995</v>
      </c>
      <c r="J967" s="4">
        <v>1</v>
      </c>
      <c r="K967" s="5">
        <v>100</v>
      </c>
      <c r="L967" s="5">
        <v>100</v>
      </c>
      <c r="M967" s="5">
        <v>100</v>
      </c>
      <c r="N967" s="5">
        <v>100</v>
      </c>
      <c r="O967" s="2">
        <v>0.54645280140914188</v>
      </c>
      <c r="P967" s="2">
        <v>1.6529301951210697E-2</v>
      </c>
      <c r="Q967" s="2">
        <v>5.8688996348679613E-2</v>
      </c>
      <c r="R967" s="2">
        <v>1.0000050000287824E-5</v>
      </c>
    </row>
    <row r="968" spans="1:18" x14ac:dyDescent="0.3">
      <c r="A968" s="7">
        <v>158</v>
      </c>
      <c r="B968" s="7">
        <v>54</v>
      </c>
      <c r="C968" s="7">
        <v>1</v>
      </c>
      <c r="D968" s="7">
        <v>1</v>
      </c>
      <c r="E968" s="20" t="str">
        <f t="shared" si="15"/>
        <v>11</v>
      </c>
      <c r="F968" s="21">
        <v>1.2888347261209501</v>
      </c>
      <c r="G968" s="4">
        <v>0.47299999999999998</v>
      </c>
      <c r="H968" s="4">
        <v>1</v>
      </c>
      <c r="I968" s="4">
        <v>0.76800000000000002</v>
      </c>
      <c r="J968" s="4">
        <v>1</v>
      </c>
      <c r="K968" s="5">
        <v>0</v>
      </c>
      <c r="L968" s="5">
        <v>100</v>
      </c>
      <c r="M968" s="5">
        <v>100</v>
      </c>
      <c r="N968" s="5">
        <v>100</v>
      </c>
      <c r="O968" s="2">
        <v>0.74865989049020409</v>
      </c>
      <c r="P968" s="2">
        <v>1.0000050000287824E-5</v>
      </c>
      <c r="Q968" s="2">
        <v>0.26396554583446485</v>
      </c>
      <c r="R968" s="2">
        <v>1.0000050000287824E-5</v>
      </c>
    </row>
    <row r="969" spans="1:18" x14ac:dyDescent="0.3">
      <c r="A969" s="7">
        <v>527</v>
      </c>
      <c r="B969" s="7">
        <v>43</v>
      </c>
      <c r="C969" s="7">
        <v>1</v>
      </c>
      <c r="D969" s="7">
        <v>1</v>
      </c>
      <c r="E969" s="20" t="str">
        <f t="shared" si="15"/>
        <v>11</v>
      </c>
      <c r="F969" s="21">
        <v>1.3006526982726301</v>
      </c>
      <c r="G969" s="4">
        <v>0.51600000000000001</v>
      </c>
      <c r="H969" s="4">
        <v>1</v>
      </c>
      <c r="I969" s="4">
        <v>0.65600000000000003</v>
      </c>
      <c r="J969" s="4">
        <v>1</v>
      </c>
      <c r="K969" s="5">
        <v>100</v>
      </c>
      <c r="L969" s="5">
        <v>100</v>
      </c>
      <c r="M969" s="5">
        <v>100</v>
      </c>
      <c r="N969" s="5">
        <v>100</v>
      </c>
      <c r="O969" s="2">
        <v>0.6616485135005743</v>
      </c>
      <c r="P969" s="2">
        <v>1.0000050000287824E-5</v>
      </c>
      <c r="Q969" s="2">
        <v>0.42159449003804794</v>
      </c>
      <c r="R969" s="2">
        <v>1.0000050000287824E-5</v>
      </c>
    </row>
    <row r="970" spans="1:18" x14ac:dyDescent="0.3">
      <c r="A970" s="7">
        <v>810</v>
      </c>
      <c r="B970" s="7">
        <v>65</v>
      </c>
      <c r="C970" s="7">
        <v>1</v>
      </c>
      <c r="D970" s="7">
        <v>1</v>
      </c>
      <c r="E970" s="20" t="str">
        <f t="shared" si="15"/>
        <v>11</v>
      </c>
      <c r="F970" s="21">
        <v>1.3346074703522</v>
      </c>
      <c r="G970" s="4">
        <v>0.55200000000000005</v>
      </c>
      <c r="H970" s="4">
        <v>0.96907216494845405</v>
      </c>
      <c r="I970" s="4">
        <v>0.82499999999999996</v>
      </c>
      <c r="J970" s="4">
        <v>0.999</v>
      </c>
      <c r="K970" s="5">
        <v>100</v>
      </c>
      <c r="L970" s="5">
        <v>100</v>
      </c>
      <c r="M970" s="5">
        <v>100</v>
      </c>
      <c r="N970" s="5">
        <v>100</v>
      </c>
      <c r="O970" s="2">
        <v>0.59420723270504161</v>
      </c>
      <c r="P970" s="2">
        <v>3.141619623337847E-2</v>
      </c>
      <c r="Q970" s="2">
        <v>0.19237189264745613</v>
      </c>
      <c r="R970" s="2">
        <v>1.0005003335835344E-3</v>
      </c>
    </row>
    <row r="971" spans="1:18" x14ac:dyDescent="0.3">
      <c r="A971" s="7">
        <v>748</v>
      </c>
      <c r="B971" s="7">
        <v>43</v>
      </c>
      <c r="C971" s="7">
        <v>1</v>
      </c>
      <c r="D971" s="7">
        <v>1</v>
      </c>
      <c r="E971" s="20" t="str">
        <f t="shared" si="15"/>
        <v>11</v>
      </c>
      <c r="F971" s="21">
        <v>1.37853382891476</v>
      </c>
      <c r="G971" s="4">
        <v>0.51400000000000001</v>
      </c>
      <c r="H971" s="4">
        <v>0.980582524271845</v>
      </c>
      <c r="I971" s="4">
        <v>0.80500000000000005</v>
      </c>
      <c r="J971" s="4">
        <v>1</v>
      </c>
      <c r="K971" s="5">
        <v>100</v>
      </c>
      <c r="L971" s="5">
        <v>100</v>
      </c>
      <c r="M971" s="5">
        <v>100</v>
      </c>
      <c r="N971" s="5">
        <v>100</v>
      </c>
      <c r="O971" s="2">
        <v>0.66553201352697189</v>
      </c>
      <c r="P971" s="2">
        <v>1.9608471388375973E-2</v>
      </c>
      <c r="Q971" s="2">
        <v>0.21691300156357363</v>
      </c>
      <c r="R971" s="2">
        <v>1.0000050000287824E-5</v>
      </c>
    </row>
    <row r="972" spans="1:18" x14ac:dyDescent="0.3">
      <c r="A972" s="7">
        <v>876</v>
      </c>
      <c r="B972" s="7">
        <v>44</v>
      </c>
      <c r="C972" s="7">
        <v>1</v>
      </c>
      <c r="D972" s="7">
        <v>1</v>
      </c>
      <c r="E972" s="20" t="str">
        <f t="shared" si="15"/>
        <v>11</v>
      </c>
      <c r="F972" s="21">
        <v>1.4165339997903701</v>
      </c>
      <c r="G972" s="4">
        <v>0.73199999999999998</v>
      </c>
      <c r="H972" s="4">
        <v>0.99523809523809503</v>
      </c>
      <c r="I972" s="4">
        <v>0.90100000000000002</v>
      </c>
      <c r="J972" s="4">
        <v>1</v>
      </c>
      <c r="K972" s="5">
        <v>100</v>
      </c>
      <c r="L972" s="5">
        <v>100</v>
      </c>
      <c r="M972" s="5">
        <v>100</v>
      </c>
      <c r="N972" s="5">
        <v>100</v>
      </c>
      <c r="O972" s="2">
        <v>0.3119747650208255</v>
      </c>
      <c r="P972" s="2">
        <v>4.7732787526578828E-3</v>
      </c>
      <c r="Q972" s="2">
        <v>0.10425002137379911</v>
      </c>
      <c r="R972" s="2">
        <v>1.0000050000287824E-5</v>
      </c>
    </row>
    <row r="973" spans="1:18" x14ac:dyDescent="0.3">
      <c r="A973" s="7">
        <v>115</v>
      </c>
      <c r="B973" s="7">
        <v>35</v>
      </c>
      <c r="C973" s="7">
        <v>1</v>
      </c>
      <c r="D973" s="7">
        <v>1</v>
      </c>
      <c r="E973" s="20" t="str">
        <f t="shared" si="15"/>
        <v>11</v>
      </c>
      <c r="F973" s="21">
        <v>1.42727745926827</v>
      </c>
      <c r="G973" s="4">
        <v>0.51200000000000001</v>
      </c>
      <c r="H973" s="4">
        <v>0.99199999999999999</v>
      </c>
      <c r="I973" s="4">
        <v>0.78900000000000003</v>
      </c>
      <c r="J973" s="4">
        <v>0.98399999999999999</v>
      </c>
      <c r="K973" s="5">
        <v>100</v>
      </c>
      <c r="L973" s="5">
        <v>100</v>
      </c>
      <c r="M973" s="5">
        <v>100</v>
      </c>
      <c r="N973" s="5">
        <v>100</v>
      </c>
      <c r="O973" s="2">
        <v>0.66943065394262924</v>
      </c>
      <c r="P973" s="2">
        <v>8.0321716972642666E-3</v>
      </c>
      <c r="Q973" s="2">
        <v>0.23698895813626278</v>
      </c>
      <c r="R973" s="2">
        <v>1.6129381929883644E-2</v>
      </c>
    </row>
    <row r="974" spans="1:18" x14ac:dyDescent="0.3">
      <c r="A974" s="7">
        <v>570</v>
      </c>
      <c r="B974" s="7">
        <v>38</v>
      </c>
      <c r="C974" s="7">
        <v>1</v>
      </c>
      <c r="D974" s="7">
        <v>1</v>
      </c>
      <c r="E974" s="20" t="str">
        <f t="shared" si="15"/>
        <v>11</v>
      </c>
      <c r="F974" s="21">
        <v>1.42941267172527</v>
      </c>
      <c r="G974" s="4">
        <v>0.71</v>
      </c>
      <c r="H974" s="4">
        <v>0.97938144329896903</v>
      </c>
      <c r="I974" s="4">
        <v>0.95</v>
      </c>
      <c r="J974" s="4">
        <v>1</v>
      </c>
      <c r="K974" s="5">
        <v>100</v>
      </c>
      <c r="L974" s="5">
        <v>100</v>
      </c>
      <c r="M974" s="5">
        <v>100</v>
      </c>
      <c r="N974" s="5">
        <v>100</v>
      </c>
      <c r="O974" s="2">
        <v>0.34249030894677601</v>
      </c>
      <c r="P974" s="2">
        <v>2.0834086902842025E-2</v>
      </c>
      <c r="Q974" s="2">
        <v>5.1293294387550578E-2</v>
      </c>
      <c r="R974" s="2">
        <v>1.0000050000287824E-5</v>
      </c>
    </row>
    <row r="975" spans="1:18" x14ac:dyDescent="0.3">
      <c r="A975" s="7">
        <v>716</v>
      </c>
      <c r="B975" s="7">
        <v>43</v>
      </c>
      <c r="C975" s="7">
        <v>1</v>
      </c>
      <c r="D975" s="7">
        <v>1</v>
      </c>
      <c r="E975" s="20" t="str">
        <f t="shared" si="15"/>
        <v>11</v>
      </c>
      <c r="F975" s="21">
        <v>1.44703866020366</v>
      </c>
      <c r="G975" s="4">
        <v>0.82799999999999996</v>
      </c>
      <c r="H975" s="4">
        <v>0.99572649572649596</v>
      </c>
      <c r="I975" s="4">
        <v>0.86799999999999999</v>
      </c>
      <c r="J975" s="4">
        <v>0.98499999999999999</v>
      </c>
      <c r="K975" s="5">
        <v>100</v>
      </c>
      <c r="L975" s="5">
        <v>100</v>
      </c>
      <c r="M975" s="5">
        <v>100</v>
      </c>
      <c r="N975" s="5">
        <v>100</v>
      </c>
      <c r="O975" s="2">
        <v>0.18874212459687742</v>
      </c>
      <c r="P975" s="2">
        <v>4.2826617920006249E-3</v>
      </c>
      <c r="Q975" s="2">
        <v>0.14156356432178688</v>
      </c>
      <c r="R975" s="2">
        <v>1.5113637810048184E-2</v>
      </c>
    </row>
    <row r="976" spans="1:18" x14ac:dyDescent="0.3">
      <c r="A976" s="7">
        <v>71</v>
      </c>
      <c r="B976" s="7">
        <v>40</v>
      </c>
      <c r="C976" s="7">
        <v>1</v>
      </c>
      <c r="D976" s="7">
        <v>1</v>
      </c>
      <c r="E976" s="20" t="str">
        <f t="shared" si="15"/>
        <v>11</v>
      </c>
      <c r="F976" s="21">
        <v>1.45712700300703</v>
      </c>
      <c r="G976" s="4">
        <v>0.66800000000000004</v>
      </c>
      <c r="H976" s="4">
        <v>0.99180327868852503</v>
      </c>
      <c r="I976" s="4">
        <v>0.83299999999999996</v>
      </c>
      <c r="J976" s="4">
        <v>0.98299999999999998</v>
      </c>
      <c r="K976" s="5">
        <v>100</v>
      </c>
      <c r="L976" s="5">
        <v>100</v>
      </c>
      <c r="M976" s="5">
        <v>100</v>
      </c>
      <c r="N976" s="5">
        <v>100</v>
      </c>
      <c r="O976" s="2">
        <v>0.40346710544549125</v>
      </c>
      <c r="P976" s="2">
        <v>8.2304991365150307E-3</v>
      </c>
      <c r="Q976" s="2">
        <v>0.18272163681529441</v>
      </c>
      <c r="R976" s="2">
        <v>1.7146158834970514E-2</v>
      </c>
    </row>
    <row r="977" spans="1:18" x14ac:dyDescent="0.3">
      <c r="A977" s="7">
        <v>235</v>
      </c>
      <c r="B977" s="7">
        <v>32</v>
      </c>
      <c r="C977" s="7">
        <v>1</v>
      </c>
      <c r="D977" s="7">
        <v>1</v>
      </c>
      <c r="E977" s="20" t="str">
        <f t="shared" si="15"/>
        <v>11</v>
      </c>
      <c r="F977" s="21">
        <v>1.5062397519495201</v>
      </c>
      <c r="G977" s="4">
        <v>0.78400000000000003</v>
      </c>
      <c r="H977" s="4">
        <v>1</v>
      </c>
      <c r="I977" s="4">
        <v>0.88700000000000001</v>
      </c>
      <c r="J977" s="4">
        <v>1</v>
      </c>
      <c r="K977" s="5">
        <v>100</v>
      </c>
      <c r="L977" s="5">
        <v>100</v>
      </c>
      <c r="M977" s="5">
        <v>100</v>
      </c>
      <c r="N977" s="5">
        <v>100</v>
      </c>
      <c r="O977" s="2">
        <v>0.24334625863172918</v>
      </c>
      <c r="P977" s="2">
        <v>1.0000050000287824E-5</v>
      </c>
      <c r="Q977" s="2">
        <v>0.11991029667255755</v>
      </c>
      <c r="R977" s="2">
        <v>1.0000050000287824E-5</v>
      </c>
    </row>
    <row r="978" spans="1:18" x14ac:dyDescent="0.3">
      <c r="A978" s="7">
        <v>946</v>
      </c>
      <c r="B978" s="7">
        <v>45</v>
      </c>
      <c r="C978" s="7">
        <v>1</v>
      </c>
      <c r="D978" s="7">
        <v>1</v>
      </c>
      <c r="E978" s="20" t="str">
        <f t="shared" si="15"/>
        <v>11</v>
      </c>
      <c r="F978" s="21">
        <v>1.5164392335687</v>
      </c>
      <c r="G978" s="4">
        <v>0.63700000000000001</v>
      </c>
      <c r="H978" s="4">
        <v>1</v>
      </c>
      <c r="I978" s="4">
        <v>0.88300000000000001</v>
      </c>
      <c r="J978" s="4">
        <v>1</v>
      </c>
      <c r="K978" s="5">
        <v>100</v>
      </c>
      <c r="L978" s="5">
        <v>100</v>
      </c>
      <c r="M978" s="5">
        <v>100</v>
      </c>
      <c r="N978" s="5">
        <v>100</v>
      </c>
      <c r="O978" s="2">
        <v>0.45098562340997367</v>
      </c>
      <c r="P978" s="2">
        <v>1.0000050000287824E-5</v>
      </c>
      <c r="Q978" s="2">
        <v>0.12443007837817703</v>
      </c>
      <c r="R978" s="2">
        <v>1.0000050000287824E-5</v>
      </c>
    </row>
    <row r="979" spans="1:18" x14ac:dyDescent="0.3">
      <c r="A979" s="7">
        <v>341</v>
      </c>
      <c r="B979" s="7">
        <v>37</v>
      </c>
      <c r="C979" s="7">
        <v>1</v>
      </c>
      <c r="D979" s="7">
        <v>1</v>
      </c>
      <c r="E979" s="20" t="str">
        <f t="shared" si="15"/>
        <v>11</v>
      </c>
      <c r="F979" s="21">
        <v>1.5424160833632301</v>
      </c>
      <c r="G979" s="4">
        <v>0.70699999999999996</v>
      </c>
      <c r="H979" s="4">
        <v>1</v>
      </c>
      <c r="I979" s="4">
        <v>0.21</v>
      </c>
      <c r="J979" s="4">
        <v>1</v>
      </c>
      <c r="K979" s="5">
        <v>100</v>
      </c>
      <c r="L979" s="5">
        <v>100</v>
      </c>
      <c r="M979" s="5">
        <v>0</v>
      </c>
      <c r="N979" s="5">
        <v>100</v>
      </c>
      <c r="O979" s="2">
        <v>0.34672461308556435</v>
      </c>
      <c r="P979" s="2">
        <v>1.0000050000287824E-5</v>
      </c>
      <c r="Q979" s="2">
        <v>1.5606477482646683</v>
      </c>
      <c r="R979" s="2">
        <v>1.0000050000287824E-5</v>
      </c>
    </row>
    <row r="980" spans="1:18" x14ac:dyDescent="0.3">
      <c r="A980" s="7">
        <v>345</v>
      </c>
      <c r="B980" s="7">
        <v>37</v>
      </c>
      <c r="C980" s="7">
        <v>1</v>
      </c>
      <c r="D980" s="7">
        <v>1</v>
      </c>
      <c r="E980" s="20" t="str">
        <f t="shared" si="15"/>
        <v>11</v>
      </c>
      <c r="F980" s="21">
        <v>1.5690410916850599</v>
      </c>
      <c r="G980" s="4">
        <v>0.46400000000000002</v>
      </c>
      <c r="H980" s="4">
        <v>0.98765432098765404</v>
      </c>
      <c r="I980" s="4">
        <v>0.78100000000000003</v>
      </c>
      <c r="J980" s="4">
        <v>0.996</v>
      </c>
      <c r="K980" s="5">
        <v>0</v>
      </c>
      <c r="L980" s="5">
        <v>100</v>
      </c>
      <c r="M980" s="5">
        <v>100</v>
      </c>
      <c r="N980" s="5">
        <v>100</v>
      </c>
      <c r="O980" s="2">
        <v>0.76787072675588175</v>
      </c>
      <c r="P980" s="2">
        <v>1.2422519998557433E-2</v>
      </c>
      <c r="Q980" s="2">
        <v>0.24718012914245105</v>
      </c>
      <c r="R980" s="2">
        <v>4.0080213975388218E-3</v>
      </c>
    </row>
    <row r="981" spans="1:18" x14ac:dyDescent="0.3">
      <c r="A981" s="7">
        <v>219</v>
      </c>
      <c r="B981" s="7">
        <v>33</v>
      </c>
      <c r="C981" s="7">
        <v>1</v>
      </c>
      <c r="D981" s="7">
        <v>1</v>
      </c>
      <c r="E981" s="20" t="str">
        <f t="shared" si="15"/>
        <v>11</v>
      </c>
      <c r="F981" s="21">
        <v>1.59199934237013</v>
      </c>
      <c r="G981" s="4">
        <v>0.51200000000000001</v>
      </c>
      <c r="H981" s="4">
        <v>0.98795180722891596</v>
      </c>
      <c r="I981" s="4">
        <v>0.214</v>
      </c>
      <c r="J981" s="4">
        <v>0.98099999999999998</v>
      </c>
      <c r="K981" s="5">
        <v>100</v>
      </c>
      <c r="L981" s="5">
        <v>100</v>
      </c>
      <c r="M981" s="5">
        <v>0</v>
      </c>
      <c r="N981" s="5">
        <v>100</v>
      </c>
      <c r="O981" s="2">
        <v>0.66943065394262924</v>
      </c>
      <c r="P981" s="2">
        <v>1.2121360532344512E-2</v>
      </c>
      <c r="Q981" s="2">
        <v>1.5417792639602856</v>
      </c>
      <c r="R981" s="2">
        <v>1.9182819416773987E-2</v>
      </c>
    </row>
    <row r="982" spans="1:18" x14ac:dyDescent="0.3">
      <c r="A982" s="7">
        <v>324</v>
      </c>
      <c r="B982" s="7">
        <v>28</v>
      </c>
      <c r="C982" s="7">
        <v>1</v>
      </c>
      <c r="D982" s="7">
        <v>1</v>
      </c>
      <c r="E982" s="20" t="str">
        <f t="shared" si="15"/>
        <v>11</v>
      </c>
      <c r="F982" s="21">
        <v>1.66011420751655</v>
      </c>
      <c r="G982" s="4">
        <v>0.69199999999999995</v>
      </c>
      <c r="H982" s="4">
        <v>1</v>
      </c>
      <c r="I982" s="4">
        <v>0.91400000000000003</v>
      </c>
      <c r="J982" s="4">
        <v>1</v>
      </c>
      <c r="K982" s="5">
        <v>100</v>
      </c>
      <c r="L982" s="5">
        <v>100</v>
      </c>
      <c r="M982" s="5">
        <v>100</v>
      </c>
      <c r="N982" s="5">
        <v>100</v>
      </c>
      <c r="O982" s="2">
        <v>0.36816932336446756</v>
      </c>
      <c r="P982" s="2">
        <v>1.0000050000287824E-5</v>
      </c>
      <c r="Q982" s="2">
        <v>8.9924707527987008E-2</v>
      </c>
      <c r="R982" s="2">
        <v>1.0000050000287824E-5</v>
      </c>
    </row>
    <row r="983" spans="1:18" x14ac:dyDescent="0.3">
      <c r="A983" s="7">
        <v>326</v>
      </c>
      <c r="B983" s="7">
        <v>29</v>
      </c>
      <c r="C983" s="7">
        <v>1</v>
      </c>
      <c r="D983" s="7">
        <v>1</v>
      </c>
      <c r="E983" s="20" t="str">
        <f t="shared" si="15"/>
        <v>11</v>
      </c>
      <c r="F983" s="21">
        <v>1.7230638734310799</v>
      </c>
      <c r="G983" s="4">
        <v>0.63200000000000001</v>
      </c>
      <c r="H983" s="4">
        <v>0.99173553719008301</v>
      </c>
      <c r="I983" s="4">
        <v>0.85399999999999998</v>
      </c>
      <c r="J983" s="4">
        <v>0.997</v>
      </c>
      <c r="K983" s="5">
        <v>100</v>
      </c>
      <c r="L983" s="5">
        <v>100</v>
      </c>
      <c r="M983" s="5">
        <v>100</v>
      </c>
      <c r="N983" s="5">
        <v>100</v>
      </c>
      <c r="O983" s="2">
        <v>0.45886588483527962</v>
      </c>
      <c r="P983" s="2">
        <v>8.298802814694731E-3</v>
      </c>
      <c r="Q983" s="2">
        <v>0.15782408519356722</v>
      </c>
      <c r="R983" s="2">
        <v>3.0045090202987243E-3</v>
      </c>
    </row>
    <row r="984" spans="1:18" x14ac:dyDescent="0.3">
      <c r="A984" s="7">
        <v>963</v>
      </c>
      <c r="B984" s="7">
        <v>52</v>
      </c>
      <c r="C984" s="7">
        <v>1</v>
      </c>
      <c r="D984" s="7">
        <v>1</v>
      </c>
      <c r="E984" s="20" t="str">
        <f t="shared" si="15"/>
        <v>11</v>
      </c>
      <c r="F984" s="21">
        <v>1.73781170230596</v>
      </c>
      <c r="G984" s="4">
        <v>0.502</v>
      </c>
      <c r="H984" s="4">
        <v>0.97560975609756095</v>
      </c>
      <c r="I984" s="4">
        <v>0.78700000000000003</v>
      </c>
      <c r="J984" s="4">
        <v>0.97299999999999998</v>
      </c>
      <c r="K984" s="5">
        <v>100</v>
      </c>
      <c r="L984" s="5">
        <v>100</v>
      </c>
      <c r="M984" s="5">
        <v>100</v>
      </c>
      <c r="N984" s="5">
        <v>100</v>
      </c>
      <c r="O984" s="2">
        <v>0.68915515929040783</v>
      </c>
      <c r="P984" s="2">
        <v>2.4692612590371522E-2</v>
      </c>
      <c r="Q984" s="2">
        <v>0.23952703056473379</v>
      </c>
      <c r="R984" s="2">
        <v>2.7371196796132015E-2</v>
      </c>
    </row>
    <row r="985" spans="1:18" x14ac:dyDescent="0.3">
      <c r="A985" s="7">
        <v>424</v>
      </c>
      <c r="B985" s="7">
        <v>15</v>
      </c>
      <c r="C985" s="7">
        <v>1</v>
      </c>
      <c r="D985" s="7">
        <v>1</v>
      </c>
      <c r="E985" s="20" t="str">
        <f t="shared" si="15"/>
        <v>11</v>
      </c>
      <c r="F985" s="21">
        <v>1.8165189390582599</v>
      </c>
      <c r="G985" s="4">
        <v>0.67100000000000004</v>
      </c>
      <c r="H985" s="4">
        <v>1</v>
      </c>
      <c r="I985" s="4">
        <v>0.83799999999999997</v>
      </c>
      <c r="J985" s="4">
        <v>1</v>
      </c>
      <c r="K985" s="5">
        <v>100</v>
      </c>
      <c r="L985" s="5">
        <v>100</v>
      </c>
      <c r="M985" s="5">
        <v>100</v>
      </c>
      <c r="N985" s="5">
        <v>100</v>
      </c>
      <c r="O985" s="2">
        <v>0.39898614201045518</v>
      </c>
      <c r="P985" s="2">
        <v>1.0000050000287824E-5</v>
      </c>
      <c r="Q985" s="2">
        <v>0.17673717850005405</v>
      </c>
      <c r="R985" s="2">
        <v>1.0000050000287824E-5</v>
      </c>
    </row>
    <row r="986" spans="1:18" x14ac:dyDescent="0.3">
      <c r="A986" s="7">
        <v>744</v>
      </c>
      <c r="B986" s="7">
        <v>16</v>
      </c>
      <c r="C986" s="7">
        <v>1</v>
      </c>
      <c r="D986" s="7">
        <v>1</v>
      </c>
      <c r="E986" s="20" t="str">
        <f t="shared" si="15"/>
        <v>11</v>
      </c>
      <c r="F986" s="21">
        <v>1.8293463740646601</v>
      </c>
      <c r="G986" s="4">
        <v>0.65300000000000002</v>
      </c>
      <c r="H986" s="4">
        <v>1</v>
      </c>
      <c r="I986" s="4">
        <v>0.86399999999999999</v>
      </c>
      <c r="J986" s="4">
        <v>1</v>
      </c>
      <c r="K986" s="5">
        <v>100</v>
      </c>
      <c r="L986" s="5">
        <v>100</v>
      </c>
      <c r="M986" s="5">
        <v>100</v>
      </c>
      <c r="N986" s="5">
        <v>100</v>
      </c>
      <c r="O986" s="2">
        <v>0.42617814970570594</v>
      </c>
      <c r="P986" s="2">
        <v>1.0000050000287824E-5</v>
      </c>
      <c r="Q986" s="2">
        <v>0.14618251017808145</v>
      </c>
      <c r="R986" s="2">
        <v>1.0000050000287824E-5</v>
      </c>
    </row>
    <row r="987" spans="1:18" x14ac:dyDescent="0.3">
      <c r="A987" s="7">
        <v>460</v>
      </c>
      <c r="B987" s="7">
        <v>15</v>
      </c>
      <c r="C987" s="7">
        <v>1</v>
      </c>
      <c r="D987" s="7">
        <v>1</v>
      </c>
      <c r="E987" s="20" t="str">
        <f t="shared" si="15"/>
        <v>11</v>
      </c>
      <c r="F987" s="21">
        <v>1.84117115023815</v>
      </c>
      <c r="G987" s="4">
        <v>0.54600000000000004</v>
      </c>
      <c r="H987" s="4">
        <v>1</v>
      </c>
      <c r="I987" s="4">
        <v>0.67700000000000005</v>
      </c>
      <c r="J987" s="4">
        <v>1</v>
      </c>
      <c r="K987" s="5">
        <v>100</v>
      </c>
      <c r="L987" s="5">
        <v>100</v>
      </c>
      <c r="M987" s="5">
        <v>100</v>
      </c>
      <c r="N987" s="5">
        <v>100</v>
      </c>
      <c r="O987" s="2">
        <v>0.60513630323723189</v>
      </c>
      <c r="P987" s="2">
        <v>1.0000050000287824E-5</v>
      </c>
      <c r="Q987" s="2">
        <v>0.39008400606986199</v>
      </c>
      <c r="R987" s="2">
        <v>1.0000050000287824E-5</v>
      </c>
    </row>
    <row r="988" spans="1:18" x14ac:dyDescent="0.3">
      <c r="A988" s="7">
        <v>127</v>
      </c>
      <c r="B988" s="7">
        <v>24</v>
      </c>
      <c r="C988" s="7">
        <v>1</v>
      </c>
      <c r="D988" s="7">
        <v>1</v>
      </c>
      <c r="E988" s="20" t="str">
        <f t="shared" si="15"/>
        <v>11</v>
      </c>
      <c r="F988" s="21">
        <v>1.85239930271205</v>
      </c>
      <c r="G988" s="4">
        <v>0.47299999999999998</v>
      </c>
      <c r="H988" s="4">
        <v>1</v>
      </c>
      <c r="I988" s="4">
        <v>0.48299999999999998</v>
      </c>
      <c r="J988" s="4">
        <v>1</v>
      </c>
      <c r="K988" s="5">
        <v>0</v>
      </c>
      <c r="L988" s="5">
        <v>100</v>
      </c>
      <c r="M988" s="5">
        <v>0</v>
      </c>
      <c r="N988" s="5">
        <v>100</v>
      </c>
      <c r="O988" s="2">
        <v>0.74865989049020409</v>
      </c>
      <c r="P988" s="2">
        <v>1.0000050000287824E-5</v>
      </c>
      <c r="Q988" s="2">
        <v>0.72773862532956435</v>
      </c>
      <c r="R988" s="2">
        <v>1.0000050000287824E-5</v>
      </c>
    </row>
    <row r="989" spans="1:18" x14ac:dyDescent="0.3">
      <c r="A989" s="7">
        <v>404</v>
      </c>
      <c r="B989" s="7">
        <v>18</v>
      </c>
      <c r="C989" s="7">
        <v>1</v>
      </c>
      <c r="D989" s="7">
        <v>1</v>
      </c>
      <c r="E989" s="20" t="str">
        <f t="shared" si="15"/>
        <v>11</v>
      </c>
      <c r="F989" s="21">
        <v>1.86694770521374</v>
      </c>
      <c r="G989" s="4">
        <v>0.47599999999999998</v>
      </c>
      <c r="H989" s="4">
        <v>1</v>
      </c>
      <c r="I989" s="4">
        <v>0.747</v>
      </c>
      <c r="J989" s="4">
        <v>1</v>
      </c>
      <c r="K989" s="5">
        <v>0</v>
      </c>
      <c r="L989" s="5">
        <v>100</v>
      </c>
      <c r="M989" s="5">
        <v>100</v>
      </c>
      <c r="N989" s="5">
        <v>100</v>
      </c>
      <c r="O989" s="2">
        <v>0.74233742475071707</v>
      </c>
      <c r="P989" s="2">
        <v>1.0000050000287824E-5</v>
      </c>
      <c r="Q989" s="2">
        <v>0.29169009384931976</v>
      </c>
      <c r="R989" s="2">
        <v>1.0000050000287824E-5</v>
      </c>
    </row>
    <row r="990" spans="1:18" x14ac:dyDescent="0.3">
      <c r="A990" s="7">
        <v>111</v>
      </c>
      <c r="B990" s="7">
        <v>21</v>
      </c>
      <c r="C990" s="7">
        <v>1</v>
      </c>
      <c r="D990" s="7">
        <v>1</v>
      </c>
      <c r="E990" s="20" t="str">
        <f t="shared" si="15"/>
        <v>11</v>
      </c>
      <c r="F990" s="21">
        <v>1.8723805425734299</v>
      </c>
      <c r="G990" s="4">
        <v>0.626</v>
      </c>
      <c r="H990" s="4">
        <v>0.97530864197530898</v>
      </c>
      <c r="I990" s="4">
        <v>0.86199999999999999</v>
      </c>
      <c r="J990" s="4">
        <v>0.98399999999999999</v>
      </c>
      <c r="K990" s="5">
        <v>100</v>
      </c>
      <c r="L990" s="5">
        <v>100</v>
      </c>
      <c r="M990" s="5">
        <v>100</v>
      </c>
      <c r="N990" s="5">
        <v>100</v>
      </c>
      <c r="O990" s="2">
        <v>0.46840490788203853</v>
      </c>
      <c r="P990" s="2">
        <v>2.500130220541693E-2</v>
      </c>
      <c r="Q990" s="2">
        <v>0.14850000831844395</v>
      </c>
      <c r="R990" s="2">
        <v>1.6129381929883644E-2</v>
      </c>
    </row>
    <row r="991" spans="1:18" x14ac:dyDescent="0.3">
      <c r="A991" s="7">
        <v>274</v>
      </c>
      <c r="B991" s="7">
        <v>37</v>
      </c>
      <c r="C991" s="7">
        <v>1</v>
      </c>
      <c r="D991" s="7">
        <v>1</v>
      </c>
      <c r="E991" s="20" t="str">
        <f t="shared" si="15"/>
        <v>11</v>
      </c>
      <c r="F991" s="21">
        <v>1.8745348624945699</v>
      </c>
      <c r="G991" s="4">
        <v>0.56399999999999995</v>
      </c>
      <c r="H991" s="4">
        <v>0.99186991869918695</v>
      </c>
      <c r="I991" s="4">
        <v>0.873</v>
      </c>
      <c r="J991" s="4">
        <v>0.997</v>
      </c>
      <c r="K991" s="5">
        <v>100</v>
      </c>
      <c r="L991" s="5">
        <v>100</v>
      </c>
      <c r="M991" s="5">
        <v>100</v>
      </c>
      <c r="N991" s="5">
        <v>100</v>
      </c>
      <c r="O991" s="2">
        <v>0.57270102748407825</v>
      </c>
      <c r="P991" s="2">
        <v>8.1633106391609811E-3</v>
      </c>
      <c r="Q991" s="2">
        <v>0.13581972314253485</v>
      </c>
      <c r="R991" s="2">
        <v>3.0045090202987243E-3</v>
      </c>
    </row>
    <row r="992" spans="1:18" x14ac:dyDescent="0.3">
      <c r="A992" s="7">
        <v>548</v>
      </c>
      <c r="B992" s="7">
        <v>41</v>
      </c>
      <c r="C992" s="7">
        <v>1</v>
      </c>
      <c r="D992" s="7">
        <v>1</v>
      </c>
      <c r="E992" s="20" t="str">
        <f t="shared" si="15"/>
        <v>11</v>
      </c>
      <c r="F992" s="21">
        <v>1.95048889604641</v>
      </c>
      <c r="G992" s="4">
        <v>0.56799999999999995</v>
      </c>
      <c r="H992" s="4">
        <v>1</v>
      </c>
      <c r="I992" s="4">
        <v>0.72199999999999998</v>
      </c>
      <c r="J992" s="4">
        <v>1</v>
      </c>
      <c r="K992" s="5">
        <v>100</v>
      </c>
      <c r="L992" s="5">
        <v>100</v>
      </c>
      <c r="M992" s="5">
        <v>100</v>
      </c>
      <c r="N992" s="5">
        <v>100</v>
      </c>
      <c r="O992" s="2">
        <v>0.56563386026098583</v>
      </c>
      <c r="P992" s="2">
        <v>1.0000050000287824E-5</v>
      </c>
      <c r="Q992" s="2">
        <v>0.32573014008931084</v>
      </c>
      <c r="R992" s="2">
        <v>1.0000050000287824E-5</v>
      </c>
    </row>
    <row r="993" spans="1:18" x14ac:dyDescent="0.3">
      <c r="A993" s="7">
        <v>818</v>
      </c>
      <c r="B993" s="7">
        <v>14</v>
      </c>
      <c r="C993" s="7">
        <v>1</v>
      </c>
      <c r="D993" s="7">
        <v>1</v>
      </c>
      <c r="E993" s="20" t="str">
        <f t="shared" si="15"/>
        <v>11</v>
      </c>
      <c r="F993" s="21">
        <v>1.95388907670205</v>
      </c>
      <c r="G993" s="4">
        <v>0.60799999999999998</v>
      </c>
      <c r="H993" s="4">
        <v>1</v>
      </c>
      <c r="I993" s="4">
        <v>0.78500000000000003</v>
      </c>
      <c r="J993" s="4">
        <v>1</v>
      </c>
      <c r="K993" s="5">
        <v>100</v>
      </c>
      <c r="L993" s="5">
        <v>100</v>
      </c>
      <c r="M993" s="5">
        <v>100</v>
      </c>
      <c r="N993" s="5">
        <v>100</v>
      </c>
      <c r="O993" s="2">
        <v>0.49758039701597007</v>
      </c>
      <c r="P993" s="2">
        <v>1.0000050000287824E-5</v>
      </c>
      <c r="Q993" s="2">
        <v>0.24207156119972859</v>
      </c>
      <c r="R993" s="2">
        <v>1.0000050000287824E-5</v>
      </c>
    </row>
    <row r="994" spans="1:18" x14ac:dyDescent="0.3">
      <c r="A994" s="7">
        <v>830</v>
      </c>
      <c r="B994" s="7">
        <v>14</v>
      </c>
      <c r="C994" s="7">
        <v>1</v>
      </c>
      <c r="D994" s="7">
        <v>1</v>
      </c>
      <c r="E994" s="20" t="str">
        <f t="shared" si="15"/>
        <v>11</v>
      </c>
      <c r="F994" s="21">
        <v>1.9985246009178299</v>
      </c>
      <c r="G994" s="4">
        <v>0.48699999999999999</v>
      </c>
      <c r="H994" s="4">
        <v>1</v>
      </c>
      <c r="I994" s="4">
        <v>0.58499999999999996</v>
      </c>
      <c r="J994" s="4">
        <v>1</v>
      </c>
      <c r="K994" s="5">
        <v>0</v>
      </c>
      <c r="L994" s="5">
        <v>100</v>
      </c>
      <c r="M994" s="5">
        <v>100</v>
      </c>
      <c r="N994" s="5">
        <v>100</v>
      </c>
      <c r="O994" s="2">
        <v>0.71949115589954726</v>
      </c>
      <c r="P994" s="2">
        <v>1.0000050000287824E-5</v>
      </c>
      <c r="Q994" s="2">
        <v>0.53614343175028067</v>
      </c>
      <c r="R994" s="2">
        <v>1.0000050000287824E-5</v>
      </c>
    </row>
    <row r="995" spans="1:18" x14ac:dyDescent="0.3">
      <c r="A995" s="7">
        <v>951</v>
      </c>
      <c r="B995" s="7">
        <v>14</v>
      </c>
      <c r="C995" s="7">
        <v>1</v>
      </c>
      <c r="D995" s="7">
        <v>1</v>
      </c>
      <c r="E995" s="20" t="str">
        <f t="shared" si="15"/>
        <v>11</v>
      </c>
      <c r="F995" s="21">
        <v>2.1208099651380299</v>
      </c>
      <c r="G995" s="4">
        <v>0.75700000000000001</v>
      </c>
      <c r="H995" s="4">
        <v>0.83486238532110102</v>
      </c>
      <c r="I995" s="4">
        <v>0.745</v>
      </c>
      <c r="J995" s="4">
        <v>0.99099999999999999</v>
      </c>
      <c r="K995" s="5">
        <v>100</v>
      </c>
      <c r="L995" s="5">
        <v>100</v>
      </c>
      <c r="M995" s="5">
        <v>100</v>
      </c>
      <c r="N995" s="5">
        <v>100</v>
      </c>
      <c r="O995" s="2">
        <v>0.27839202554468828</v>
      </c>
      <c r="P995" s="2">
        <v>0.18048837571229354</v>
      </c>
      <c r="Q995" s="2">
        <v>0.29437106060257756</v>
      </c>
      <c r="R995" s="2">
        <v>9.0407446521490707E-3</v>
      </c>
    </row>
    <row r="996" spans="1:18" x14ac:dyDescent="0.3">
      <c r="A996" s="7">
        <v>477</v>
      </c>
      <c r="B996" s="7">
        <v>12</v>
      </c>
      <c r="C996" s="7">
        <v>1</v>
      </c>
      <c r="D996" s="7">
        <v>1</v>
      </c>
      <c r="E996" s="20" t="str">
        <f t="shared" si="15"/>
        <v>11</v>
      </c>
      <c r="F996" s="21">
        <v>2.2793861583651398</v>
      </c>
      <c r="G996" s="4">
        <v>0.61799999999999999</v>
      </c>
      <c r="H996" s="4">
        <v>0.99130434782608701</v>
      </c>
      <c r="I996" s="4">
        <v>0.78400000000000003</v>
      </c>
      <c r="J996" s="4">
        <v>0.99199999999999999</v>
      </c>
      <c r="K996" s="5">
        <v>100</v>
      </c>
      <c r="L996" s="5">
        <v>100</v>
      </c>
      <c r="M996" s="5">
        <v>100</v>
      </c>
      <c r="N996" s="5">
        <v>100</v>
      </c>
      <c r="O996" s="2">
        <v>0.48126682152444628</v>
      </c>
      <c r="P996" s="2">
        <v>8.7336799687545534E-3</v>
      </c>
      <c r="Q996" s="2">
        <v>0.24334625863172918</v>
      </c>
      <c r="R996" s="2">
        <v>8.0321716972642666E-3</v>
      </c>
    </row>
    <row r="997" spans="1:18" x14ac:dyDescent="0.3">
      <c r="A997" s="7">
        <v>391</v>
      </c>
      <c r="B997" s="7">
        <v>15</v>
      </c>
      <c r="C997" s="7">
        <v>1</v>
      </c>
      <c r="D997" s="7">
        <v>1</v>
      </c>
      <c r="E997" s="20" t="str">
        <f t="shared" si="15"/>
        <v>11</v>
      </c>
      <c r="F997" s="21">
        <v>2.7068043529167598</v>
      </c>
      <c r="G997" s="4">
        <v>0.54900000000000004</v>
      </c>
      <c r="H997" s="4">
        <v>1</v>
      </c>
      <c r="I997" s="4">
        <v>0.74199999999999999</v>
      </c>
      <c r="J997" s="4">
        <v>1</v>
      </c>
      <c r="K997" s="5">
        <v>100</v>
      </c>
      <c r="L997" s="5">
        <v>100</v>
      </c>
      <c r="M997" s="5">
        <v>100</v>
      </c>
      <c r="N997" s="5">
        <v>100</v>
      </c>
      <c r="O997" s="2">
        <v>0.59965683747260634</v>
      </c>
      <c r="P997" s="2">
        <v>1.0000050000287824E-5</v>
      </c>
      <c r="Q997" s="2">
        <v>0.29840603581475661</v>
      </c>
      <c r="R997" s="2">
        <v>1.0000050000287824E-5</v>
      </c>
    </row>
    <row r="998" spans="1:18" x14ac:dyDescent="0.3">
      <c r="A998" s="7">
        <v>659</v>
      </c>
      <c r="B998" s="7">
        <v>4</v>
      </c>
      <c r="C998" s="7">
        <v>1</v>
      </c>
      <c r="D998" s="7">
        <v>1</v>
      </c>
      <c r="E998" s="20" t="str">
        <f t="shared" si="15"/>
        <v>11</v>
      </c>
      <c r="F998" s="21">
        <v>3.0565715839712801</v>
      </c>
      <c r="G998" s="4">
        <v>0.58399999999999996</v>
      </c>
      <c r="H998" s="4">
        <v>1</v>
      </c>
      <c r="I998" s="4">
        <v>0.48899999999999999</v>
      </c>
      <c r="J998" s="4">
        <v>1</v>
      </c>
      <c r="K998" s="5">
        <v>100</v>
      </c>
      <c r="L998" s="5">
        <v>100</v>
      </c>
      <c r="M998" s="5">
        <v>0</v>
      </c>
      <c r="N998" s="5">
        <v>100</v>
      </c>
      <c r="O998" s="2">
        <v>0.53785429615391001</v>
      </c>
      <c r="P998" s="2">
        <v>1.0000050000287824E-5</v>
      </c>
      <c r="Q998" s="2">
        <v>0.71539278950726504</v>
      </c>
      <c r="R998" s="2">
        <v>1.0000050000287824E-5</v>
      </c>
    </row>
    <row r="999" spans="1:18" x14ac:dyDescent="0.3">
      <c r="A999" s="7">
        <v>532</v>
      </c>
      <c r="B999" s="7">
        <v>5</v>
      </c>
      <c r="C999" s="7">
        <v>1</v>
      </c>
      <c r="D999" s="7">
        <v>1</v>
      </c>
      <c r="E999" s="20" t="str">
        <f t="shared" si="15"/>
        <v>11</v>
      </c>
      <c r="F999" s="21">
        <v>3.2453954973870802</v>
      </c>
      <c r="G999" s="4">
        <v>0.51100000000000001</v>
      </c>
      <c r="H999" s="4">
        <v>1</v>
      </c>
      <c r="I999" s="4">
        <v>0.72199999999999998</v>
      </c>
      <c r="J999" s="4">
        <v>1</v>
      </c>
      <c r="K999" s="5">
        <v>100</v>
      </c>
      <c r="L999" s="5">
        <v>100</v>
      </c>
      <c r="M999" s="5">
        <v>100</v>
      </c>
      <c r="N999" s="5">
        <v>100</v>
      </c>
      <c r="O999" s="2">
        <v>0.67138568877843263</v>
      </c>
      <c r="P999" s="2">
        <v>1.0000050000287824E-5</v>
      </c>
      <c r="Q999" s="2">
        <v>0.32573014008931084</v>
      </c>
      <c r="R999" s="2">
        <v>1.0000050000287824E-5</v>
      </c>
    </row>
    <row r="1000" spans="1:18" x14ac:dyDescent="0.3">
      <c r="A1000" s="7">
        <v>799</v>
      </c>
      <c r="B1000" s="7">
        <v>182</v>
      </c>
      <c r="C1000" s="7">
        <v>1</v>
      </c>
      <c r="D1000" s="7">
        <v>1</v>
      </c>
      <c r="E1000" s="20" t="str">
        <f t="shared" si="15"/>
        <v>11</v>
      </c>
      <c r="F1000" s="21">
        <v>3.5625650362138801</v>
      </c>
      <c r="G1000" s="4">
        <v>0.64700000000000002</v>
      </c>
      <c r="H1000" s="4">
        <v>0.98449612403100795</v>
      </c>
      <c r="I1000" s="4">
        <v>0.80900000000000005</v>
      </c>
      <c r="J1000" s="4">
        <v>0.98399999999999999</v>
      </c>
      <c r="K1000" s="5">
        <v>100</v>
      </c>
      <c r="L1000" s="5">
        <v>100</v>
      </c>
      <c r="M1000" s="5">
        <v>100</v>
      </c>
      <c r="N1000" s="5">
        <v>100</v>
      </c>
      <c r="O1000" s="2">
        <v>0.43540898448123644</v>
      </c>
      <c r="P1000" s="2">
        <v>1.5625317903080645E-2</v>
      </c>
      <c r="Q1000" s="2">
        <v>0.21195636192364531</v>
      </c>
      <c r="R1000" s="2">
        <v>1.6129381929883644E-2</v>
      </c>
    </row>
    <row r="1001" spans="1:18" x14ac:dyDescent="0.3">
      <c r="A1001" s="7">
        <v>431</v>
      </c>
      <c r="B1001" s="7">
        <v>152</v>
      </c>
      <c r="C1001" s="7">
        <v>1</v>
      </c>
      <c r="D1001" s="7">
        <v>1</v>
      </c>
      <c r="E1001" s="20" t="str">
        <f t="shared" si="15"/>
        <v>11</v>
      </c>
      <c r="F1001" s="21">
        <v>3.7829052622660599</v>
      </c>
      <c r="G1001" s="4">
        <v>0.63200000000000001</v>
      </c>
      <c r="H1001" s="4">
        <v>0.97076023391812905</v>
      </c>
      <c r="I1001" s="4">
        <v>0.66500000000000004</v>
      </c>
      <c r="J1001" s="4">
        <v>0.98599999999999999</v>
      </c>
      <c r="K1001" s="5">
        <v>100</v>
      </c>
      <c r="L1001" s="5">
        <v>100</v>
      </c>
      <c r="M1001" s="5">
        <v>100</v>
      </c>
      <c r="N1001" s="5">
        <v>100</v>
      </c>
      <c r="O1001" s="2">
        <v>0.45886588483527962</v>
      </c>
      <c r="P1001" s="2">
        <v>2.9675768146116208E-2</v>
      </c>
      <c r="Q1001" s="2">
        <v>0.40796823832628287</v>
      </c>
      <c r="R1001" s="2">
        <v>1.4098924379501648E-2</v>
      </c>
    </row>
    <row r="1002" spans="1:18" x14ac:dyDescent="0.3">
      <c r="P1002" s="2"/>
    </row>
  </sheetData>
  <sortState xmlns:xlrd2="http://schemas.microsoft.com/office/spreadsheetml/2017/richdata2" ref="A2:R1002">
    <sortCondition ref="E2:E1002"/>
    <sortCondition ref="F2:F1002"/>
  </sortState>
  <conditionalFormatting sqref="E2:E1001">
    <cfRule type="containsText" dxfId="3" priority="10" operator="containsText" text="11">
      <formula>NOT(ISERROR(SEARCH("11",E2)))</formula>
    </cfRule>
    <cfRule type="containsText" dxfId="2" priority="11" operator="containsText" text="10">
      <formula>NOT(ISERROR(SEARCH("10",E2)))</formula>
    </cfRule>
    <cfRule type="containsText" dxfId="1" priority="12" operator="containsText" text="01">
      <formula>NOT(ISERROR(SEARCH("01",E2)))</formula>
    </cfRule>
    <cfRule type="containsText" dxfId="0" priority="13" operator="containsText" text="00">
      <formula>NOT(ISERROR(SEARCH("00",E2)))</formula>
    </cfRule>
  </conditionalFormatting>
  <conditionalFormatting sqref="O1002:R1048576">
    <cfRule type="colorScale" priority="2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conditionalFormatting sqref="F1002:F1048576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2:N1048576">
    <cfRule type="colorScale" priority="633">
      <colorScale>
        <cfvo type="min"/>
        <cfvo type="max"/>
        <color theme="0" tint="-0.14999847407452621"/>
        <color theme="4" tint="0.39997558519241921"/>
      </colorScale>
    </cfRule>
    <cfRule type="colorScale" priority="634">
      <colorScale>
        <cfvo type="min"/>
        <cfvo type="max"/>
        <color theme="0" tint="-4.9989318521683403E-2"/>
        <color rgb="FF7030A0"/>
      </colorScale>
    </cfRule>
  </conditionalFormatting>
  <conditionalFormatting sqref="O2:R1001">
    <cfRule type="colorScale" priority="63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63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3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63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summary</vt:lpstr>
      <vt:lpstr>DEP3.L</vt:lpstr>
      <vt:lpstr>DEP3.M</vt:lpstr>
      <vt:lpstr>DEP3.H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Kevin Surya</cp:lastModifiedBy>
  <dcterms:created xsi:type="dcterms:W3CDTF">2015-06-05T18:17:20Z</dcterms:created>
  <dcterms:modified xsi:type="dcterms:W3CDTF">2026-02-24T20:27:25Z</dcterms:modified>
</cp:coreProperties>
</file>